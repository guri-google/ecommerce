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13_ncr:1_{CB1F3C3A-7BBB-4541-B668-6860AB1AC51C}" xr6:coauthVersionLast="47" xr6:coauthVersionMax="47" xr10:uidLastSave="{00000000-0000-0000-0000-000000000000}"/>
  <bookViews>
    <workbookView xWindow="-110" yWindow="-110" windowWidth="19420" windowHeight="10300" tabRatio="899" activeTab="3" xr2:uid="{CC9E072C-DA30-4400-9D3C-D2697A59637F}"/>
  </bookViews>
  <sheets>
    <sheet name="★指標_用語辞書" sheetId="21" r:id="rId1"/>
    <sheet name="マスタ_用語辞書" sheetId="23" r:id="rId2"/>
    <sheet name="PL構成項目のマスタ" sheetId="27" state="hidden" r:id="rId3"/>
    <sheet name="★ロッテ用語_用語辞書" sheetId="24" r:id="rId4"/>
    <sheet name="99_区分マスタ" sheetId="22" r:id="rId5"/>
    <sheet name="出典" sheetId="3" r:id="rId6"/>
    <sheet name="&gt;0604" sheetId="17" r:id="rId7"/>
    <sheet name="依頼内容" sheetId="14" r:id="rId8"/>
    <sheet name="0604FB_用語辞書" sheetId="2" r:id="rId9"/>
    <sheet name="99_マスタ" sheetId="10" r:id="rId10"/>
  </sheets>
  <definedNames>
    <definedName name="_xlnm._FilterDatabase" localSheetId="3" hidden="1">★ロッテ用語_用語辞書!$B$3:$AL$303</definedName>
    <definedName name="_xlnm._FilterDatabase" localSheetId="0" hidden="1">★指標_用語辞書!$B$3:$AL$350</definedName>
    <definedName name="_xlnm._FilterDatabase" localSheetId="8" hidden="1">'0604FB_用語辞書'!$A$2:$AI$794</definedName>
    <definedName name="_xlnm._FilterDatabase" localSheetId="1" hidden="1">マスタ_用語辞書!$B$3:$AL$167</definedName>
    <definedName name="_xlnm._FilterDatabase" localSheetId="5" hidden="1">出典!$A$3:$E$127</definedName>
    <definedName name="データタイプ">'99_マスタ'!#REF!</definedName>
    <definedName name="概念">'99_マスタ'!#REF!</definedName>
    <definedName name="業務カテゴリ">'99_マスタ'!#REF!</definedName>
    <definedName name="指標タイプ">'99_マスタ'!#REF!</definedName>
    <definedName name="定義状態">'99_マスタ'!#REF!</definedName>
    <definedName name="優先度">'99_マスタ'!#REF!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9" i="21" l="1"/>
  <c r="B348" i="21"/>
  <c r="B347" i="21"/>
  <c r="B346" i="21"/>
  <c r="B345" i="21"/>
  <c r="B344" i="21"/>
  <c r="B343" i="21"/>
  <c r="B342" i="21"/>
  <c r="B341" i="21"/>
  <c r="B340" i="21"/>
  <c r="B339" i="21"/>
  <c r="B338" i="21"/>
  <c r="B337" i="21"/>
  <c r="B336" i="21"/>
  <c r="B335" i="21"/>
  <c r="B334" i="21"/>
  <c r="B333" i="21"/>
  <c r="B332" i="21"/>
  <c r="B331" i="21"/>
  <c r="B330" i="21"/>
  <c r="B329" i="21"/>
  <c r="B328" i="21"/>
  <c r="B327" i="21"/>
  <c r="B326" i="21"/>
  <c r="B325" i="21"/>
  <c r="B324" i="21"/>
  <c r="B323" i="21"/>
  <c r="B322" i="21"/>
  <c r="B321" i="21"/>
  <c r="B320" i="21"/>
  <c r="B319" i="21"/>
  <c r="B318" i="21"/>
  <c r="B317" i="21"/>
  <c r="B316" i="21"/>
  <c r="B315" i="21"/>
  <c r="B314" i="21"/>
  <c r="B313" i="21"/>
  <c r="B312" i="21"/>
  <c r="B311" i="21"/>
  <c r="B310" i="21"/>
  <c r="B309" i="21"/>
  <c r="B308" i="21"/>
  <c r="B307" i="21"/>
  <c r="B306" i="21"/>
  <c r="B305" i="21"/>
  <c r="B304" i="21"/>
  <c r="B303" i="21"/>
  <c r="B302" i="21"/>
  <c r="B301" i="21"/>
  <c r="B300" i="21"/>
  <c r="B299" i="21"/>
  <c r="B298" i="21"/>
  <c r="B297" i="21"/>
  <c r="B296" i="21"/>
  <c r="B295" i="21"/>
  <c r="B294" i="21"/>
  <c r="B293" i="21"/>
  <c r="B292" i="21"/>
  <c r="B291" i="21"/>
  <c r="B290" i="21"/>
  <c r="B289" i="21"/>
  <c r="B288" i="21"/>
  <c r="B287" i="21"/>
  <c r="B286" i="21"/>
  <c r="B285" i="21"/>
  <c r="B284" i="21"/>
  <c r="B283" i="21"/>
  <c r="B282" i="21"/>
  <c r="B281" i="21"/>
  <c r="B280" i="21"/>
  <c r="B279" i="21"/>
  <c r="B278" i="21"/>
  <c r="B277" i="21"/>
  <c r="B276" i="21"/>
  <c r="B275" i="21"/>
  <c r="B274" i="21"/>
  <c r="B273" i="21"/>
  <c r="B272" i="21"/>
  <c r="B271" i="21"/>
  <c r="B270" i="21"/>
  <c r="B269" i="21"/>
  <c r="B268" i="21"/>
  <c r="B267" i="21"/>
  <c r="B266" i="21"/>
  <c r="B265" i="21"/>
  <c r="B264" i="21"/>
  <c r="B263" i="21"/>
  <c r="B262" i="21"/>
  <c r="B261" i="21"/>
  <c r="B260" i="21"/>
  <c r="B259" i="21"/>
  <c r="B258" i="21"/>
  <c r="B257" i="21"/>
  <c r="B256" i="21"/>
  <c r="B255" i="21"/>
  <c r="B254" i="21"/>
  <c r="B253" i="21"/>
  <c r="B252" i="21"/>
  <c r="B251" i="21"/>
  <c r="B250" i="21"/>
  <c r="B249" i="21"/>
  <c r="B248" i="21"/>
  <c r="B247" i="21"/>
  <c r="B246" i="21"/>
  <c r="B245" i="21"/>
  <c r="B244" i="21"/>
  <c r="B243" i="21"/>
  <c r="B242" i="21"/>
  <c r="B241" i="21"/>
  <c r="B240" i="21"/>
  <c r="B239" i="21"/>
  <c r="B238" i="21"/>
  <c r="B237" i="21"/>
  <c r="B236" i="21"/>
  <c r="B235" i="21"/>
  <c r="B234" i="21"/>
  <c r="B233" i="21"/>
  <c r="B232" i="21"/>
  <c r="B231" i="21"/>
  <c r="B230" i="21"/>
  <c r="B229" i="21"/>
  <c r="B228" i="21"/>
  <c r="B227" i="21"/>
  <c r="B226" i="21"/>
  <c r="B225" i="21"/>
  <c r="B224" i="21"/>
  <c r="B223" i="21"/>
  <c r="B222" i="21"/>
  <c r="B221" i="21"/>
  <c r="B220" i="21"/>
  <c r="B219" i="21"/>
  <c r="B218" i="21"/>
  <c r="B217" i="21"/>
  <c r="B216" i="21"/>
  <c r="B215" i="21"/>
  <c r="B214" i="21"/>
  <c r="B213" i="21"/>
  <c r="B212" i="21"/>
  <c r="B211" i="21"/>
  <c r="B210" i="21"/>
  <c r="B209" i="21"/>
  <c r="B208" i="21"/>
  <c r="B207" i="21"/>
  <c r="B206" i="21"/>
  <c r="B205" i="21"/>
  <c r="B204" i="21"/>
  <c r="B203" i="21"/>
  <c r="B202" i="21"/>
  <c r="B201" i="21"/>
  <c r="B200" i="21"/>
  <c r="B199" i="21"/>
  <c r="B198" i="21"/>
  <c r="B197" i="21"/>
  <c r="B196" i="21"/>
  <c r="B195" i="21"/>
  <c r="B194" i="21"/>
  <c r="B193" i="21"/>
  <c r="B192" i="21"/>
  <c r="B191" i="21"/>
  <c r="B190" i="21"/>
  <c r="B189" i="21"/>
  <c r="B188" i="21"/>
  <c r="B187" i="21"/>
  <c r="B186" i="21"/>
  <c r="B185" i="21"/>
  <c r="B184" i="21"/>
  <c r="B183" i="21"/>
  <c r="B182" i="21"/>
  <c r="B181" i="21"/>
  <c r="B180" i="21"/>
  <c r="B179" i="21"/>
  <c r="B178" i="21"/>
  <c r="B177" i="21"/>
  <c r="B176" i="21"/>
  <c r="B175" i="21"/>
  <c r="B174" i="21"/>
  <c r="B173" i="21"/>
  <c r="B172" i="21"/>
  <c r="B171" i="21"/>
  <c r="B170" i="21"/>
  <c r="B169" i="21"/>
  <c r="B168" i="21"/>
  <c r="B167" i="21"/>
  <c r="B166" i="21"/>
  <c r="B165" i="21"/>
  <c r="B164" i="21"/>
  <c r="B163" i="21"/>
  <c r="B162" i="21"/>
  <c r="B161" i="21"/>
  <c r="B160" i="21"/>
  <c r="B159" i="21"/>
  <c r="B158" i="21"/>
  <c r="B157" i="21"/>
  <c r="B156" i="21"/>
  <c r="B155" i="21"/>
  <c r="B154" i="21"/>
  <c r="B153" i="21"/>
  <c r="B152" i="21"/>
  <c r="B151" i="21"/>
  <c r="B150" i="21"/>
  <c r="B149" i="21"/>
  <c r="B148" i="21"/>
  <c r="B147" i="21"/>
  <c r="B146" i="21"/>
  <c r="B145" i="21"/>
  <c r="B144" i="21"/>
  <c r="B143" i="21"/>
  <c r="B142" i="21"/>
  <c r="B141" i="21"/>
  <c r="B140" i="21"/>
  <c r="B139" i="21"/>
  <c r="B138" i="21"/>
  <c r="B137" i="21"/>
  <c r="B136" i="21"/>
  <c r="B135" i="21"/>
  <c r="B134" i="21"/>
  <c r="B133" i="21"/>
  <c r="B132" i="21"/>
  <c r="B131" i="21"/>
  <c r="B130" i="21"/>
  <c r="B129" i="21"/>
  <c r="B128" i="21"/>
  <c r="B127" i="21"/>
  <c r="B126" i="21"/>
  <c r="B125" i="21"/>
  <c r="B124" i="21"/>
  <c r="B123" i="21"/>
  <c r="B122" i="21"/>
  <c r="B121" i="21"/>
  <c r="B120" i="21"/>
  <c r="B119" i="21"/>
  <c r="B118" i="21"/>
  <c r="B117" i="21"/>
  <c r="B116" i="21"/>
  <c r="B115" i="21"/>
  <c r="B114" i="21"/>
  <c r="B113" i="21"/>
  <c r="B112" i="21"/>
  <c r="B111" i="21"/>
  <c r="B110" i="21"/>
  <c r="B109" i="21"/>
  <c r="B108" i="21"/>
  <c r="B107" i="21"/>
  <c r="B106" i="21"/>
  <c r="B105" i="21"/>
  <c r="B104" i="21"/>
  <c r="B103" i="21"/>
  <c r="B102" i="21"/>
  <c r="B101" i="21"/>
  <c r="B100" i="21"/>
  <c r="B99" i="21"/>
  <c r="B98" i="21"/>
  <c r="B97" i="21"/>
  <c r="B96" i="21"/>
  <c r="B95" i="21"/>
  <c r="B94" i="21"/>
  <c r="B93" i="21"/>
  <c r="B92" i="21"/>
  <c r="B91" i="21"/>
  <c r="B90" i="21"/>
  <c r="B89" i="21"/>
  <c r="B88" i="21"/>
  <c r="B87" i="21"/>
  <c r="B86" i="21"/>
  <c r="B85" i="21"/>
  <c r="B84" i="21"/>
  <c r="B83" i="21"/>
  <c r="B82" i="21"/>
  <c r="B81" i="21"/>
  <c r="B80" i="21"/>
  <c r="B79" i="21"/>
  <c r="B78" i="21"/>
  <c r="B77" i="21"/>
  <c r="B76" i="21"/>
  <c r="B75" i="21"/>
  <c r="B74" i="21"/>
  <c r="B73" i="21"/>
  <c r="B72" i="21"/>
  <c r="B71" i="21"/>
  <c r="B70" i="21"/>
  <c r="B69" i="21"/>
  <c r="B68" i="21"/>
  <c r="B67" i="21"/>
  <c r="B66" i="21"/>
  <c r="B65" i="21"/>
  <c r="B64" i="21"/>
  <c r="B63" i="21"/>
  <c r="B62" i="21"/>
  <c r="B59" i="21"/>
  <c r="B58" i="21"/>
  <c r="B57"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22" i="21"/>
  <c r="B20" i="21"/>
  <c r="B19" i="21"/>
  <c r="B18" i="21"/>
  <c r="B17" i="21"/>
  <c r="B16" i="21"/>
  <c r="B15" i="21"/>
  <c r="B14" i="21"/>
  <c r="B13" i="21"/>
  <c r="B12" i="21"/>
  <c r="B11" i="21"/>
  <c r="B10" i="21"/>
  <c r="B9" i="21"/>
  <c r="B8" i="21"/>
  <c r="B7" i="21"/>
  <c r="B6" i="21"/>
  <c r="B5" i="21"/>
  <c r="B4" i="21"/>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4" i="23"/>
  <c r="A11" i="2" l="1"/>
  <c r="K11"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09" i="2"/>
  <c r="A205" i="2"/>
  <c r="A204" i="2"/>
  <c r="A203" i="2"/>
  <c r="A202" i="2"/>
  <c r="A201" i="2"/>
  <c r="A200" i="2"/>
  <c r="A199" i="2"/>
  <c r="A198" i="2"/>
  <c r="A197" i="2"/>
  <c r="A196" i="2"/>
  <c r="A195" i="2"/>
  <c r="A194" i="2"/>
  <c r="A193" i="2"/>
  <c r="A192" i="2"/>
  <c r="A191" i="2"/>
  <c r="A189" i="2"/>
  <c r="A188" i="2"/>
  <c r="A187"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20" i="2"/>
  <c r="A31" i="2"/>
  <c r="A30" i="2"/>
  <c r="A29" i="2"/>
  <c r="A28" i="2"/>
  <c r="A27" i="2"/>
  <c r="A26" i="2"/>
  <c r="A25" i="2"/>
  <c r="A34" i="2"/>
  <c r="A190" i="2"/>
  <c r="A206" i="2"/>
  <c r="A211" i="2"/>
  <c r="A24" i="2"/>
  <c r="A23" i="2"/>
  <c r="A22" i="2"/>
  <c r="A21" i="2"/>
  <c r="A19" i="2"/>
  <c r="A18" i="2"/>
  <c r="A17" i="2"/>
  <c r="A16" i="2"/>
  <c r="A15" i="2"/>
  <c r="A14" i="2"/>
  <c r="A13" i="2"/>
  <c r="A12" i="2"/>
  <c r="A186" i="2"/>
  <c r="A210" i="2"/>
  <c r="A208" i="2"/>
  <c r="A207" i="2"/>
  <c r="A10" i="2"/>
  <c r="A9" i="2"/>
  <c r="A8" i="2"/>
  <c r="A6" i="2"/>
  <c r="A5" i="2"/>
  <c r="A7" i="2"/>
  <c r="A4" i="2"/>
  <c r="A3" i="2"/>
  <c r="A35" i="2"/>
  <c r="A33" i="2"/>
  <c r="A32" i="2"/>
  <c r="K231" i="2"/>
  <c r="K161" i="2" l="1"/>
  <c r="K666" i="2"/>
  <c r="K228" i="2"/>
  <c r="K86" i="2"/>
  <c r="K246" i="2"/>
  <c r="K247" i="2"/>
  <c r="K604" i="2"/>
  <c r="K605" i="2"/>
  <c r="K113" i="2"/>
  <c r="K32" i="2"/>
  <c r="K77" i="2"/>
  <c r="K128" i="2"/>
  <c r="K366" i="2"/>
  <c r="K367" i="2"/>
  <c r="K52" i="2"/>
  <c r="K368" i="2"/>
  <c r="K117" i="2"/>
  <c r="K369" i="2"/>
  <c r="K543" i="2"/>
  <c r="K544" i="2"/>
  <c r="K545" i="2"/>
  <c r="K683" i="2"/>
  <c r="K546" i="2"/>
  <c r="K547" i="2"/>
  <c r="K548" i="2"/>
  <c r="K329" i="2"/>
  <c r="K745" i="2"/>
  <c r="K684" i="2"/>
  <c r="K746" i="2"/>
  <c r="K370" i="2"/>
  <c r="K371" i="2"/>
  <c r="K372" i="2"/>
  <c r="K373" i="2"/>
  <c r="K747" i="2"/>
  <c r="K748" i="2"/>
  <c r="K749" i="2"/>
  <c r="K170" i="2"/>
  <c r="K549" i="2"/>
  <c r="K750" i="2"/>
  <c r="K187" i="2"/>
  <c r="K374" i="2"/>
  <c r="K330" i="2"/>
  <c r="K685" i="2"/>
  <c r="K258" i="2"/>
  <c r="K259" i="2"/>
  <c r="K75" i="2"/>
  <c r="K106" i="2"/>
  <c r="K751" i="2"/>
  <c r="K331" i="2"/>
  <c r="K332" i="2"/>
  <c r="K78" i="2"/>
  <c r="K333" i="2"/>
  <c r="K260" i="2"/>
  <c r="K686" i="2"/>
  <c r="K606" i="2"/>
  <c r="K752" i="2"/>
  <c r="K334" i="2"/>
  <c r="K375" i="2"/>
  <c r="K687" i="2"/>
  <c r="K753" i="2"/>
  <c r="K376" i="2"/>
  <c r="K335" i="2"/>
  <c r="K607" i="2"/>
  <c r="K754" i="2"/>
  <c r="K550" i="2"/>
  <c r="K336" i="2"/>
  <c r="K778" i="2"/>
  <c r="K377" i="2"/>
  <c r="K378" i="2"/>
  <c r="K755" i="2"/>
  <c r="K756" i="2"/>
  <c r="K757" i="2"/>
  <c r="K608" i="2"/>
  <c r="K609" i="2"/>
  <c r="K232" i="2"/>
  <c r="K379" i="2"/>
  <c r="K380" i="2"/>
  <c r="K610" i="2"/>
  <c r="K758" i="2"/>
  <c r="K611" i="2"/>
  <c r="K137" i="2"/>
  <c r="K612" i="2"/>
  <c r="K613" i="2"/>
  <c r="K541" i="2"/>
  <c r="K551" i="2"/>
  <c r="K241" i="2"/>
  <c r="K552" i="2"/>
  <c r="K553" i="2"/>
  <c r="K554" i="2"/>
  <c r="K759" i="2"/>
  <c r="K760" i="2"/>
  <c r="K381" i="2"/>
  <c r="K688" i="2"/>
  <c r="K382" i="2"/>
  <c r="K383" i="2"/>
  <c r="K384" i="2"/>
  <c r="K385" i="2"/>
  <c r="K386" i="2"/>
  <c r="K387" i="2"/>
  <c r="K388" i="2"/>
  <c r="K389" i="2"/>
  <c r="K390" i="2"/>
  <c r="K391" i="2"/>
  <c r="K392" i="2"/>
  <c r="K393" i="2"/>
  <c r="K761" i="2"/>
  <c r="K762" i="2"/>
  <c r="K33" i="2"/>
  <c r="K394" i="2"/>
  <c r="K395" i="2"/>
  <c r="K689" i="2"/>
  <c r="K337" i="2"/>
  <c r="K338" i="2"/>
  <c r="K339" i="2"/>
  <c r="K763" i="2"/>
  <c r="K764" i="2"/>
  <c r="K765" i="2"/>
  <c r="K766" i="2"/>
  <c r="K396" i="2"/>
  <c r="K555" i="2"/>
  <c r="K767" i="2"/>
  <c r="K768" i="2"/>
  <c r="K397" i="2"/>
  <c r="K398" i="2"/>
  <c r="K399" i="2"/>
  <c r="K400" i="2"/>
  <c r="K401" i="2"/>
  <c r="K402" i="2"/>
  <c r="K614" i="2"/>
  <c r="K615" i="2"/>
  <c r="K616" i="2"/>
  <c r="K769" i="2"/>
  <c r="K35" i="2"/>
  <c r="K779" i="2"/>
  <c r="K780" i="2"/>
  <c r="K617" i="2"/>
  <c r="K340" i="2"/>
  <c r="K403" i="2"/>
  <c r="K770" i="2"/>
  <c r="K556" i="2"/>
  <c r="K618" i="2"/>
  <c r="K404" i="2"/>
  <c r="K405" i="2"/>
  <c r="K53" i="2"/>
  <c r="K54" i="2"/>
  <c r="K619" i="2"/>
  <c r="K620" i="2"/>
  <c r="K341" i="2"/>
  <c r="K3" i="2"/>
  <c r="K5" i="2"/>
  <c r="K4" i="2"/>
  <c r="K9" i="2"/>
  <c r="K82" i="2"/>
  <c r="K406" i="2"/>
  <c r="K344" i="2"/>
  <c r="K182" i="2"/>
  <c r="K183" i="2"/>
  <c r="K621" i="2"/>
  <c r="K622" i="2"/>
  <c r="K322" i="2"/>
  <c r="K623" i="2"/>
  <c r="K624" i="2"/>
  <c r="K407" i="2"/>
  <c r="K690" i="2"/>
  <c r="K408" i="2"/>
  <c r="K409" i="2"/>
  <c r="K410" i="2"/>
  <c r="K411" i="2"/>
  <c r="K412" i="2"/>
  <c r="K413" i="2"/>
  <c r="K414" i="2"/>
  <c r="K415" i="2"/>
  <c r="K416" i="2"/>
  <c r="K417" i="2"/>
  <c r="K418" i="2"/>
  <c r="K419" i="2"/>
  <c r="K420" i="2"/>
  <c r="K421" i="2"/>
  <c r="K422" i="2"/>
  <c r="K423" i="2"/>
  <c r="K424" i="2"/>
  <c r="K10" i="2"/>
  <c r="K425" i="2"/>
  <c r="K426" i="2"/>
  <c r="K427" i="2"/>
  <c r="K428" i="2"/>
  <c r="K342" i="2"/>
  <c r="K429" i="2"/>
  <c r="K343" i="2"/>
  <c r="K207" i="2"/>
  <c r="K208" i="2"/>
  <c r="K430" i="2"/>
  <c r="K431" i="2"/>
  <c r="K210" i="2"/>
  <c r="K105" i="2"/>
  <c r="K135" i="2"/>
  <c r="K432" i="2"/>
  <c r="K345" i="2"/>
  <c r="K625" i="2"/>
  <c r="K626" i="2"/>
  <c r="K433" i="2"/>
  <c r="K434" i="2"/>
  <c r="K435" i="2"/>
  <c r="K436" i="2"/>
  <c r="K437" i="2"/>
  <c r="K438" i="2"/>
  <c r="K439" i="2"/>
  <c r="K440" i="2"/>
  <c r="K441" i="2"/>
  <c r="K442" i="2"/>
  <c r="K443" i="2"/>
  <c r="K444" i="2"/>
  <c r="K445" i="2"/>
  <c r="K446" i="2"/>
  <c r="K447" i="2"/>
  <c r="K448" i="2"/>
  <c r="K449" i="2"/>
  <c r="K171" i="2"/>
  <c r="K789" i="2"/>
  <c r="K181" i="2"/>
  <c r="K133" i="2"/>
  <c r="K542" i="2"/>
  <c r="K55" i="2"/>
  <c r="K323" i="2"/>
  <c r="K450" i="2"/>
  <c r="K451" i="2"/>
  <c r="K452" i="2"/>
  <c r="K56" i="2"/>
  <c r="K57" i="2"/>
  <c r="K186" i="2"/>
  <c r="K12" i="2"/>
  <c r="K557" i="2"/>
  <c r="K36" i="2"/>
  <c r="K771" i="2"/>
  <c r="K453" i="2"/>
  <c r="K118" i="2"/>
  <c r="K108" i="2"/>
  <c r="K454" i="2"/>
  <c r="K455" i="2"/>
  <c r="K456" i="2"/>
  <c r="K346" i="2"/>
  <c r="K349" i="2"/>
  <c r="K457" i="2"/>
  <c r="K458" i="2"/>
  <c r="K459" i="2"/>
  <c r="K13" i="2"/>
  <c r="K109" i="2"/>
  <c r="K691" i="2"/>
  <c r="K460" i="2"/>
  <c r="K558" i="2"/>
  <c r="K772" i="2"/>
  <c r="K188" i="2"/>
  <c r="K242" i="2"/>
  <c r="K243" i="2"/>
  <c r="K261" i="2"/>
  <c r="K461" i="2"/>
  <c r="K148" i="2"/>
  <c r="K22" i="2"/>
  <c r="K462" i="2"/>
  <c r="K540" i="2"/>
  <c r="K189" i="2"/>
  <c r="K627" i="2"/>
  <c r="K692" i="2"/>
  <c r="K58" i="2"/>
  <c r="K59" i="2"/>
  <c r="K60" i="2"/>
  <c r="K463" i="2"/>
  <c r="K321" i="2"/>
  <c r="K559" i="2"/>
  <c r="K464" i="2"/>
  <c r="K560" i="2"/>
  <c r="K184" i="2"/>
  <c r="K465" i="2"/>
  <c r="K175" i="2"/>
  <c r="K126" i="2"/>
  <c r="K173" i="2"/>
  <c r="K174" i="2"/>
  <c r="K350" i="2"/>
  <c r="K244" i="2"/>
  <c r="K466" i="2"/>
  <c r="K467" i="2"/>
  <c r="K468" i="2"/>
  <c r="K469" i="2"/>
  <c r="K470" i="2"/>
  <c r="K471" i="2"/>
  <c r="K472" i="2"/>
  <c r="K473" i="2"/>
  <c r="K351" i="2"/>
  <c r="K37" i="2"/>
  <c r="K474" i="2"/>
  <c r="K20" i="2"/>
  <c r="K62" i="2"/>
  <c r="K475" i="2"/>
  <c r="K14" i="2"/>
  <c r="K628" i="2"/>
  <c r="K476" i="2"/>
  <c r="K629" i="2"/>
  <c r="K23" i="2"/>
  <c r="K477" i="2"/>
  <c r="K478" i="2"/>
  <c r="K561" i="2"/>
  <c r="K479" i="2"/>
  <c r="K693" i="2"/>
  <c r="K218" i="2"/>
  <c r="K480" i="2"/>
  <c r="K562" i="2"/>
  <c r="K481" i="2"/>
  <c r="K482" i="2"/>
  <c r="K483" i="2"/>
  <c r="K484" i="2"/>
  <c r="K485" i="2"/>
  <c r="K773" i="2"/>
  <c r="K486" i="2"/>
  <c r="K487" i="2"/>
  <c r="K630" i="2"/>
  <c r="K245" i="2"/>
  <c r="K563" i="2"/>
  <c r="K107" i="2"/>
  <c r="K262" i="2"/>
  <c r="K263" i="2"/>
  <c r="K72" i="2"/>
  <c r="K488" i="2"/>
  <c r="K489" i="2"/>
  <c r="K490" i="2"/>
  <c r="K491" i="2"/>
  <c r="K492" i="2"/>
  <c r="K493" i="2"/>
  <c r="K494" i="2"/>
  <c r="K631" i="2"/>
  <c r="K632" i="2"/>
  <c r="K495" i="2"/>
  <c r="K496" i="2"/>
  <c r="K694" i="2"/>
  <c r="K695" i="2"/>
  <c r="K497" i="2"/>
  <c r="K696" i="2"/>
  <c r="K264" i="2"/>
  <c r="K633" i="2"/>
  <c r="K24" i="2"/>
  <c r="K63" i="2"/>
  <c r="K64" i="2"/>
  <c r="K498" i="2"/>
  <c r="K119" i="2"/>
  <c r="K7" i="2"/>
  <c r="K61" i="2"/>
  <c r="K79" i="2"/>
  <c r="K564" i="2"/>
  <c r="K71" i="2"/>
  <c r="K697" i="2"/>
  <c r="K103" i="2"/>
  <c r="K66" i="2"/>
  <c r="K499" i="2"/>
  <c r="K634" i="2"/>
  <c r="K500" i="2"/>
  <c r="K501" i="2"/>
  <c r="K211" i="2"/>
  <c r="K635" i="2"/>
  <c r="K565" i="2"/>
  <c r="K67" i="2"/>
  <c r="K566" i="2"/>
  <c r="K636" i="2"/>
  <c r="K567" i="2"/>
  <c r="K502" i="2"/>
  <c r="K503" i="2"/>
  <c r="K504" i="2"/>
  <c r="K568" i="2"/>
  <c r="K15" i="2"/>
  <c r="K16" i="2"/>
  <c r="K17" i="2"/>
  <c r="K18" i="2"/>
  <c r="K206" i="2"/>
  <c r="K505" i="2"/>
  <c r="K506" i="2"/>
  <c r="K637" i="2"/>
  <c r="K507" i="2"/>
  <c r="K352" i="2"/>
  <c r="K214" i="2"/>
  <c r="K19" i="2"/>
  <c r="K569" i="2"/>
  <c r="K570" i="2"/>
  <c r="K571" i="2"/>
  <c r="K209" i="2"/>
  <c r="K508" i="2"/>
  <c r="K509" i="2"/>
  <c r="K190" i="2"/>
  <c r="K510" i="2"/>
  <c r="K265" i="2"/>
  <c r="K572" i="2"/>
  <c r="K698" i="2"/>
  <c r="K699" i="2"/>
  <c r="K700" i="2"/>
  <c r="K134" i="2"/>
  <c r="K266" i="2"/>
  <c r="K511" i="2"/>
  <c r="K512" i="2"/>
  <c r="K638" i="2"/>
  <c r="K217" i="2"/>
  <c r="K741" i="2"/>
  <c r="K104" i="2"/>
  <c r="K639" i="2"/>
  <c r="K640" i="2"/>
  <c r="K573" i="2"/>
  <c r="K147" i="2"/>
  <c r="K791" i="2"/>
  <c r="K324" i="2"/>
  <c r="K172" i="2"/>
  <c r="K38" i="2"/>
  <c r="K221" i="2"/>
  <c r="K39" i="2"/>
  <c r="K40" i="2"/>
  <c r="K574" i="2"/>
  <c r="K80" i="2"/>
  <c r="K81" i="2"/>
  <c r="K641" i="2"/>
  <c r="K83" i="2"/>
  <c r="K84" i="2"/>
  <c r="K513" i="2"/>
  <c r="K220" i="2"/>
  <c r="K642" i="2"/>
  <c r="K575" i="2"/>
  <c r="K701" i="2"/>
  <c r="K87" i="2"/>
  <c r="K326" i="2"/>
  <c r="K267" i="2"/>
  <c r="K576" i="2"/>
  <c r="K143" i="2"/>
  <c r="K121" i="2"/>
  <c r="K123" i="2"/>
  <c r="K120" i="2"/>
  <c r="K122" i="2"/>
  <c r="K268" i="2"/>
  <c r="K269" i="2"/>
  <c r="K44" i="2"/>
  <c r="K115" i="2"/>
  <c r="K227" i="2"/>
  <c r="K577" i="2"/>
  <c r="K8" i="2"/>
  <c r="K578" i="2"/>
  <c r="K643" i="2"/>
  <c r="K644" i="2"/>
  <c r="K65" i="2"/>
  <c r="K645" i="2"/>
  <c r="K790" i="2"/>
  <c r="K646" i="2"/>
  <c r="K647" i="2"/>
  <c r="K514" i="2"/>
  <c r="K229" i="2"/>
  <c r="K222" i="2"/>
  <c r="K153" i="2"/>
  <c r="K515" i="2"/>
  <c r="K235" i="2"/>
  <c r="K648" i="2"/>
  <c r="K353" i="2"/>
  <c r="K649" i="2"/>
  <c r="K354" i="2"/>
  <c r="K92" i="2"/>
  <c r="K191" i="2"/>
  <c r="K154" i="2"/>
  <c r="K703" i="2"/>
  <c r="K650" i="2"/>
  <c r="K34" i="2"/>
  <c r="K162" i="2"/>
  <c r="K651" i="2"/>
  <c r="K516" i="2"/>
  <c r="K517" i="2"/>
  <c r="K652" i="2"/>
  <c r="K219" i="2"/>
  <c r="K742" i="2"/>
  <c r="K93" i="2"/>
  <c r="K46" i="2"/>
  <c r="K163" i="2"/>
  <c r="K236" i="2"/>
  <c r="K233" i="2"/>
  <c r="K164" i="2"/>
  <c r="K270" i="2"/>
  <c r="K781" i="2"/>
  <c r="K276" i="2"/>
  <c r="K579" i="2"/>
  <c r="K704" i="2"/>
  <c r="K774" i="2"/>
  <c r="K94" i="2"/>
  <c r="K237" i="2"/>
  <c r="K238" i="2"/>
  <c r="K705" i="2"/>
  <c r="K50" i="2"/>
  <c r="K277" i="2"/>
  <c r="K95" i="2"/>
  <c r="K96" i="2"/>
  <c r="K653" i="2"/>
  <c r="K792" i="2"/>
  <c r="K165" i="2"/>
  <c r="K97" i="2"/>
  <c r="K706" i="2"/>
  <c r="K654" i="2"/>
  <c r="K655" i="2"/>
  <c r="K68" i="2"/>
  <c r="K69" i="2"/>
  <c r="K98" i="2"/>
  <c r="K114" i="2"/>
  <c r="K707" i="2"/>
  <c r="K708" i="2"/>
  <c r="K743" i="2"/>
  <c r="K110" i="2"/>
  <c r="K656" i="2"/>
  <c r="K155" i="2"/>
  <c r="K149" i="2"/>
  <c r="K150" i="2"/>
  <c r="K192" i="2"/>
  <c r="K657" i="2"/>
  <c r="K658" i="2"/>
  <c r="K709" i="2"/>
  <c r="K710" i="2"/>
  <c r="K280" i="2"/>
  <c r="K281" i="2"/>
  <c r="K711" i="2"/>
  <c r="K283" i="2"/>
  <c r="K712" i="2"/>
  <c r="K284" i="2"/>
  <c r="K116" i="2"/>
  <c r="K580" i="2"/>
  <c r="K581" i="2"/>
  <c r="K713" i="2"/>
  <c r="K285" i="2"/>
  <c r="K193" i="2"/>
  <c r="K178" i="2"/>
  <c r="K357" i="2"/>
  <c r="K782" i="2"/>
  <c r="K99" i="2"/>
  <c r="K582" i="2"/>
  <c r="K295" i="2"/>
  <c r="K714" i="2"/>
  <c r="K296" i="2"/>
  <c r="K129" i="2"/>
  <c r="K518" i="2"/>
  <c r="K583" i="2"/>
  <c r="K151" i="2"/>
  <c r="K73" i="2"/>
  <c r="K327" i="2"/>
  <c r="K519" i="2"/>
  <c r="K520" i="2"/>
  <c r="K521" i="2"/>
  <c r="K584" i="2"/>
  <c r="K585" i="2"/>
  <c r="K239" i="2"/>
  <c r="K297" i="2"/>
  <c r="K298" i="2"/>
  <c r="K715" i="2"/>
  <c r="K716" i="2"/>
  <c r="K717" i="2"/>
  <c r="K659" i="2"/>
  <c r="K240" i="2"/>
  <c r="K213" i="2"/>
  <c r="K152" i="2"/>
  <c r="K132" i="2"/>
  <c r="K299" i="2"/>
  <c r="K25" i="2"/>
  <c r="K793" i="2"/>
  <c r="K660" i="2"/>
  <c r="K223" i="2"/>
  <c r="K661" i="2"/>
  <c r="K662" i="2"/>
  <c r="K204" i="2"/>
  <c r="K202" i="2"/>
  <c r="K586" i="2"/>
  <c r="K587" i="2"/>
  <c r="K358" i="2"/>
  <c r="K234" i="2"/>
  <c r="K300" i="2"/>
  <c r="K359" i="2"/>
  <c r="K718" i="2"/>
  <c r="K663" i="2"/>
  <c r="K360" i="2"/>
  <c r="K522" i="2"/>
  <c r="K744" i="2"/>
  <c r="K212" i="2"/>
  <c r="K664" i="2"/>
  <c r="K588" i="2"/>
  <c r="K177" i="2"/>
  <c r="K127" i="2"/>
  <c r="K176" i="2"/>
  <c r="K589" i="2"/>
  <c r="K26" i="2"/>
  <c r="K130" i="2"/>
  <c r="K136" i="2"/>
  <c r="K131" i="2"/>
  <c r="K719" i="2"/>
  <c r="K720" i="2"/>
  <c r="K721" i="2"/>
  <c r="K138" i="2"/>
  <c r="K590" i="2"/>
  <c r="K775" i="2"/>
  <c r="K301" i="2"/>
  <c r="K139" i="2"/>
  <c r="K523" i="2"/>
  <c r="K51" i="2"/>
  <c r="K665" i="2"/>
  <c r="K179" i="2"/>
  <c r="K536" i="2"/>
  <c r="K88" i="2"/>
  <c r="K302" i="2"/>
  <c r="K303" i="2"/>
  <c r="K140" i="2"/>
  <c r="K27" i="2"/>
  <c r="K91" i="2"/>
  <c r="K591" i="2"/>
  <c r="K304" i="2"/>
  <c r="K305" i="2"/>
  <c r="K722" i="2"/>
  <c r="K524" i="2"/>
  <c r="K525" i="2"/>
  <c r="K723" i="2"/>
  <c r="K724" i="2"/>
  <c r="K725" i="2"/>
  <c r="K111" i="2"/>
  <c r="K667" i="2"/>
  <c r="K668" i="2"/>
  <c r="K592" i="2"/>
  <c r="K325" i="2"/>
  <c r="K669" i="2"/>
  <c r="K194" i="2"/>
  <c r="K225" i="2"/>
  <c r="K361" i="2"/>
  <c r="K142" i="2"/>
  <c r="K124" i="2"/>
  <c r="K726" i="2"/>
  <c r="K727" i="2"/>
  <c r="K306" i="2"/>
  <c r="K728" i="2"/>
  <c r="K156" i="2"/>
  <c r="K144" i="2"/>
  <c r="K166" i="2"/>
  <c r="K167" i="2"/>
  <c r="K362" i="2"/>
  <c r="K670" i="2"/>
  <c r="K526" i="2"/>
  <c r="K527" i="2"/>
  <c r="K671" i="2"/>
  <c r="K89" i="2"/>
  <c r="K195" i="2"/>
  <c r="K307" i="2"/>
  <c r="K776" i="2"/>
  <c r="K28" i="2"/>
  <c r="K729" i="2"/>
  <c r="K224" i="2"/>
  <c r="K45" i="2"/>
  <c r="K777" i="2"/>
  <c r="K537" i="2"/>
  <c r="K363" i="2"/>
  <c r="K528" i="2"/>
  <c r="K783" i="2"/>
  <c r="K672" i="2"/>
  <c r="K100" i="2"/>
  <c r="K593" i="2"/>
  <c r="K594" i="2"/>
  <c r="K355" i="2"/>
  <c r="K529" i="2"/>
  <c r="K673" i="2"/>
  <c r="K730" i="2"/>
  <c r="K21" i="2"/>
  <c r="K90" i="2"/>
  <c r="K196" i="2"/>
  <c r="K29" i="2"/>
  <c r="K30" i="2"/>
  <c r="K674" i="2"/>
  <c r="K364" i="2"/>
  <c r="K328" i="2"/>
  <c r="K530" i="2"/>
  <c r="K595" i="2"/>
  <c r="K731" i="2"/>
  <c r="K365" i="2"/>
  <c r="K308" i="2"/>
  <c r="K197" i="2"/>
  <c r="K309" i="2"/>
  <c r="K203" i="2"/>
  <c r="K198" i="2"/>
  <c r="K101" i="2"/>
  <c r="K168" i="2"/>
  <c r="K169" i="2"/>
  <c r="K310" i="2"/>
  <c r="K47" i="2"/>
  <c r="K48" i="2"/>
  <c r="K311" i="2"/>
  <c r="K312" i="2"/>
  <c r="K145" i="2"/>
  <c r="K732" i="2"/>
  <c r="K733" i="2"/>
  <c r="K734" i="2"/>
  <c r="K199" i="2"/>
  <c r="K49" i="2"/>
  <c r="K6" i="2"/>
  <c r="K112" i="2"/>
  <c r="K85" i="2"/>
  <c r="K313" i="2"/>
  <c r="K70" i="2"/>
  <c r="K216" i="2"/>
  <c r="K74" i="2"/>
  <c r="K675" i="2"/>
  <c r="K215" i="2"/>
  <c r="K676" i="2"/>
  <c r="K677" i="2"/>
  <c r="K735" i="2"/>
  <c r="K160" i="2"/>
  <c r="K596" i="2"/>
  <c r="K141" i="2"/>
  <c r="K102" i="2"/>
  <c r="K597" i="2"/>
  <c r="K146" i="2"/>
  <c r="K598" i="2"/>
  <c r="K599" i="2"/>
  <c r="K125" i="2"/>
  <c r="K784" i="2"/>
  <c r="K76" i="2"/>
  <c r="K736" i="2"/>
  <c r="K41" i="2"/>
  <c r="K314" i="2"/>
  <c r="K315" i="2"/>
  <c r="K200" i="2"/>
  <c r="K600" i="2"/>
  <c r="K316" i="2"/>
  <c r="K317" i="2"/>
  <c r="K42" i="2"/>
  <c r="K737" i="2"/>
  <c r="K43" i="2"/>
  <c r="K738" i="2"/>
  <c r="K157" i="2"/>
  <c r="K739" i="2"/>
  <c r="K785" i="2"/>
  <c r="K230" i="2"/>
  <c r="K678" i="2"/>
  <c r="K205" i="2"/>
  <c r="K787" i="2"/>
  <c r="K679" i="2"/>
  <c r="K680" i="2"/>
  <c r="K531" i="2"/>
  <c r="K347" i="2"/>
  <c r="K348" i="2"/>
  <c r="K356" i="2"/>
  <c r="K740" i="2"/>
  <c r="K601" i="2"/>
  <c r="K226" i="2"/>
  <c r="K681" i="2"/>
  <c r="K158" i="2"/>
  <c r="K201" i="2"/>
  <c r="K318" i="2"/>
  <c r="K682" i="2"/>
  <c r="K538" i="2"/>
  <c r="K539" i="2"/>
  <c r="K788" i="2"/>
  <c r="K159" i="2"/>
  <c r="K602" i="2"/>
  <c r="K603" i="2"/>
  <c r="K180" i="2"/>
  <c r="K532" i="2"/>
  <c r="K533" i="2"/>
  <c r="K534" i="2"/>
  <c r="K535" i="2"/>
  <c r="K319" i="2"/>
  <c r="K320" i="2"/>
  <c r="K31" i="2"/>
  <c r="K185" i="2"/>
  <c r="K7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I19" authorId="0" shapeId="0" xr:uid="{3BD73C53-3EE6-43F3-B06F-64851F183F0A}">
      <text>
        <r>
          <rPr>
            <b/>
            <sz val="9"/>
            <color indexed="81"/>
            <rFont val="MS P ゴシック"/>
            <family val="3"/>
            <charset val="128"/>
          </rPr>
          <t>PL項目の定義は佐藤さん相談、業績ナビ確認</t>
        </r>
      </text>
    </comment>
    <comment ref="AH21" authorId="0" shapeId="0" xr:uid="{B09DCFA1-084E-4FA1-8C00-2BB710823E4A}">
      <text>
        <r>
          <rPr>
            <b/>
            <sz val="9"/>
            <color indexed="81"/>
            <rFont val="MS P ゴシック"/>
            <family val="3"/>
            <charset val="128"/>
          </rPr>
          <t>追加</t>
        </r>
      </text>
    </comment>
    <comment ref="Q35" authorId="0" shapeId="0" xr:uid="{253CE410-9C8B-42FB-B619-7D96727DBA31}">
      <text>
        <r>
          <rPr>
            <b/>
            <sz val="9"/>
            <color indexed="81"/>
            <rFont val="MS P ゴシック"/>
            <family val="3"/>
            <charset val="128"/>
          </rPr>
          <t>作成者:</t>
        </r>
        <r>
          <rPr>
            <sz val="9"/>
            <color indexed="81"/>
            <rFont val="MS P ゴシック"/>
            <family val="3"/>
            <charset val="128"/>
          </rPr>
          <t xml:space="preserve">
同義ではない</t>
        </r>
      </text>
    </comment>
    <comment ref="S46" authorId="0" shapeId="0" xr:uid="{D9EA188B-E0C6-4270-80E3-5356DA8519C1}">
      <text>
        <r>
          <rPr>
            <b/>
            <sz val="9"/>
            <color indexed="81"/>
            <rFont val="MS P ゴシック"/>
            <family val="3"/>
            <charset val="128"/>
          </rPr>
          <t>作成者:</t>
        </r>
        <r>
          <rPr>
            <sz val="9"/>
            <color indexed="81"/>
            <rFont val="MS P ゴシック"/>
            <family val="3"/>
            <charset val="128"/>
          </rPr>
          <t xml:space="preserve">
マスタ管理
小項目が費用科目になるイメージ</t>
        </r>
      </text>
    </comment>
    <comment ref="AH60" authorId="0" shapeId="0" xr:uid="{78A291E3-EA8A-4DF1-93D7-B09D030732CA}">
      <text>
        <r>
          <rPr>
            <b/>
            <sz val="9"/>
            <color indexed="81"/>
            <rFont val="MS P ゴシック"/>
            <family val="3"/>
            <charset val="128"/>
          </rPr>
          <t>追加</t>
        </r>
      </text>
    </comment>
    <comment ref="AH61" authorId="0" shapeId="0" xr:uid="{BE3C79FA-EEB6-480D-B5FA-5903421E01F8}">
      <text>
        <r>
          <rPr>
            <b/>
            <sz val="9"/>
            <color indexed="81"/>
            <rFont val="MS P ゴシック"/>
            <family val="3"/>
            <charset val="128"/>
          </rPr>
          <t>追加</t>
        </r>
      </text>
    </comment>
  </commentList>
</comments>
</file>

<file path=xl/sharedStrings.xml><?xml version="1.0" encoding="utf-8"?>
<sst xmlns="http://schemas.openxmlformats.org/spreadsheetml/2006/main" count="31602" uniqueCount="3999">
  <si>
    <t>【投影】SCM大会260420.pptx</t>
  </si>
  <si>
    <t>20260316_第3回SCM会議 議事録.docx</t>
  </si>
  <si>
    <t>【参考】20250512_SCM会議 議事録.docx</t>
  </si>
  <si>
    <t>【参考】20250828_第2回SCM会議 議事録.docx</t>
  </si>
  <si>
    <t>臼井さん_タスク一覧.xlsx</t>
  </si>
  <si>
    <t>中長期計画ver1について.pptx</t>
  </si>
  <si>
    <t>中長期計画書試作版ver1.pdf</t>
  </si>
  <si>
    <t>荷待ち荷役時間把握状況について.pptx</t>
  </si>
  <si>
    <t>【中京倉庫株式会社 御中】荷待ち荷役時間まとめ（2026.01）.pdf</t>
  </si>
  <si>
    <t>【予約システム】菓子浦和工場分析 (1).xlsx</t>
  </si>
  <si>
    <t>入庫チェック表(1月6日-15日).pdf</t>
  </si>
  <si>
    <t>受付日報(1月分).pdf</t>
  </si>
  <si>
    <t>4月SCM本部会議【全体版】.pptx</t>
  </si>
  <si>
    <t>Anaplan精度検証2603.pptx</t>
  </si>
  <si>
    <t>新商品カレンダー（2026.07）.pptx</t>
  </si>
  <si>
    <t>2504-2603営業起因持ち戻り.xlsx</t>
  </si>
  <si>
    <t>持ち戻り【営業】グラフ.xlsx</t>
  </si>
  <si>
    <t>持ち戻り【営業】時系列ﾘｽﾄ.XLSX</t>
  </si>
  <si>
    <t>持ち戻り直近6か月ﾘｽﾄ.xlsx</t>
  </si>
  <si>
    <t>ｱｲｽ持ち戻り【営業】時系列ﾘｽﾄ.XLSX</t>
  </si>
  <si>
    <t>26.4月度本部会議用【持ち戻り】.pptx</t>
  </si>
  <si>
    <t>【本編】4月度本部会議受注管理部パート.pptx</t>
  </si>
  <si>
    <t>アイス・エンカレッジ資料.pptx</t>
  </si>
  <si>
    <t>プロテイン製品情報.xlsx</t>
  </si>
  <si>
    <t>マーケ回答_プロテイン質問(SCM纏め一旦4.15提出） (1).xlsx</t>
  </si>
  <si>
    <t>生販_物流_キックオフミーティング.pptx</t>
  </si>
  <si>
    <t>生販_物流_キックオフミーティング②.pptx</t>
  </si>
  <si>
    <t>2026年4月SCM会議資料（物流企画二課）.pptx</t>
  </si>
  <si>
    <t>0330-0423.XLSX</t>
  </si>
  <si>
    <t>2026年4月度SCM会議需給.pptx</t>
  </si>
  <si>
    <t>アジアに恋して初週POSデータ(火-月データ).xlsx</t>
  </si>
  <si>
    <t>３月月次報告.pptx</t>
  </si>
  <si>
    <t>ガム25年度長期計画(4月月末事前).xlsx</t>
  </si>
  <si>
    <t>202604キャンディ月末事前資料.xlsx</t>
  </si>
  <si>
    <t>◇【業務用】ｱｲｽ生販在計画（2026年4月月末会議_前）.xlsx</t>
  </si>
  <si>
    <t>◎【市販用】ｱｲｽ生販在計画（2026年4月月末会議_前）.xlsx</t>
  </si>
  <si>
    <t>202604ビスケット月末生販事前会議.xlsx</t>
  </si>
  <si>
    <t>ガム25年度長期計画(4月月末会議資料).xlsx</t>
  </si>
  <si>
    <t>202604キャンディ月末会議資料.xlsx</t>
  </si>
  <si>
    <t>★1課 包装工程(2026年度)20260421.xlsx</t>
  </si>
  <si>
    <t>202604ビスケット月末生販会議前.xlsx</t>
  </si>
  <si>
    <t>●2604九州月末生販前0420２５菓子・アイス月間工程.xlsx</t>
  </si>
  <si>
    <t>●2604狭山月末生販前★確定版★2026年度ビスケットチョコ工程.xlsx</t>
  </si>
  <si>
    <t>九州アイス月間工程4-6.xlsx</t>
  </si>
  <si>
    <t>浦和アイス月間工程（市販用）4-6.xlsx</t>
  </si>
  <si>
    <t>浦和アイス月間工程（業務用）4-6.xlsx</t>
  </si>
  <si>
    <t>滋賀アイス工程4-6月.xlsx</t>
  </si>
  <si>
    <t>0427予定２５菓子・アイス月間工程 - コピー.xlsx</t>
  </si>
  <si>
    <t>協力☆【0423チョコ協力】チョコレート長期数表生販在表（26年4月月末生販会議前）.xlsx</t>
  </si>
  <si>
    <t>滋賀☆【0420】チョコレート長期数表生販在表（26年4月月末生販会議前）.xlsx</t>
  </si>
  <si>
    <t>滋賀菓子工程4-6月（４月月末会議）.xlsx</t>
  </si>
  <si>
    <t>ｋｙ☆【0420】チョコレート長期数表生販在表（26年4月月末生販会議前・九州工場案）.xlsx</t>
  </si>
  <si>
    <t>ﾛｰﾃｰｼｮﾝ(4月生販会議前) .xlsx</t>
  </si>
  <si>
    <t>2026.04支払い報告資料（需給部） .pptx</t>
  </si>
  <si>
    <t>物流費報告（26.04).pptx</t>
  </si>
  <si>
    <t>STS_改修週次定例_20260428.pptx</t>
  </si>
  <si>
    <t>26年4月生販会議（生産管理課） .pptx</t>
  </si>
  <si>
    <t>20260430SCM戦略部MTG.pptx</t>
  </si>
  <si>
    <t>ロッテ様 オーナインこ゛紹介資料20260423.pdf</t>
  </si>
  <si>
    <t>SCMDX推進課共有_20260430.pptx</t>
  </si>
  <si>
    <t>0422ミーティングメモ.xlsx</t>
  </si>
  <si>
    <t>サッポロジョルダー車見積比較.pptx</t>
  </si>
  <si>
    <t>パレタイズ調査（3月出荷・4～5月新製品）.xlsx</t>
  </si>
  <si>
    <t>原材料系質問事項.xlsx</t>
  </si>
  <si>
    <t>①【月次】市況_全国_2026年3月_共有用.pdf</t>
  </si>
  <si>
    <t>①株式会社ロッテ業績（超簡易版）.pptx</t>
  </si>
  <si>
    <t>☆SCM企画課ミーティング_エグゼクティブサマリ_260428.pptx</t>
  </si>
  <si>
    <t>中長期計画情報共有(佐々木).pptx</t>
  </si>
  <si>
    <t>202600428_課内MTG.pptx</t>
  </si>
  <si>
    <t>①【実績レビュー】_プランニング実績.pptx</t>
  </si>
  <si>
    <t>③【新製品レビュー】_260415 Ｔｈｅシリーズ マーケティングナレッジ共有会.pptx</t>
  </si>
  <si>
    <t>⑤【施策レビュー】_ナレッジMT用_コアラの街_202604.pdf</t>
  </si>
  <si>
    <t>⑥【諸連絡】_BillOne申請・承認改革説明会資料_ﾏｰｹﾃｨﾝｸﾞ本部.pptx</t>
  </si>
  <si>
    <t>?【実績レビュー】_2604損益共有ミーティング_損益部分.pptx</t>
  </si>
  <si>
    <t>【マーケアイス】生販会議資料260410.pdf</t>
  </si>
  <si>
    <t>【更新用】新アイス新製品リフレッシュ開発計画表・業務用　2019年度版.xlsx</t>
  </si>
  <si>
    <t>チョコ定例会議帳票.xlsx</t>
  </si>
  <si>
    <t>（事前共有用）8月度商品資料.pdf</t>
  </si>
  <si>
    <t>2026.04 会長報告 生産本部（3月度業績）.pptx</t>
  </si>
  <si>
    <t>20260508 「OEE・稼働率・直行率」.pptx</t>
  </si>
  <si>
    <t>20260508◆管理指標の定義と算出方法（20250929改定）.pptx</t>
  </si>
  <si>
    <t>20260508【本社生産本部用】2025年度目標管理（実績）.xlsx</t>
  </si>
  <si>
    <t>20260413 イラン情勢の影響.pptx</t>
  </si>
  <si>
    <t>2026年3月度資材部支払報告資料.pptx</t>
  </si>
  <si>
    <t>三井ダウポリケミカル大竹工場プラント停止資料.pptx</t>
  </si>
  <si>
    <t>経営戦略部・収益企画部</t>
  </si>
  <si>
    <t>26年3月度KK定例会長報告資料（本番用②手持ちあり）.pdf</t>
  </si>
  <si>
    <t>【260427】収益企画部月次社長報告資料.pdf</t>
  </si>
  <si>
    <t>20260413_①_ロッテインドネシア決裁権限区分表の改定の件.pdf</t>
  </si>
  <si>
    <t>20260413_②_本部ミッション・KPIの確認.pdf</t>
  </si>
  <si>
    <t>20260413_③_グローバルビジネス研修（公募）実施の件.pdf</t>
  </si>
  <si>
    <t>20260413_経営会議アジェンダ・エグゼクティブサマリ.pdf</t>
  </si>
  <si>
    <t>（配布のみ）2026年2月度 個別決算報告（確定）.pdf</t>
  </si>
  <si>
    <t>20260406 イラン情勢の影響（投影用）.pptx</t>
  </si>
  <si>
    <t>【報告資料】為替予約の実行スキーム及び実績・見込報告20260406.pdf</t>
  </si>
  <si>
    <t>【更新】20260406_経営戦略会議アジェンダ.pptx</t>
  </si>
  <si>
    <t>No</t>
  </si>
  <si>
    <t>指標タイプ</t>
  </si>
  <si>
    <t>概念</t>
  </si>
  <si>
    <t>用語</t>
  </si>
  <si>
    <t>略称/同義語</t>
  </si>
  <si>
    <t>定義</t>
  </si>
  <si>
    <t>算出式 / 構造</t>
  </si>
  <si>
    <t>単位</t>
  </si>
  <si>
    <t>使用シーン / 主な帳票</t>
  </si>
  <si>
    <t>出典</t>
  </si>
  <si>
    <t>営業</t>
  </si>
  <si>
    <t>マーケ</t>
  </si>
  <si>
    <t>生産</t>
  </si>
  <si>
    <t>SCM</t>
  </si>
  <si>
    <t>経営戦略
・収益企画</t>
  </si>
  <si>
    <t>総売上高</t>
  </si>
  <si>
    <t>総売</t>
  </si>
  <si>
    <t>全国営業会議, 営業政策, 予算表</t>
  </si>
  <si>
    <t>営政, 全営</t>
  </si>
  <si>
    <t>総売上 − 値引・返品・販売費（一部）</t>
  </si>
  <si>
    <t>品目別営業利益（純売ベース）, 営業会議資料</t>
  </si>
  <si>
    <t>全営</t>
  </si>
  <si>
    <t>ロッテから卸（特約店）への納品実績。工場出荷ベース。</t>
  </si>
  <si>
    <t>工場→特約店 への出荷金額</t>
  </si>
  <si>
    <t>倉入予算, 倉入計画, 月次概況, BO</t>
  </si>
  <si>
    <t>営政, 全営, 推進M</t>
  </si>
  <si>
    <t>店出実績</t>
  </si>
  <si>
    <t>店出, 店出し</t>
  </si>
  <si>
    <t>得意先（卸）から小売業（企業）への納品実績。</t>
  </si>
  <si>
    <t>卸→小売業 への納品金額。直取得意先は倉入＝店出。</t>
  </si>
  <si>
    <t>店出システム, BO, 月次企業計画差異</t>
  </si>
  <si>
    <t>推進M, 全営</t>
  </si>
  <si>
    <t>調整用実績</t>
  </si>
  <si>
    <t>調整用</t>
  </si>
  <si>
    <t>卸店に店入した売上から、傘下の小売業への店出実績を除いた実績。一般小売店への流出と仮定。</t>
  </si>
  <si>
    <t>①店入 − ②店出 ＝ 調整用実績（チャネル：スーパーD として自動計算）</t>
  </si>
  <si>
    <t>BO売上分析</t>
  </si>
  <si>
    <t>推進M</t>
  </si>
  <si>
    <t>営業利益</t>
  </si>
  <si>
    <t>OP</t>
  </si>
  <si>
    <t>売上から売上原価・販管費を控除した本業の利益。事業ベースの最終利益指標。</t>
  </si>
  <si>
    <t>営業政策, 月次品目別営業利益</t>
  </si>
  <si>
    <t>企業利益</t>
  </si>
  <si>
    <t>—</t>
  </si>
  <si>
    <t>営業活動で運用可能な費用のみを控除した利益。営業活動でコントロール可能な範囲の損益。</t>
  </si>
  <si>
    <t>売上 − 戦略原価 − フィ − 支店特売費 − 運賃（直取）</t>
  </si>
  <si>
    <t>企業別予算, アクションプラン</t>
  </si>
  <si>
    <t>支店利益</t>
  </si>
  <si>
    <t>企業利益から支店レベルの拡売費（資材費・ディスプレイ費）を控除した利益。</t>
  </si>
  <si>
    <t>企業利益 − 資材費 − ディスプレイ費</t>
  </si>
  <si>
    <t>支店PL</t>
  </si>
  <si>
    <t>統括利益</t>
  </si>
  <si>
    <t>支店利益から統括支店管理費用を控除した利益。統括支店の最終損益。</t>
  </si>
  <si>
    <t>支店利益 − 統括支店管理費用</t>
  </si>
  <si>
    <t>統括支店予算編成会議</t>
  </si>
  <si>
    <t>貢献利益</t>
  </si>
  <si>
    <t>企業利益から、本社販売費・物流費・広告宣伝費・人件費・一般管理費を控除した利益。事業営業利益に最も近い。</t>
  </si>
  <si>
    <t>企業利益 − 本社販売費（特売費・拡売費）− 物流費 − 広告宣伝費 − 人件費/一般管理費</t>
  </si>
  <si>
    <t>貢献利益月別、企業別ローリング</t>
  </si>
  <si>
    <t>商品別限界利益率分析（営業政策に多数登場）</t>
  </si>
  <si>
    <t>SCM会議（商品別限界利益率分析・VC改革検討）, S&amp;OP分析（SCM効率化KGI）</t>
  </si>
  <si>
    <t>収益企画社長報告</t>
  </si>
  <si>
    <t>総売比利益率</t>
  </si>
  <si>
    <t>総売上に対する営業利益率。営業政策表で多用される独自表現。</t>
  </si>
  <si>
    <t>営業利益 ÷ 総売上高 × 100</t>
  </si>
  <si>
    <t>%</t>
  </si>
  <si>
    <t>営業政策の予算表</t>
  </si>
  <si>
    <t>営政</t>
  </si>
  <si>
    <t>経常利益</t>
  </si>
  <si>
    <t>営業利益に営業外損益（金利・為替等）を加減した利益。</t>
  </si>
  <si>
    <t>営業利益 ± 営業外損益</t>
  </si>
  <si>
    <t>月次営業利益（全営）</t>
  </si>
  <si>
    <t>見なし利益</t>
  </si>
  <si>
    <t>企業別ローリングで使う、商品別実際原価＋物流費にて算出する利益。営業独自の概念。</t>
  </si>
  <si>
    <t>売上 − 商品別実際原価 − 物流費（実額ベース）</t>
  </si>
  <si>
    <t>企業商品別収益構造改革（営業政策）</t>
  </si>
  <si>
    <t>控除固定費</t>
  </si>
  <si>
    <t>貢献利益算出時に控除する固定費（広告宣伝費・人件費・一般管理費等）。売上に連動しない。</t>
  </si>
  <si>
    <t>予算時：売上予算 × 控除固定率 で算出（実績時もこの金額を流用）</t>
  </si>
  <si>
    <t>貢献利益管理</t>
  </si>
  <si>
    <t>控除変動費</t>
  </si>
  <si>
    <t>貢献利益算出時に控除する変動費（本社販売費・物流費等）。売上に連動する。</t>
  </si>
  <si>
    <t>予算時：売上予算 × 控除変動率 ／ 実績時：売上実績 × 控除変動率</t>
  </si>
  <si>
    <t>予算差 / 予算比</t>
  </si>
  <si>
    <t>予算比, 予算差</t>
  </si>
  <si>
    <t>予算と実績の差／比率。</t>
  </si>
  <si>
    <t>差＝実績 − 予算　／　比＝実績 ÷ 予算 × 100</t>
  </si>
  <si>
    <t>全営業帳票</t>
  </si>
  <si>
    <t>前年比 / 前年差</t>
  </si>
  <si>
    <t>前比, 前年差額</t>
  </si>
  <si>
    <t>前年同期の実績との比率／差額。</t>
  </si>
  <si>
    <t>比＝当年 ÷ 前年 × 100　／　差＝当年 − 前年</t>
  </si>
  <si>
    <t>仕切り価格</t>
  </si>
  <si>
    <t>仕切, 出荷単価</t>
  </si>
  <si>
    <t>ロッテが決めている卸店向け出荷単価。社内販売価格通達書で管理。</t>
  </si>
  <si>
    <t>上代 × 掛け率（アイスは概ね53%）／菓子は商品別に設定</t>
  </si>
  <si>
    <t>円</t>
  </si>
  <si>
    <t>社内販売価格通達書, Mercrius</t>
  </si>
  <si>
    <t>菓初, 氷初, 推進M</t>
  </si>
  <si>
    <t>希望小売価格</t>
  </si>
  <si>
    <t>上代</t>
  </si>
  <si>
    <t>ロッテが小売店に対して希望する販売価格。</t>
  </si>
  <si>
    <t>商品マスタで設定</t>
  </si>
  <si>
    <t>商品マスタ, 提案資料</t>
  </si>
  <si>
    <t>菓初, 氷初</t>
  </si>
  <si>
    <t>定番納価</t>
  </si>
  <si>
    <t>卸店から小売業への通常出荷価格。商談で交渉して決定。</t>
  </si>
  <si>
    <t>仕切 − フィ − 定番値差補填 → 卸粗利 → 定番納価</t>
  </si>
  <si>
    <t>商談見積書</t>
  </si>
  <si>
    <t>特売納価</t>
  </si>
  <si>
    <t>特売実施時の卸→小売業の納価。</t>
  </si>
  <si>
    <t>特売納価 ＝ 定番納価 − 値差補填（条件）</t>
  </si>
  <si>
    <t>見積書, Biz</t>
  </si>
  <si>
    <t>値差補填</t>
  </si>
  <si>
    <t>値差, 値引条件, 条件</t>
  </si>
  <si>
    <t>特売時にロッテが卸店に補填する金額。約定外含めて支払対応。</t>
  </si>
  <si>
    <t>条件提示額（円/CS等）</t>
  </si>
  <si>
    <t>菓初, 推進M</t>
  </si>
  <si>
    <t>規定値差</t>
  </si>
  <si>
    <t>商品ごとに設定された値差補填の上限。これを超える条件提示には申請が必要。</t>
  </si>
  <si>
    <t>Salesforce発売計画書で確認</t>
  </si>
  <si>
    <t>Salesforce, 発売計画書</t>
  </si>
  <si>
    <t>菓初</t>
  </si>
  <si>
    <t>規定外値差</t>
  </si>
  <si>
    <t>規定値差を超える条件提示。申請書の提出（規定外値差使用申請書）が必要。</t>
  </si>
  <si>
    <t>申請書ベース</t>
  </si>
  <si>
    <t>Anaplan, シャチ畑任三郎君</t>
  </si>
  <si>
    <t>禁止値差</t>
  </si>
  <si>
    <t>値差上限の全国統一化により、廉価販売によるブランド毀損を防ぐための上限。</t>
  </si>
  <si>
    <t>本社統一基準</t>
  </si>
  <si>
    <t>禁止値差対象品リスト</t>
  </si>
  <si>
    <t>SCM会議（特売費適正化・値差上限設定検討）</t>
  </si>
  <si>
    <t>菓初, 営政</t>
  </si>
  <si>
    <t>SCM会議, 第3回SCM議事録</t>
  </si>
  <si>
    <t>アイス定番値差</t>
  </si>
  <si>
    <t>定番補填</t>
  </si>
  <si>
    <t>アイス特有の定番納価補填。新仕切制度（2021年）以前は仕切60掛けへの5%補填、現在は仕切に対し9.46%が標準。</t>
  </si>
  <si>
    <t>仕切 × 9.46%（現行180円商品で約8.892円）</t>
  </si>
  <si>
    <t>アイス見積書</t>
  </si>
  <si>
    <t>氷初</t>
  </si>
  <si>
    <t>特売費</t>
  </si>
  <si>
    <t>特売実施で発生する経費全般。控除対象/控除対象外で区別。</t>
  </si>
  <si>
    <t>値差補填 + 特売条件 + 特売拡売費 等</t>
  </si>
  <si>
    <t>Biz, 特売費分析</t>
  </si>
  <si>
    <t>SCM会議（特売費コントロール・値差上限導入検討）</t>
  </si>
  <si>
    <t>SCM会議, 第3回SCM議事録, 第2回SCM議事録</t>
  </si>
  <si>
    <t>特売費率</t>
  </si>
  <si>
    <t>特売費 ÷ 売上 × 100</t>
  </si>
  <si>
    <t>営業政策, 全営の特売費分析</t>
  </si>
  <si>
    <t>収益企画社長報告（PLツリー：品目別特売費率管理）</t>
  </si>
  <si>
    <t>拡売費</t>
  </si>
  <si>
    <t>ディスプレイ・資材・本部対策など、小売店に支払われないキャンペーン経費。卸店への割戻に充当される本部インセンティブも含む。</t>
  </si>
  <si>
    <t>資材費 + ディスプレイ費 + 本部対策 等</t>
  </si>
  <si>
    <t>予算編成会議, アクションプラン</t>
  </si>
  <si>
    <t>推進M, 営政</t>
  </si>
  <si>
    <t>卸店の機能に対する割戻金。DBフィ／社会課題取組フィ／パートナーフィの3区分。</t>
  </si>
  <si>
    <t>売上規模ベース＋機能評価による加算</t>
  </si>
  <si>
    <t>卸取引制度, 基本フィ覚書</t>
  </si>
  <si>
    <t>卸店の物流機能を評価した支払い。売上規模累進。</t>
  </si>
  <si>
    <t>卸別売上30百万からの累進適用</t>
  </si>
  <si>
    <t>基本フィ覚書</t>
  </si>
  <si>
    <t>社会課題取組フィ</t>
  </si>
  <si>
    <t>ロッテと卸店の社会課題取組への対価。D+2対応・返品率削減等。</t>
  </si>
  <si>
    <t>D+2対応：0.3% / 返品率削減：0.2-0.3% （4年ごと見直し）</t>
  </si>
  <si>
    <t>パートナーフィ</t>
  </si>
  <si>
    <t>卸店の信用・店出データ提供・機能評価への対価。</t>
  </si>
  <si>
    <t>信用パート 0.8% + 店出データ 0.3% + 機能評価加算</t>
  </si>
  <si>
    <t>本部インセンティブ</t>
  </si>
  <si>
    <t>本部一括の卸店向け取組型インセンティブ。報奨金。</t>
  </si>
  <si>
    <t>個別合意（成果に応じて支払）</t>
  </si>
  <si>
    <t>%, 円</t>
  </si>
  <si>
    <t>拡売費(インセンティブ), Biz</t>
  </si>
  <si>
    <t>年契（年間契約）</t>
  </si>
  <si>
    <t>年間実績に応じて取り決めた料率や額での割戻金。</t>
  </si>
  <si>
    <t>年間契約覚書</t>
  </si>
  <si>
    <t>年契覚書、捺印申請</t>
  </si>
  <si>
    <t>ポイント販促費</t>
  </si>
  <si>
    <t>小売店のポイント付与販促への協賛費。</t>
  </si>
  <si>
    <t>期間内の数量 × ポイント代</t>
  </si>
  <si>
    <t>Biz</t>
  </si>
  <si>
    <t>商品ごとに定めた割戻金。数量増加や送り込みのフックとして使用。</t>
  </si>
  <si>
    <t>商品別割戻金 × 数量</t>
  </si>
  <si>
    <t>ベタ条件</t>
  </si>
  <si>
    <t>完全な単価値引型条件。完全取組型と対比される。本部インセンティブでは原則禁止。</t>
  </si>
  <si>
    <t>本部インセンティブ運用</t>
  </si>
  <si>
    <t>利用可能在庫</t>
  </si>
  <si>
    <t>営業側が欠品回避のために見る在庫。引き当て可能な分のみ。</t>
  </si>
  <si>
    <t>実在庫 − 引当済 − 検品待ち等</t>
  </si>
  <si>
    <t>CS</t>
  </si>
  <si>
    <t>BO在庫照会</t>
  </si>
  <si>
    <t>需給部在庫照会、月次報（欠品実績）</t>
  </si>
  <si>
    <t>—（参考：スライド2）</t>
  </si>
  <si>
    <t>受注ケース数</t>
  </si>
  <si>
    <t>卸店からの受注数。</t>
  </si>
  <si>
    <t>BO, 電子帳票</t>
  </si>
  <si>
    <t>振り返りMTG（品目別受注ケース確認）</t>
  </si>
  <si>
    <t>振返アイス, 振返ガム</t>
  </si>
  <si>
    <t>出荷ケース数</t>
  </si>
  <si>
    <t>工場→卸店への確定出荷数。</t>
  </si>
  <si>
    <t>店出システム</t>
  </si>
  <si>
    <t>生販会議（品目別出荷確認）</t>
  </si>
  <si>
    <t>返品</t>
  </si>
  <si>
    <t>卸店または小売業からの返品。返品率は社会課題取組フィの対象。</t>
  </si>
  <si>
    <t>返品金額 ÷ 売上</t>
  </si>
  <si>
    <t>返品率管理</t>
  </si>
  <si>
    <t>KK定例会長報告（返品率管理：菓子0.31%）</t>
  </si>
  <si>
    <t>KK定例会長報告</t>
  </si>
  <si>
    <t>予算</t>
  </si>
  <si>
    <t>年度予算（売上・営業利益・特売費）。8-10月の予算会議で策定。</t>
  </si>
  <si>
    <t>前年実績ベース＋戦略加味</t>
  </si>
  <si>
    <t>予算編成会議, 営業政策</t>
  </si>
  <si>
    <t>営政, 推進M</t>
  </si>
  <si>
    <t>商流予算</t>
  </si>
  <si>
    <t>売上に紐づく予算。PF企業セグメント予算率がベース。</t>
  </si>
  <si>
    <t>PF企業セグメント予算率 × 売上</t>
  </si>
  <si>
    <t>予算編成会議</t>
  </si>
  <si>
    <t>物流予算</t>
  </si>
  <si>
    <t>PF企業の商流予算を販売構成比で割り振った、統括支店ごとの物流費予算。</t>
  </si>
  <si>
    <t>PF企業商流予算 × 販売構成比（統括支店）</t>
  </si>
  <si>
    <t>アクションプラン</t>
  </si>
  <si>
    <t>AP</t>
  </si>
  <si>
    <t>PF企業および年契締結企業ごとに作成する年間営業計画。</t>
  </si>
  <si>
    <t>年契申請書も兼ねる</t>
  </si>
  <si>
    <t>アクションプラン会議(2月)</t>
  </si>
  <si>
    <t>概況</t>
  </si>
  <si>
    <t>月次の状況報告。Anaplanで作成。</t>
  </si>
  <si>
    <t>Anaplan, 月次帳票</t>
  </si>
  <si>
    <t>生販会議（月次概況報告）</t>
  </si>
  <si>
    <t>生販会議</t>
  </si>
  <si>
    <t>前月概況差</t>
  </si>
  <si>
    <t>前月時点の概況予測と実績の差。</t>
  </si>
  <si>
    <t>実績 − 前月概況</t>
  </si>
  <si>
    <t>月次見込差表</t>
  </si>
  <si>
    <t>初回見込差</t>
  </si>
  <si>
    <t>初回（3か月前）見込と実績の差。</t>
  </si>
  <si>
    <t>実績 − 初回見込</t>
  </si>
  <si>
    <t>当月概況差</t>
  </si>
  <si>
    <t>当月開始時の概況予測と実績の差。</t>
  </si>
  <si>
    <t>実績 − 当月概況</t>
  </si>
  <si>
    <t>最終見込差</t>
  </si>
  <si>
    <t>最終（1か月前）見込と実績の差。誤差率±5%以上が見込精度改善の対象。</t>
  </si>
  <si>
    <t>実績 − 最終見込</t>
  </si>
  <si>
    <t>見込</t>
  </si>
  <si>
    <t>Anaplan</t>
  </si>
  <si>
    <t>生販会議（営業見込とSCM見込の比較）</t>
  </si>
  <si>
    <t>店出計画と実績の比/差。月次企業計画差異で運用。</t>
  </si>
  <si>
    <t>比＝実績 ÷ 計画 × 100  ／  差＝実績 − 計画</t>
  </si>
  <si>
    <t>月次企業計画差異表（店出①②③）</t>
  </si>
  <si>
    <t>見込精度</t>
  </si>
  <si>
    <t>見込と実績の誤差率。営業の評価指標。</t>
  </si>
  <si>
    <t>ABS(実績 − 見込) ÷ 見込 × 100</t>
  </si>
  <si>
    <t>見込差表</t>
  </si>
  <si>
    <t>振り返りMTG（1か月前見込比・当月見込比）</t>
  </si>
  <si>
    <t>振返アイス, 振返ガム, 振返チョコ, 振返ビス, 振返キャン</t>
  </si>
  <si>
    <t>目標店有率</t>
  </si>
  <si>
    <t>店有率</t>
  </si>
  <si>
    <t>目標店有率。SRI+データで計測。現状差を併記して進捗管理。</t>
  </si>
  <si>
    <t>実施店舗数 ÷ 全店舗数 × 100</t>
  </si>
  <si>
    <t>営業政策, 主要商品KPI, 全国営業会議, 主要商品KPI管理</t>
  </si>
  <si>
    <t>販売店率</t>
  </si>
  <si>
    <t>SRI+データの指標。カテゴリ販売店当たりの販売規模。</t>
  </si>
  <si>
    <t>カテゴリ販売店ベース</t>
  </si>
  <si>
    <t>SRI+, 営業政策</t>
  </si>
  <si>
    <t>推計販売規模</t>
  </si>
  <si>
    <t>SRI+データの推計値。市場規模測定の基準。</t>
  </si>
  <si>
    <t>営政, TN</t>
  </si>
  <si>
    <t>新領域</t>
  </si>
  <si>
    <t>ウェルネス等の新事業領域。総売上の予算カテゴリ。</t>
  </si>
  <si>
    <t>CVS</t>
  </si>
  <si>
    <t>コンビニ</t>
  </si>
  <si>
    <t>コンビニエンスストア。50-250㎡前後で14時間以上営業。</t>
  </si>
  <si>
    <t>菓初, 全営</t>
  </si>
  <si>
    <t>SM</t>
  </si>
  <si>
    <t>スーパー</t>
  </si>
  <si>
    <t>スーパーマーケット。生鮮の扱いが強く、商品売上構成比50%以上。</t>
  </si>
  <si>
    <t>SM大型店</t>
  </si>
  <si>
    <t>SM のうち SRI区分で1000㎡以上の店舗。</t>
  </si>
  <si>
    <t>売場面積1000㎡以上</t>
  </si>
  <si>
    <t>営業政策, 主要商品KPI</t>
  </si>
  <si>
    <t>SM中・小型店</t>
  </si>
  <si>
    <t>SM のうち SRI区分で1000㎡以下の店舗。</t>
  </si>
  <si>
    <t>売場面積1000㎡以下</t>
  </si>
  <si>
    <t>営業政策</t>
  </si>
  <si>
    <t>薬品・ヘルスケア・ビューティ売上構成比50%以上の小売業。</t>
  </si>
  <si>
    <t>DS</t>
  </si>
  <si>
    <t>ディスカウントストア</t>
  </si>
  <si>
    <t>薄利多売を戦略とする業態。</t>
  </si>
  <si>
    <t>HC</t>
  </si>
  <si>
    <t>ホームセンター</t>
  </si>
  <si>
    <t>ホームセンターチャネル。タスクフォース対象（カインズ・DCM・島忠・コメリ・ジョイフル本田）。</t>
  </si>
  <si>
    <t>GMS</t>
  </si>
  <si>
    <t>総合スーパー</t>
  </si>
  <si>
    <t>総合スーパーマーケット。食料品・衣料品・生活用品を扱う。</t>
  </si>
  <si>
    <t>菓子はじめて</t>
  </si>
  <si>
    <t>リージョン</t>
  </si>
  <si>
    <t>CVS以外の地域SM・DRUG等を総称する内部用語。SRIデータ上の区分。</t>
  </si>
  <si>
    <t>全業態 − CVS</t>
  </si>
  <si>
    <t>EC</t>
  </si>
  <si>
    <t>ネット通販。コロナ禍で利用率伸長。</t>
  </si>
  <si>
    <t>業務用</t>
  </si>
  <si>
    <t>業務用チャネル（外食産業向け）。アイスでは独立カット。</t>
  </si>
  <si>
    <t>予算表</t>
  </si>
  <si>
    <t>重点取引先。Anaplan入力必須、タイムリーナレッジ入力必須対象。セグメント予算率の基礎。</t>
  </si>
  <si>
    <t>セルイン予算率ベースで選定</t>
  </si>
  <si>
    <t>Anaplan, アクションプラン, タイムリーナレッジ</t>
  </si>
  <si>
    <t>TN, 推進M, 営政</t>
  </si>
  <si>
    <t>PF企業のサブ分類。最重点 / 重点 / 貢献利益改善 等。</t>
  </si>
  <si>
    <t>本社判定</t>
  </si>
  <si>
    <t>全国営業会議の企業別表</t>
  </si>
  <si>
    <t>企業法人コード</t>
  </si>
  <si>
    <t>実績管理する大元の企業（小売業）法人コード。</t>
  </si>
  <si>
    <t>7始まりの8桁</t>
  </si>
  <si>
    <t>コード</t>
  </si>
  <si>
    <t>WebPerformer, 店出システム</t>
  </si>
  <si>
    <t>推進M, 菓初</t>
  </si>
  <si>
    <t>企業店舗コード</t>
  </si>
  <si>
    <t>実績管理する小売業店舗コード。</t>
  </si>
  <si>
    <t>8始まりの8桁</t>
  </si>
  <si>
    <t>実績管理する大元の卸法人。ロッテ直接取引する卸。</t>
  </si>
  <si>
    <t>1始まりの8桁</t>
  </si>
  <si>
    <t>WebPerformer</t>
  </si>
  <si>
    <t>特約店</t>
  </si>
  <si>
    <t>ロッテが直接お金のやり取りをする卸店。約280企業（菓子、社内口座除く）。</t>
  </si>
  <si>
    <t>売上30百万以上、信用評価D以上 等の基準</t>
  </si>
  <si>
    <t>特約店マスタ</t>
  </si>
  <si>
    <t>二次店</t>
  </si>
  <si>
    <t>特約店経由で取引する卸。請求・支払は特約店経由。</t>
  </si>
  <si>
    <t>卸マスタ</t>
  </si>
  <si>
    <t>直送店</t>
  </si>
  <si>
    <t>特約店付随の卸（小売業専用・特売・冷温センター等）。</t>
  </si>
  <si>
    <t>5始まりの8桁</t>
  </si>
  <si>
    <t>広域卸</t>
  </si>
  <si>
    <t>通常卸の中で全国に出先が存在する卸店。</t>
  </si>
  <si>
    <t>卸分類</t>
  </si>
  <si>
    <t>調整用店舗</t>
  </si>
  <si>
    <t>オンラインで卸から取得する店出実績で不明な実績を調整するための店舗（菓子のみ）。</t>
  </si>
  <si>
    <t>バイヤー</t>
  </si>
  <si>
    <t>得意先（小売業／卸）側の購買担当者。商談相手。</t>
  </si>
  <si>
    <t>全営業活動</t>
  </si>
  <si>
    <t>TN, 菓初</t>
  </si>
  <si>
    <t>得意先側の商品担当者。バイヤーと並ぶ商談相手。</t>
  </si>
  <si>
    <t>タイムリーナレッジ</t>
  </si>
  <si>
    <t>TN</t>
  </si>
  <si>
    <t>数決</t>
  </si>
  <si>
    <t>数量決定。商談で合意成立を意味する営業用語。</t>
  </si>
  <si>
    <t>商談記録</t>
  </si>
  <si>
    <t>営業活動</t>
  </si>
  <si>
    <t>StoreManager（棚割提案ツール）</t>
  </si>
  <si>
    <t>応酬話法</t>
  </si>
  <si>
    <t>商談時のバイヤー対応トーク。タイムリーナレッジで蓄積。</t>
  </si>
  <si>
    <t>メルクリウスで管理する商品の親コード。</t>
  </si>
  <si>
    <t>Mercrius</t>
  </si>
  <si>
    <t>ブランド</t>
  </si>
  <si>
    <t>キシリトール、ACUO、ガーナ等のブランド単位。</t>
  </si>
  <si>
    <t>板 / 大袋 / パウチ / 個売り / シェアパック / 徳用 等の商品形態。</t>
  </si>
  <si>
    <t>営業政策（チョコ・ビス）</t>
  </si>
  <si>
    <t>サブカテゴリ</t>
  </si>
  <si>
    <t>ガム：デンタル/エチケット/眠気すっきり/味を楽しむ/キッズ・キャラクター。
チョコ：徳用/無垢/センター/チョコスナック/子供菓子/ナッツ/スティック等。</t>
  </si>
  <si>
    <t>営業政策, 菓子はじめて</t>
  </si>
  <si>
    <t>営政, 菓初</t>
  </si>
  <si>
    <t>定番</t>
  </si>
  <si>
    <t>決まった売場に必ず仕入れて並べる、継続展開される商品。</t>
  </si>
  <si>
    <t>棚割, 営業計画</t>
  </si>
  <si>
    <t>スポット</t>
  </si>
  <si>
    <t>短期投入・期間限定の商品。</t>
  </si>
  <si>
    <t>通年定番</t>
  </si>
  <si>
    <t>年間を通じて棚に置かれる定番商品。</t>
  </si>
  <si>
    <t>半期ごとの棚割改廃で採用される定番。</t>
  </si>
  <si>
    <t>営業政策（チョコチャネル戦略）</t>
  </si>
  <si>
    <t>特定の取引先（チャネル/企業）専用に設計された商品。SEJ留型等。</t>
  </si>
  <si>
    <t>営業政策, 商品提案</t>
  </si>
  <si>
    <t>既存品との入れ替え／商品ライフサイクル末端の入れ替え。</t>
  </si>
  <si>
    <t>商品リフレッシュ</t>
  </si>
  <si>
    <t>TN, 営政</t>
  </si>
  <si>
    <t>ブランド改廃の概念区分。リニューアル＜リフレッシュ＜リブランディングの順で改廃度合いが大きい。</t>
  </si>
  <si>
    <t>終売</t>
  </si>
  <si>
    <t>商品販売終了。</t>
  </si>
  <si>
    <t>営業計画</t>
  </si>
  <si>
    <t>TN, 全営</t>
  </si>
  <si>
    <t>日本商品コード。</t>
  </si>
  <si>
    <t>13桁</t>
  </si>
  <si>
    <t>全商品マスタ</t>
  </si>
  <si>
    <t>SKU</t>
  </si>
  <si>
    <t>在庫管理単位。</t>
  </si>
  <si>
    <t>全帳票</t>
  </si>
  <si>
    <t>店頭の什器の端（エンド）への商品展開。</t>
  </si>
  <si>
    <t>商談, 店頭展開</t>
  </si>
  <si>
    <t>菓初, TN</t>
  </si>
  <si>
    <t>店頭での販促資材。ショッパー接点増加に寄与。</t>
  </si>
  <si>
    <t>SPinno, 営業活動</t>
  </si>
  <si>
    <t>キット展開</t>
  </si>
  <si>
    <t>キット販促を展開すること。市場前比に対するキット展開企業の前比効果を測定。</t>
  </si>
  <si>
    <t>店舗での買物客／商品との接触機会。</t>
  </si>
  <si>
    <t>非計画購買</t>
  </si>
  <si>
    <t>事前計画なしの店頭での購入決定。キット・ディスプレイで促進。</t>
  </si>
  <si>
    <t>季節催事（母の日、バレンタイン等）に合わせた商品展開。</t>
  </si>
  <si>
    <t>店頭回転</t>
  </si>
  <si>
    <t>店頭での売れ行きの速度感。</t>
  </si>
  <si>
    <t>棚割管理</t>
  </si>
  <si>
    <t>ロッテの直接雇用販売員。担当店舗を定期巡回。</t>
  </si>
  <si>
    <t>店舗フォロー</t>
  </si>
  <si>
    <t>業務委託の店頭ラウンダー（株式会社フィールドマーケティングシステムズ）。</t>
  </si>
  <si>
    <t>ドラッグ12企業フォロー</t>
  </si>
  <si>
    <t>営業情報共有の仕組み。商談アンケート→ダッシュボード可視化→営業情報共有会の流れ。</t>
  </si>
  <si>
    <t>Salesforce, 営業情報共有会</t>
  </si>
  <si>
    <t>バイヤーの声</t>
  </si>
  <si>
    <t>商談相手からの評価情報。タイムリーナレッジで『拾う』『活かす』。</t>
  </si>
  <si>
    <t>Salesforce</t>
  </si>
  <si>
    <t>営業情報共有会</t>
  </si>
  <si>
    <t>月次の営業情報共有定例会議。</t>
  </si>
  <si>
    <t>毎月実施</t>
  </si>
  <si>
    <t>戻し交渉</t>
  </si>
  <si>
    <t>値引書で見積より多い値引があった場合の返金交渉。</t>
  </si>
  <si>
    <t>Biz, 値引書</t>
  </si>
  <si>
    <t>約定外値引</t>
  </si>
  <si>
    <t>見積に記載のない値引。台帳管理対象。</t>
  </si>
  <si>
    <t>約定外値引対応プロセス</t>
  </si>
  <si>
    <t>ガムシェア</t>
  </si>
  <si>
    <t>ガムカテゴリーの市場シェア。KPI目標値で運用。</t>
  </si>
  <si>
    <t>ロッテ売上 ÷ カテゴリー総売上 × 100</t>
  </si>
  <si>
    <t>メーカーシェア</t>
  </si>
  <si>
    <t>メーカー別シェア。SRIデータで測定。</t>
  </si>
  <si>
    <t>営業政策（HC取組み等）</t>
  </si>
  <si>
    <t>商品マスタシステム。商品カルテ・詳細を確認。</t>
  </si>
  <si>
    <t>商品マスタ</t>
  </si>
  <si>
    <t>BO</t>
  </si>
  <si>
    <t>受注・実績照会の中央DB。売上/店入実績、店出実績を集約。</t>
  </si>
  <si>
    <t>全営業実績照会</t>
  </si>
  <si>
    <t>店出実績の登録・連携システム。企業店舗の登録も実施。</t>
  </si>
  <si>
    <t>店出実績管理</t>
  </si>
  <si>
    <t>販促費（値差/協賛金）の申請・精算システム。20万円超は稟議書要。</t>
  </si>
  <si>
    <t>販促費管理</t>
  </si>
  <si>
    <t>アナプラン</t>
  </si>
  <si>
    <t>販売計画・商品要求・概況作成システム。PF企業の主要管理ツール。</t>
  </si>
  <si>
    <t>提案書・発売計画書・終売切替情報・商談情報・タイムリーナレッジを管理するCRM。</t>
  </si>
  <si>
    <t>推進M, 菓初, TN</t>
  </si>
  <si>
    <t>臼井T</t>
  </si>
  <si>
    <t>得意先・業者マスタ承認システム。</t>
  </si>
  <si>
    <t>マスタ管理</t>
  </si>
  <si>
    <t>Hubble</t>
  </si>
  <si>
    <t>契約書管理システム。</t>
  </si>
  <si>
    <t>契約書管理</t>
  </si>
  <si>
    <t>見える化DB</t>
  </si>
  <si>
    <t>経営/営業の各種データを統合した参照DB。</t>
  </si>
  <si>
    <t>経営/営業</t>
  </si>
  <si>
    <t>シャチ畑任三郎君</t>
  </si>
  <si>
    <t>シャチハタ任三郎</t>
  </si>
  <si>
    <t>電子申請・回覧システム。規定外値差申請、フリー書式申請等に使用。</t>
  </si>
  <si>
    <t>申請ワークフロー</t>
  </si>
  <si>
    <t>Quicksight</t>
  </si>
  <si>
    <t>POSデータ・市場データ確認用のBIツール。</t>
  </si>
  <si>
    <t>営業分析</t>
  </si>
  <si>
    <t>SRI+</t>
  </si>
  <si>
    <t>インテージ社の小売パネル調査データ（推計販売規模）。</t>
  </si>
  <si>
    <t>市場分析</t>
  </si>
  <si>
    <t>営政, 菓初, TN</t>
  </si>
  <si>
    <t>QPR</t>
  </si>
  <si>
    <t>インテージ社の購入者パネル調査データ。性年代別構成比・購入率分析。</t>
  </si>
  <si>
    <t>マーケ分析</t>
  </si>
  <si>
    <t>StoreManager</t>
  </si>
  <si>
    <t>棚割提案ツール。</t>
  </si>
  <si>
    <t>棚割提案</t>
  </si>
  <si>
    <t>SPinno</t>
  </si>
  <si>
    <t>店頭資材要求・出荷システム。</t>
  </si>
  <si>
    <t>資材管理</t>
  </si>
  <si>
    <t>Agileworks</t>
  </si>
  <si>
    <t>覚書・年契等の捺印申請システム。</t>
  </si>
  <si>
    <t>契約捺印</t>
  </si>
  <si>
    <t>稟議書</t>
  </si>
  <si>
    <t>20万円超の支出は原則必要。Biz処理分は除く。</t>
  </si>
  <si>
    <t>申請</t>
  </si>
  <si>
    <t>覚書</t>
  </si>
  <si>
    <t>取引条件を毎年新年度から見直すため、毎年取得。主に基本フィと直送に関する内容。</t>
  </si>
  <si>
    <t>年契管理</t>
  </si>
  <si>
    <t>統括支店</t>
  </si>
  <si>
    <t>全国の営業活動を地区別に統括する単位（北海道/東北/首都圏/関東信越/中部/近畿/中四国/九州/広域CVS/広域流通/新領域業務用）。</t>
  </si>
  <si>
    <t>支店</t>
  </si>
  <si>
    <t>統括支店配下の営業単位。</t>
  </si>
  <si>
    <t>12月開催。統括支店の新年度予算（統括支店PL）を作成。</t>
  </si>
  <si>
    <t>12月実施</t>
  </si>
  <si>
    <t>方針決定会議</t>
  </si>
  <si>
    <t>11月開催。中期計画と営業戦略を決定。</t>
  </si>
  <si>
    <t>11月実施</t>
  </si>
  <si>
    <t>統括支店監査</t>
  </si>
  <si>
    <t>7月・10月実施。統括支店の運営状況確認（残高・Biz運用・労務・契約書 等）。</t>
  </si>
  <si>
    <t>営業企画部主催</t>
  </si>
  <si>
    <t>アクションプラン会議</t>
  </si>
  <si>
    <t>AP会議</t>
  </si>
  <si>
    <t>2月実施。年度のアクションプラン策定。</t>
  </si>
  <si>
    <t>2月実施</t>
  </si>
  <si>
    <t>ホームセンタータスクフォース</t>
  </si>
  <si>
    <t>HCタスクフォース</t>
  </si>
  <si>
    <t>2026年度新設。HC5企業（カインズ・DCM・島忠・コメリ・ジョイフル本田）の攻略チーム。</t>
  </si>
  <si>
    <t>営業推進</t>
  </si>
  <si>
    <t>STSマスタ更新ツール, 在庫計画プロファイル管理, 送品計画確認, 在庫推移確認（需給部・受注管理部）</t>
  </si>
  <si>
    <t>臼井T, STS定例</t>
  </si>
  <si>
    <t>在庫計画プロファイル</t>
  </si>
  <si>
    <t>STS内で管理される在庫計画のマスタ設定。商品ごとの安全在庫・補充ルール等を定義するプロファイル情報。</t>
  </si>
  <si>
    <t>STSマスタ更新ツール（在庫計画プロファイル）</t>
  </si>
  <si>
    <t>生販在計画</t>
  </si>
  <si>
    <t>生販在</t>
  </si>
  <si>
    <t>販売計画 + 生産計画 + 在庫計画 の統合管理</t>
  </si>
  <si>
    <t>生販在計画表, 月末生販会議, Anaplan, SCM会議（PSI計画最適化・生販会議）, SCM本部会議（3月生販在金額・ケース数確認）, 物流企画一課4-6月生販在計画</t>
  </si>
  <si>
    <t>臼井T, SCM会議, 第3回SCM議事録, SCM本部会議全体, 物流企画一課</t>
  </si>
  <si>
    <t>Googleが提供するクラウドベースのスクリプト実行環境。SCM本部ではGoogle Sheets上のツール自動化（STS帳票作成ツール等）に活用。</t>
  </si>
  <si>
    <t>STS帳票作成ツール, 各種自動化ツール</t>
  </si>
  <si>
    <t>コネクテッドシート</t>
  </si>
  <si>
    <t>Google SheetsとBigQueryを接続し、大規模データをスプレッドシート上で直接参照・分析できる機能。SCMではBigQueryのSCMデータを活用する際に使用。</t>
  </si>
  <si>
    <t>新商品要求アラートツール, 日別生販在表ツール</t>
  </si>
  <si>
    <t>BigQuery</t>
  </si>
  <si>
    <t>BQ</t>
  </si>
  <si>
    <t>Googleが提供するクラウド型データウェアハウス。SCMでは日別生販在データ等の大規模データ基盤として利用検討中。アクセス権限はICT管理。</t>
  </si>
  <si>
    <t>日別生販在表ツール, コネクテッドシート連携</t>
  </si>
  <si>
    <t>BillOne</t>
  </si>
  <si>
    <t>マーケ本部での経費申請・承認</t>
  </si>
  <si>
    <t>物流費ツール, 請求書管理</t>
  </si>
  <si>
    <t>経営会議（BillOne申請承認改革の取り組みKPI）</t>
  </si>
  <si>
    <t>マーケ生販会議</t>
  </si>
  <si>
    <t>本部KPI確認</t>
  </si>
  <si>
    <t>GTS</t>
  </si>
  <si>
    <t>SCM本部が物流費管理に使用していた旧システム。BillOneへの移行に伴い廃止予定。</t>
  </si>
  <si>
    <t>物流費管理（旧）</t>
  </si>
  <si>
    <t>滞貨帳票</t>
  </si>
  <si>
    <t>SCM需給部が管理する滞貨在庫の状況を可視化した帳票。通常の販売ペースを超えた在庫を対象に消化状況を管理。菓子・アイス別に運用。</t>
  </si>
  <si>
    <t>菓子滞貨帳票, 需給部＿需給計画課</t>
  </si>
  <si>
    <t>在庫表</t>
  </si>
  <si>
    <t>SCM需給部が管理する商品別在庫の一覧表。内品・外品の変換マスタと連動し、リアルタイムの在庫状況を把握するためのツール。</t>
  </si>
  <si>
    <t>在庫表改修, 需給部＿需給一課</t>
  </si>
  <si>
    <t>ロッテの経理基幹システム。SCM部門では新商品の保管場所判定（D002判定）やコネクテッドシートとの連携でデータを参照。</t>
  </si>
  <si>
    <t>新商品保管場所判定AIエージェント, 経理連携</t>
  </si>
  <si>
    <t>保管場所コード（D002）</t>
  </si>
  <si>
    <t>D002</t>
  </si>
  <si>
    <t>新商品保管場所判定AIエージェント, 物流企画1課</t>
  </si>
  <si>
    <t>新商品要求</t>
  </si>
  <si>
    <t>新商品要求精度確認ツール, 新商品要求アラートツール, 需給部＿需給1課, SCM本部会議（新商品出荷率確認・要求精度検証）</t>
  </si>
  <si>
    <t>臼井T, SCM本部会議全体, Anaplan精度検証</t>
  </si>
  <si>
    <t>アイス請求書ツール</t>
  </si>
  <si>
    <t>アイス請求書ツール（STEP2）, 物流部_物流企画二課</t>
  </si>
  <si>
    <t>広域販促ツール</t>
  </si>
  <si>
    <t>SCM部門が管理する広域向け販売促進関連のツール。SCMDX推進課・需給部が利用。不具合対応中（2026年5月時点）。</t>
  </si>
  <si>
    <t>広域販促ツール不具合修正, 需給部</t>
  </si>
  <si>
    <t>欠品率</t>
  </si>
  <si>
    <t>受注に対して在庫不足により出荷できなかった比率。全受注数に対して欠品（出荷不能）となった件数または金額の比率で、地区別・全国平均で管理される。SCM需給部が月次で管理・報告する在庫管理の主要KPI。社会課題取組フィの対象KPIの一つ。</t>
  </si>
  <si>
    <t>欠品件数（または金額） ÷ 総受注件数（または金額） × 100</t>
  </si>
  <si>
    <t>欠品実績管理（月次報）、地区別モニタリング、支払い報告MTG（在庫状況スライド）, SCM会議（KPI管理）, SCM本部会議（新商品出荷率・欠品率確認）, 需給部月次管理（在庫実績・欠品実績）</t>
  </si>
  <si>
    <t>本部KPI確認, KK定例会長報告</t>
  </si>
  <si>
    <t>締め時間</t>
  </si>
  <si>
    <t>卸店からの受注に対するSCM側の締め切り時刻。地区・拠点ごとに設定されており、月次で実績（平均超過分）を管理。</t>
  </si>
  <si>
    <t>分（実績は平均超過分で管理）</t>
  </si>
  <si>
    <t>月次報</t>
  </si>
  <si>
    <t>SCM見込み</t>
  </si>
  <si>
    <t>SCM見込</t>
  </si>
  <si>
    <t>SCM需給部が独自に立案する販売見込み。生販会議資料・振り返りミーティングで営業見込みと並べて比較される。生産計画の基礎となる。</t>
  </si>
  <si>
    <t>生販会議（販売振り返り・次月見込）、各カテゴリ振り返りMTG, SCM本部会議（販売見込み・前回生販会議振り返り）</t>
  </si>
  <si>
    <t>月次定例（需給部需給計画課主催）, SCM本部会議（生販会議資料収録）</t>
  </si>
  <si>
    <t>1か月前見込比</t>
  </si>
  <si>
    <t>販売振り返りミーティングで使用する精度指標。1か月前に立案されたSCM見込みまたは営業概況に対する当月実績の比率。</t>
  </si>
  <si>
    <t>当月実績 ÷ 1か月前見込み × 100</t>
  </si>
  <si>
    <t>各カテゴリ振り返りMTG（アイス・ガム・チョコ・ビス・キャン）</t>
  </si>
  <si>
    <t>振返アイス, 振返ガム, 振返キャン, 振返チョコ, 振返ビス</t>
  </si>
  <si>
    <t>当月見込比</t>
  </si>
  <si>
    <t>販売振り返りミーティングで使用する精度指標。当月版（直前）のSCM見込みに対する実績の比率。1か月前見込比よりも直近の精度を示す。</t>
  </si>
  <si>
    <t>当月実績 ÷ 当月見込み × 100</t>
  </si>
  <si>
    <t>販売振り返りミーティング</t>
  </si>
  <si>
    <t>振り返りMTG</t>
  </si>
  <si>
    <t>カテゴリ（アイス・ガム・チョコ・ビス・キャンディ）ごとに月次で実施する販売実績の振り返り会議。前月実績とSCM見込み・営業見込みの乖離をSKU単位で確認し、次月以降の見込み精度向上に活用。</t>
  </si>
  <si>
    <t>月次（カテゴリ別・需給部主催）</t>
  </si>
  <si>
    <t>生販在計画表（年間）</t>
  </si>
  <si>
    <t>生販在, 長期計画</t>
  </si>
  <si>
    <t>カテゴリ別に年間の生産・販売・在庫の計画値を月次で管理する帳票。外部品番・内部品番・商品名ごとに、在庫・生産・販売・変換の各数量（CS単位）を月別に記載する。</t>
  </si>
  <si>
    <t>在庫（月末）＝前月末在庫 + 生産 − 販売 ± 変換</t>
  </si>
  <si>
    <t>月末生販会議（調整事前会議・月末調整会議）、各カテゴリ（ガム・キャンディ・ビスケット・チョコ・アイス）の生産計画管理</t>
  </si>
  <si>
    <t>月末事前ガム, 月末事前キャン, 月末事前ビス, 月末事前チョコ, 月末事前アイス業, 月末事前アイス市</t>
  </si>
  <si>
    <t>日数, 在庫率</t>
  </si>
  <si>
    <t>現在の在庫数量を、当月の日平均販売数量で割った日数。在庫の過不足を判断するための指標。生販在計画表の各月の在庫欄に隣接して表示される。</t>
  </si>
  <si>
    <t>在庫日数 = 月末在庫 ÷ (月間販売数 ÷ 月日数)</t>
  </si>
  <si>
    <t>日</t>
  </si>
  <si>
    <t>生販在計画表（月別在庫管理）、月末調整会議での在庫水準評価, SCM本部会議（品目別在庫日数確認）</t>
  </si>
  <si>
    <t>月末事前ガム, 月末事前キャン, 月末事前ビス, 月末事前チョコ, 月末事前アイス業, 月末事前アイス市, SCM本部会議全体</t>
  </si>
  <si>
    <t>変換</t>
  </si>
  <si>
    <t>生販在計画表において、在庫の増減に影響するが、通常の生産・販売には分類されない調整項目。工場間の在庫移動、廃棄、仕掛品の変換（IP変更対応）等が含まれる。マイナスの場合は在庫が減少する方向。</t>
  </si>
  <si>
    <t>生販在計画表（月別在庫調整）</t>
  </si>
  <si>
    <t>IP変更</t>
  </si>
  <si>
    <t>IP, 包材変更</t>
  </si>
  <si>
    <t>商品の外装パッケージ（Inner Package）を変更すること。IP変更後の商品は品番が変わる（例：「チョコパイ IP変更 7ヶ月」）。旧品と新品の生産・販売・在庫を並行して生販在計画表で管理し、切り替えタイミングを調整する。</t>
  </si>
  <si>
    <t>生販在計画表（新旧品番の切り替え管理）、月末生販調整会議</t>
  </si>
  <si>
    <t>月末事前ビス, 月末事前チョコ</t>
  </si>
  <si>
    <t>内作</t>
  </si>
  <si>
    <t>自社工場での生産品。外注品と対比される。キャンディの生販在計画では「内作」シートと外注（委託）シートに分けて計画が管理される。</t>
  </si>
  <si>
    <t>月末事前キャン</t>
  </si>
  <si>
    <t>生販在計画表（全カテゴリ）、SAPとの在庫連携</t>
  </si>
  <si>
    <t>月末調整事前会議</t>
  </si>
  <si>
    <t>月末事前会議</t>
  </si>
  <si>
    <t>月末の生販調整会議の前週に開催される事前会議。カテゴリ別（ガム・キャンディ・アイス・ビスケット・チョコ）に分かれて開催し、生販在計画表をもとに生産・在庫・販売見込みの調整を実施。本会議での意思決定に向けた課題整理を行う。</t>
  </si>
  <si>
    <t>良品在庫</t>
  </si>
  <si>
    <t>良品</t>
  </si>
  <si>
    <t>アイスの在庫管理表で使用。検品・保留・不良品等を除いた、実際に出荷可能な在庫数量。当日在庫数から差異分を除いた数。</t>
  </si>
  <si>
    <t>良品在庫数 = 当日在庫数 − 保留等の差異数</t>
  </si>
  <si>
    <t>アイス生販在計画の在庫管理シート（在管）、欠品リスク評価</t>
  </si>
  <si>
    <t>月末事前アイス業, 月末事前アイス市</t>
  </si>
  <si>
    <t>滞貨, 滞貨在庫（生産帳票）</t>
  </si>
  <si>
    <t>工場ごと・製品ラインごとに、各日の生産計画数量（計画）と実際の生産数量（実績）を日次で管理する帳票。アイス・菓子・チョコ等カテゴリ別・工場別に作成される。月末の生販会議に先立ち、各工場から提出される。</t>
  </si>
  <si>
    <t>工場ごとの日次生産管理（浦和・滋賀・九州・狭山工場）</t>
  </si>
  <si>
    <t>月末調整会議の生産計画確認、カテゴリ別需給調整</t>
  </si>
  <si>
    <t>工程狭山, 工程九州菓子, 工程滋賀菓子, 包装工程1課</t>
  </si>
  <si>
    <t>工程浦和アイス業, 工程浦和アイス市, 工程九州アイス, 工程滋賀アイス</t>
  </si>
  <si>
    <t>稼働日</t>
  </si>
  <si>
    <t>稼働</t>
  </si>
  <si>
    <t>工場が実際に生産を行う営業日数。月次工程表の冒頭に記載される。休日・メンテナンス日を除いた日数で、生産計画の基準となる。月により異なる（例：22日、18日）。</t>
  </si>
  <si>
    <t>月次工程表（全工場）</t>
  </si>
  <si>
    <t>月末生販会議での生産可能量の確認</t>
  </si>
  <si>
    <t>工程狭山, 工程九州菓子, 包装工程1課</t>
  </si>
  <si>
    <t>工程浦和アイス市</t>
  </si>
  <si>
    <t>生産回答</t>
  </si>
  <si>
    <t>包装工程1課（生産計画表）</t>
  </si>
  <si>
    <t>包装工程1課</t>
  </si>
  <si>
    <t>工場の月次工程表で使用する商品の略称コード。例：CKK-18A（爽バニラ）、PFBC-17（クーリッシュベルギーチョコ）等。内部品番・外部品番とは別系統で、生産現場での工程管理に使用する独自記号。</t>
  </si>
  <si>
    <t>工場月次工程表（アイス・菓子全工場）</t>
  </si>
  <si>
    <t>月次工程表と生販在計画表の品番突合</t>
  </si>
  <si>
    <t>工程滋賀菓子, 工程九州菓子</t>
  </si>
  <si>
    <t>工程浦和アイス市, 工程浦和アイス業</t>
  </si>
  <si>
    <t>ローテ</t>
  </si>
  <si>
    <t>チョコレートの月次生産工程表の形式の一つ。複数ブランド・複数ラインを横断して、品番ごとに日次の生産割り当てを管理する帳票。「ﾛｰﾃｰｼｮﾝ(4月生販会議前)」のファイル名で使われる。</t>
  </si>
  <si>
    <t>CS（ロット数）</t>
  </si>
  <si>
    <t>チョコレート工場（滋賀・狭山）の生産スケジュール管理</t>
  </si>
  <si>
    <t>月末生販会議前のチョコ生産計画確認</t>
  </si>
  <si>
    <t>工程狭山</t>
  </si>
  <si>
    <t>月末事前チョコ</t>
  </si>
  <si>
    <t>物流費</t>
  </si>
  <si>
    <t>月次物流費報告（需給部・物流部）、支払い報告MTG, SCM会議（運賃・保管料KPI管理）, SCM本部会議（SCM費・運賃保管料率確認）, 物流費報告（物流企画一課・二課）, 物流費見込（4-6月）</t>
  </si>
  <si>
    <t>月次物流費報告, SCM本部会議（SCM費項目別確認）, 物流費報告（物流企画一課）</t>
  </si>
  <si>
    <t>廃棄申請, 焼却申請</t>
  </si>
  <si>
    <t>廃棄率 = 廃棄金額 ÷ 売上 × 100</t>
  </si>
  <si>
    <t>月次物流費報告（廃棄焼却申請スライド）, SCM本部会議（廃棄ロス・不動在庫確認）</t>
  </si>
  <si>
    <t>物流費報告, SCM本部会議全体</t>
  </si>
  <si>
    <t>物流費率</t>
  </si>
  <si>
    <t>累計在庫率</t>
  </si>
  <si>
    <t>累計在庫</t>
  </si>
  <si>
    <t>期初からの累計ベースで計算した在庫率。支払い報告資料の「在庫状況（累計在庫率）」スライドで使われる指標。単月在庫率と並べて評価することで、在庫水準の季節トレンドを把握する。</t>
  </si>
  <si>
    <t>累計在庫率 = 累計末在庫 ÷ 累計販売数（日換算等）</t>
  </si>
  <si>
    <t>日または%</t>
  </si>
  <si>
    <t>月次在庫状況報告（支払い報告MTG）, SCM会議（KPI管理・在庫適正化）, SCM本部会議（在庫率推移確認）</t>
  </si>
  <si>
    <t>フードバンク寄付</t>
  </si>
  <si>
    <t>フードバンク</t>
  </si>
  <si>
    <t>廃棄予定商品のうち、食品安全基準を満たすものをフードバンク団体に寄付する取り組み。廃棄焼却申請の中で別途金額が計上される。廃棄コストの一部を社会貢献活動として振り替える意味合いを持つ。</t>
  </si>
  <si>
    <t>廃棄焼却申請（月次物流費報告）</t>
  </si>
  <si>
    <t>物流費報告</t>
  </si>
  <si>
    <t>マーケティング本部が管理する商品別の発売・切替・終売の時期をまとめた計画表。定番・2nd・3rd・季節・CVS先行等のカテゴリ別に、発売月・品質変更・デザイン変更の情報を含む。アイスでは生販会議資料に添付される。</t>
  </si>
  <si>
    <t>アイス生販会議（マーケ）、新製品・リフレッシュ開発計画表</t>
  </si>
  <si>
    <t>マーケ生販会議, 新製品開発計画</t>
  </si>
  <si>
    <t>初週動向</t>
  </si>
  <si>
    <t>初週</t>
  </si>
  <si>
    <t>新商品の発売後1週間の販売実績・市場動向を分析した報告。SRI+データ（推計販売規模）・チャネル別実績・過去同時期品との比較を含む。マーケ本部の生販会議やナレッジMTGで報告される。</t>
  </si>
  <si>
    <t>アイス生販会議、新製品レビューMTG</t>
  </si>
  <si>
    <t>新製品・リフレッシュ開発計画表</t>
  </si>
  <si>
    <t>開発計画表</t>
  </si>
  <si>
    <t>マーケ本部が管理する商品開発の進捗管理帳票。品番（外部・内部）・品名・発売月・開発担当・デザイン担当・工場・サンプル生産有無・本生産スケジュール・数量等を一元管理する。チョコ・アイス等カテゴリ別に作成。</t>
  </si>
  <si>
    <t>新製品開発進捗管理、定例会議（チョコ定例等）</t>
  </si>
  <si>
    <t>新製品開発計画, チョコ定例帳票</t>
  </si>
  <si>
    <t>旧品番から新品番への切替時や終売時に設定する出荷・店頭販売の期限管理。開発計画表に「セルオフ期間」「出荷期限」「店頭期限」として記載される。旧在庫を計画的に消化するための管理指標。</t>
  </si>
  <si>
    <t>新製品・リフレッシュ開発計画表（品番切替管理）</t>
  </si>
  <si>
    <t>生販在計画での旧/新品番の切替管理</t>
  </si>
  <si>
    <t>プランニング実績</t>
  </si>
  <si>
    <t>プランニング</t>
  </si>
  <si>
    <t>マーケティング本部プランニング課が管理する、カテゴリ別の市場シェア実績（SRI+データ）の月次レビュー。ガム・キャンディ・チョコ・ビスケット・アイス等の主要カテゴリについて、ロッテおよび競合他社の販売シェア推移を報告する。</t>
  </si>
  <si>
    <t>マーケ本部ナレッジ共有会、損益共有MTG</t>
  </si>
  <si>
    <t>営業利益 = 売上 − 売上原価 − 販管費（各項目を階層で分解）</t>
  </si>
  <si>
    <t>損益共有ミーティング（マーケ本部）</t>
  </si>
  <si>
    <t>月次社長報告、収益企画社長報告（品目別PLツリー：ガム・チョコ・キャンディ・ビスケット・アイスの前年比）</t>
  </si>
  <si>
    <t>損益共有MTG</t>
  </si>
  <si>
    <t>マーケ本部定例会議（月次）</t>
  </si>
  <si>
    <t>プランニング実績, Theシリーズ共有, アジア恋ナレッジ, コアラの街</t>
  </si>
  <si>
    <t>月次在庫・業務報告（D+2締め率KPI）, 受注本編パート</t>
  </si>
  <si>
    <t>回転, 回転実績</t>
  </si>
  <si>
    <t>新商品初週動向レビュー、生販会議</t>
  </si>
  <si>
    <t>特定荷主</t>
  </si>
  <si>
    <t>CLO</t>
  </si>
  <si>
    <t>物流効率化法において特定荷主・特定連鎖化事業者に選任が義務付けられる管理職。事業運営上の重要な決定に参画できる管理的地位（経営幹部）から選任する必要がある。ロッテでは2026年3月に選任済み、5月までに国へ申請予定。</t>
  </si>
  <si>
    <t>SCM会議（物流統括管理者選定・CLO申請）</t>
  </si>
  <si>
    <t>積載率</t>
  </si>
  <si>
    <t>トラック1台あたりの積載可能量に対する実際の積載量の割合。物流効率化法の「3つの柱」の一つとして改善対象。積載率向上により輸送コスト削減・CO2排出削減・トラック不足問題の緩和が期待される。</t>
  </si>
  <si>
    <t>実際の積載量 ÷ 最大積載可能量 × 100</t>
  </si>
  <si>
    <t>荷待ち時間</t>
  </si>
  <si>
    <t>トラックが目的地（工場・倉庫等）に到着してから荷役作業が開始されるまでの待機時間。物流効率化法の「3つの柱」の一つとして短縮対象。バース予約システム導入等で削減を図る。</t>
  </si>
  <si>
    <t>荷役作業開始時刻 − 到着時刻</t>
  </si>
  <si>
    <t>分・時間</t>
  </si>
  <si>
    <t>VC改革</t>
  </si>
  <si>
    <t>SCM会議において推進される、調達から販売までのバリューチェーン全体を対象とした収益改革。①生販在計画（PSI）最適化、②商品規格適正化（入数・本数変更）、③特売費適正化（禁止値差導入）の3本柱で構成される。まずアイスから推進。</t>
  </si>
  <si>
    <t>SCM会議（VC改革全体推進）</t>
  </si>
  <si>
    <t>在庫ポリシー</t>
  </si>
  <si>
    <t>商品分類（年間定番重点品・季節定番品・スポット品等）と在庫パターン（作り溜め型・フロー対応型・スポット型等）の組み合わせに基づき、通常時・ピーク前の安全在庫週数や一斉出荷数を定義した基準。生販在計画最適化の前提となるルール体系。</t>
  </si>
  <si>
    <t>週</t>
  </si>
  <si>
    <t>SCM会議（PSI計画最適化・在庫ポリシー策定）</t>
  </si>
  <si>
    <t>配分調整</t>
  </si>
  <si>
    <t>配分運用</t>
  </si>
  <si>
    <t>需要が供給を上回る品薄時に、SCM/需給部が主導して各チャネル・得意先・ブランドへの出荷量を制御すること。売上・利益のシミュレーションに基づいて優先順位を決定する。</t>
  </si>
  <si>
    <t>CS（ケース）</t>
  </si>
  <si>
    <t>SCM会議（品薄時・需給調整判断）</t>
  </si>
  <si>
    <t>ユニットプライス</t>
  </si>
  <si>
    <t>商品1本（1個）あたりの価格または1mlあたりの単価。マルチ規格変更時に、本数削減による実質値上げが競合比で過度な割高感を生じないかを検証する際の基準指標。</t>
  </si>
  <si>
    <t>上代 ÷ カートン入数 または 上代 ÷ 総ml数</t>
  </si>
  <si>
    <t>円/本, 円/ml</t>
  </si>
  <si>
    <t>SCM会議（規格変更検討・競合比較）</t>
  </si>
  <si>
    <t>不動在庫</t>
  </si>
  <si>
    <t>実在庫のうち、標準的な販売速度で消化できないと判断された在庫</t>
  </si>
  <si>
    <t>SCM本部会議（不動在庫・廃棄ロス管理）、支払い報告MTG、月次在庫管理</t>
  </si>
  <si>
    <t>SCM本部会議全体, Anaplan精度検証</t>
  </si>
  <si>
    <t>廃棄ロス</t>
  </si>
  <si>
    <t>廃棄数量 × 仕切り価格</t>
  </si>
  <si>
    <t>SCM本部会議（不動在庫・廃棄ロス確認）、支払い報告MTG</t>
  </si>
  <si>
    <t>SCM本部会議全体</t>
  </si>
  <si>
    <t>保管・荷役料</t>
  </si>
  <si>
    <t>保管料</t>
  </si>
  <si>
    <t>SCM本部会議（SCM費項目別確認）、月次物流費報告</t>
  </si>
  <si>
    <t>新商品の発売日（または初回発送日）に合わせて行う最初の出荷とその際の要求数量。「一斉出荷率」は一斉要求に対する一斉出荷の充足率で、初回供給力を示すKPI。</t>
  </si>
  <si>
    <t>一斉出荷率 ＝ 一斉出荷金額（またはケース数） ÷ 一斉要求金額（またはケース数） × 100</t>
  </si>
  <si>
    <t>SCM本部会議（新商品要求精度確認）、Anaplan精度検証、新商品要求精度確認ツール</t>
  </si>
  <si>
    <t>対象月末までの累計出荷数量・金額とその累計要求数量。「月間出荷率」は月間要求に対する月間出荷の充足率で、月間の供給完遂度を示すKPI。</t>
  </si>
  <si>
    <t>月間出荷率 ＝ 月間出荷金額（またはケース数） ÷ 月間要求金額（またはケース数） × 100</t>
  </si>
  <si>
    <t>単月在庫率</t>
  </si>
  <si>
    <t>在庫率（単月）</t>
  </si>
  <si>
    <t>当月単独の在庫量を当月の販売量で割った比率（日数換算ではなく率）。累計在庫率と並べて月次の在庫水準を評価する。SCM本部会議の生販会議資料で菓子・アイス別に管理。</t>
  </si>
  <si>
    <t>月末在庫量 ÷ 当月販売量 × 100（または日数換算）</t>
  </si>
  <si>
    <t>SCM本部会議（在庫率推移確認）、生販会議資料</t>
  </si>
  <si>
    <t>持ち戻り</t>
  </si>
  <si>
    <t>持戻</t>
  </si>
  <si>
    <t>件</t>
  </si>
  <si>
    <t>持ち戻り発生率</t>
  </si>
  <si>
    <t>受注管理部KPI</t>
  </si>
  <si>
    <t>持ち戻りPPT, 受注本編</t>
  </si>
  <si>
    <t>持ち戻り発生要因</t>
  </si>
  <si>
    <t>持ち戻り要因分析</t>
  </si>
  <si>
    <t>持ち戻りPPT</t>
  </si>
  <si>
    <t>受注管理部KPI, 受発注業務</t>
  </si>
  <si>
    <t>受注本編</t>
  </si>
  <si>
    <t>TANOMU</t>
  </si>
  <si>
    <t>FAX発注をデジタル化するためのweb受注システム「TANOMU」。2025年度末時点で65軒先に導入済み（目標比130%達成）。2026年度目標：累計300軒先。</t>
  </si>
  <si>
    <t>軒先</t>
  </si>
  <si>
    <t>受注ミス</t>
  </si>
  <si>
    <t>伝票タイプ</t>
  </si>
  <si>
    <t>SAP上の受注伝票種別。通常受注・EDI受注・特殊単価・経費出荷の4区分が基本。D+2締め処理時の集計・引当に影響する。</t>
  </si>
  <si>
    <t>受注管理システム, D+2引当処理</t>
  </si>
  <si>
    <t>帳合</t>
  </si>
  <si>
    <t>チョウアイ</t>
  </si>
  <si>
    <t>商品が卸店を経由して最終的に納品される得意先チェーンの紐付け関係。例：DIG帳合→ドン・キホーテ、ファイブセンス帳合→Amazon・楽天・アスクル・杏林堂。</t>
  </si>
  <si>
    <t>菓子営業・アイス営業の取引制度（卸店管理）</t>
  </si>
  <si>
    <t>受注管理・物流管理</t>
  </si>
  <si>
    <t>生販物流KO, プロテイン質問, 生販物流KO②</t>
  </si>
  <si>
    <t>受注最低ロット（MOQ）</t>
  </si>
  <si>
    <t>MOQ</t>
  </si>
  <si>
    <t>Minimum Order Quantity。受注時に設定される最低発注数量。プロテイン等の輸入商材では生産ロット＝受注MOQとなるケースがある。</t>
  </si>
  <si>
    <t>生産ロットと同一に設定される場合あり</t>
  </si>
  <si>
    <t>CS（個）</t>
  </si>
  <si>
    <t>受注管理</t>
  </si>
  <si>
    <t>1/3ルール</t>
  </si>
  <si>
    <t>生販物流KO, プロテイン質問</t>
  </si>
  <si>
    <t>1/2許容（賞味期限）</t>
  </si>
  <si>
    <t>賞味期限の残存が1/2を切った製品でも受け入れを許容する得意先条件。通常は個別商談・重点企業との合意が必要。</t>
  </si>
  <si>
    <t>生販物流KO②, プロテイン質問</t>
  </si>
  <si>
    <t>輸入リードタイム</t>
  </si>
  <si>
    <t>需給・物流管理, 生販計画</t>
  </si>
  <si>
    <t>Gold Pure Nutrition社。ロッテが輸入取扱するプロテイン（Optimum Nutrition等）の海外サプライヤー。受注生産方式で供給。</t>
  </si>
  <si>
    <t>輸入商品管理, プロテイン発売</t>
  </si>
  <si>
    <t>生販物流KO, 生販物流KO②, プロテイン質問</t>
  </si>
  <si>
    <t>面数×段数（例：8×8＝64CS/PL）</t>
  </si>
  <si>
    <t>CS/PL</t>
  </si>
  <si>
    <t>保税倉庫</t>
  </si>
  <si>
    <t>輸入通関前の貨物を保管する税関管理下の倉庫。ロッテのプロテイン輸入では横浜の保税倉庫を経由し、検品・日本ラベル貼付・段ボール詰め替えを実施。</t>
  </si>
  <si>
    <t>輸入商品・物流管理</t>
  </si>
  <si>
    <t>生販物流KO</t>
  </si>
  <si>
    <t>受注管理部またはアイス部門での奨励・推進活動。主に得意先や社内向けの販促・目標達成促進活動。</t>
  </si>
  <si>
    <t>受注管理・販促活動</t>
  </si>
  <si>
    <t>B実績</t>
  </si>
  <si>
    <t>SCM本部会議（受注管理部パート）、持ち戻り分析、ボール実績月次管理</t>
  </si>
  <si>
    <t>出荷指図数量</t>
  </si>
  <si>
    <t>出荷指図</t>
  </si>
  <si>
    <t>ボール実績（B実績）、受注管理部の日次出荷管理</t>
  </si>
  <si>
    <t>工場・倉庫での商品保管に対して倉庫業者に支払う費用。在庫数量と単価の積で算出される。月次の物流費報告において一次輸送・二次配送等と並んで管理される。</t>
  </si>
  <si>
    <t>在庫数量 × 保管単価（円/ケース）</t>
  </si>
  <si>
    <t>月次物流費報告（物流企画一課・二課）、在庫状況との連動管理</t>
  </si>
  <si>
    <t>物流企画一課, 物流企画二課</t>
  </si>
  <si>
    <t>荷役料</t>
  </si>
  <si>
    <t>倉庫内での入出庫・仕分け・積み替えなどの作業費用。物流費の内訳科目の一つ。</t>
  </si>
  <si>
    <t>月次物流費報告（物流企画一課）</t>
  </si>
  <si>
    <t>物流企画一課</t>
  </si>
  <si>
    <t>転送費</t>
  </si>
  <si>
    <t>一度納品した商品を別の倉庫や配送先へ再輸送する際に発生する費用。首都圏出荷転送と首都圏以外転送に分けて管理される。</t>
  </si>
  <si>
    <t>転送数量（ケース）× 転送単価（円/ケース）</t>
  </si>
  <si>
    <t>工場から得意先（卸・小売）へ直接配送する物流形態。倉庫を介さないため保管料や転送費を削減できる。</t>
  </si>
  <si>
    <t>物流費効率管理（工直・備蓄直送・名変の3区分で追跡）</t>
  </si>
  <si>
    <t>備蓄直送</t>
  </si>
  <si>
    <t>消費地（地域デポや配送センター）に事前に備蓄し、需要発生時に直接配送する物流形態。</t>
  </si>
  <si>
    <t>名変（名義変更）</t>
  </si>
  <si>
    <t>名変</t>
  </si>
  <si>
    <t>出荷済みの商品の送り状（出荷先）を変更すること。出荷後の配送先変更に伴い発生する。転送の一形態。</t>
  </si>
  <si>
    <t>物流費効率管理（工直・備蓄直送・名変の3区分）</t>
  </si>
  <si>
    <t>地域の物流拠点（デポジトリ）。工場から一次輸送された商品を二次配送前に保管・仕分けする中継拠点。</t>
  </si>
  <si>
    <t>物流戦略（2デポ化・デポ統廃合等の施策管理）</t>
  </si>
  <si>
    <t>在庫率</t>
  </si>
  <si>
    <t>4月SCM需給</t>
  </si>
  <si>
    <t>EDI受注</t>
  </si>
  <si>
    <t>電子データ交換（EDI: Electronic Data Interchange）による受注。卸からの受注データをSAPに自動取り込みする仕組み。</t>
  </si>
  <si>
    <t>SAP受注データ管理（販売伝票タイプ：EDI受注として区分）</t>
  </si>
  <si>
    <t>0330-0423受注データ</t>
  </si>
  <si>
    <t>引当可能在庫</t>
  </si>
  <si>
    <t>実在庫 − 引当済数量 − 積送中在庫 等</t>
  </si>
  <si>
    <t>SAP受注照会・在庫管理（需給部）</t>
  </si>
  <si>
    <t>積送中在庫</t>
  </si>
  <si>
    <t>工場から倉庫・得意先への輸送途中にある在庫。物理的には移動中だが在庫として計上される。</t>
  </si>
  <si>
    <t>SAP受注・在庫照会（需給部・物流部）</t>
  </si>
  <si>
    <t>確認済数量（Sch.行）</t>
  </si>
  <si>
    <t>Sch数量</t>
  </si>
  <si>
    <t>SAPの出荷スケジュール（Sch.行）として確定された出荷予定数量。受注数量から欠品・キャンセル分を除いた実出荷予定数。</t>
  </si>
  <si>
    <t>受注数量 − 未確保分</t>
  </si>
  <si>
    <t>SAP受注管理・出荷計画確認（需給部）</t>
  </si>
  <si>
    <t>一般通過率</t>
  </si>
  <si>
    <t>新商品の発売後、一般消費者が実際に購入した割合（POSデータから算出）。初動の商品普及を示す指標。需給部がアジアに恋しての発売時にSRI+データで管理。</t>
  </si>
  <si>
    <t>アジアに恋して　新商品初週POSデータ管理</t>
  </si>
  <si>
    <t>SRI・需給トピックス（新商品動向）</t>
  </si>
  <si>
    <t>アジア恋POSデータ</t>
  </si>
  <si>
    <t>週販個数</t>
  </si>
  <si>
    <t>1販売店あたり1週間の販売個数。POSデータから算出する商品別販売効率の指標。SRI+データで管理。</t>
  </si>
  <si>
    <t>週間総販売個数 ÷ 販売店舗数</t>
  </si>
  <si>
    <t>個/店</t>
  </si>
  <si>
    <t>SRI+データ（新商品動向・競合比較）</t>
  </si>
  <si>
    <t>販売カバー率</t>
  </si>
  <si>
    <t>対象商品が販売された店舗数の、全対象店舗数に対する比率。新商品の配荷進捗の指標。POSデータで管理。</t>
  </si>
  <si>
    <t>販売実績のある店舗数 ÷ 全対象店舗数 × 100</t>
  </si>
  <si>
    <t>POSデータ・新商品初週分析</t>
  </si>
  <si>
    <t>新商品動向管理（需給部）</t>
  </si>
  <si>
    <t>日販金額</t>
  </si>
  <si>
    <t>1店舗あたり1日の販売金額。POSデータから算出する商品別販売効率指標。競合比較やランキング管理に使用。</t>
  </si>
  <si>
    <t>週間販売金額 ÷ 販売日数 ÷ 販売店舗数</t>
  </si>
  <si>
    <t>円/店/日</t>
  </si>
  <si>
    <t>廃棄（申請ベース）</t>
  </si>
  <si>
    <t>廃棄申請</t>
  </si>
  <si>
    <t>在庫の賞味期限切れ・品質劣化等により廃棄処分する際の申請ベースでの数量・金額。標準原価で算出。月次・累計で管理される。</t>
  </si>
  <si>
    <t>廃棄数量 × 標準原価</t>
  </si>
  <si>
    <t>月次物流費報告（3月廃棄：菓子・アイス別、標準原価ベース）</t>
  </si>
  <si>
    <t>実在庫数量 ÷ 倉庫保管容量 × 100</t>
  </si>
  <si>
    <t>4個入り商品（4合商品）を1CSとして換算する数量基準。菓子の生販在比較や前年比計算時に使用し、商品規格の変更があっても比較可能にする。</t>
  </si>
  <si>
    <t>4個入り商品：4合1ケース換算適用</t>
  </si>
  <si>
    <t>CS（換算後）</t>
  </si>
  <si>
    <t>菓子生販在比較（物流企画一課）・前年比計算</t>
  </si>
  <si>
    <t>SCM計画（現場）と事業計画・予算（経営）の整合を図る、中長期レンジの経営意思決定プロセス。不確実な環境下でSCMデータ起点で経営の軌道修正を促す機能。</t>
  </si>
  <si>
    <t>需要計画 → 供給計画 → 収益シミュレーション → 経営合意（S&amp;OP会議） → 各部門アクション</t>
  </si>
  <si>
    <t>S&amp;OP導入検討・中長期シナリオ計画</t>
  </si>
  <si>
    <t>S&amp;OP事例, SCMDX課共有</t>
  </si>
  <si>
    <t>生産（Production）・販売（Sales）・在庫（Inventory）を一元管理する計画体系。製販在情報を可視化し、需給バランスを管理する。</t>
  </si>
  <si>
    <t>販売計画 → 在庫計画 → 生産計画（逆算）</t>
  </si>
  <si>
    <t>需給部月次・週次計画、生販会議</t>
  </si>
  <si>
    <t>需給計画</t>
  </si>
  <si>
    <t>販売見込と生産能力・在庫水準を突き合わせ、需要と供給のバランスを最適化する計画。SCM部門が主管。</t>
  </si>
  <si>
    <t>販売見込 → 在庫計画 → 生産指示</t>
  </si>
  <si>
    <t>需給部日次・週次・月次管理</t>
  </si>
  <si>
    <t>シナリオプランニング</t>
  </si>
  <si>
    <t>シナリオ分析, What-ifシミュレーション</t>
  </si>
  <si>
    <t>複数の需要・供給シナリオ（楽観・悲観等）を設定し、利益・在庫・稼働率等のKPIへの影響を事前に試算・比較する意思決定手法。</t>
  </si>
  <si>
    <t>ベース計画 + シナリオA（上ブレ）+ シナリオB（下ブレ）→ KPI比較</t>
  </si>
  <si>
    <t>S&amp;OP会議・経営レビュー</t>
  </si>
  <si>
    <t>S&amp;OP事例</t>
  </si>
  <si>
    <t>在庫回転日数</t>
  </si>
  <si>
    <t>棚卸金額が何日分の売上に相当するかを示す指標。小さいほど在庫効率が高い。SCMの効率性KGIの一つ。</t>
  </si>
  <si>
    <t>棚卸金額 ÷ 売上高 × 365（日）</t>
  </si>
  <si>
    <t>SCM効率化指標管理、S&amp;OP分析</t>
  </si>
  <si>
    <t>オーバーハング</t>
  </si>
  <si>
    <t>バラ積み</t>
  </si>
  <si>
    <t>パレットを使わずに商品ケースを直接車両や倉庫に積み付ける方式。荷役の手間・破損リスクが高く非効率。</t>
  </si>
  <si>
    <t>0422MTGメモ</t>
  </si>
  <si>
    <t>発注リードタイム</t>
  </si>
  <si>
    <t>LT, 調達LT</t>
  </si>
  <si>
    <t>原材料・包材の発注から納品（入庫）までの所要日数。生産計画の先行期間を決定する基本パラメータ。</t>
  </si>
  <si>
    <t>発注日 → 納品日</t>
  </si>
  <si>
    <t>生産計画・調達管理</t>
  </si>
  <si>
    <t>需給計画・発注計画</t>
  </si>
  <si>
    <t>原材料質問</t>
  </si>
  <si>
    <t>AI需要予測</t>
  </si>
  <si>
    <t>機械学習・AIを活用して商品別・得意先別・期間別の需要を自動予測するシステム機能。人手による販売見込精度の向上を補完する。</t>
  </si>
  <si>
    <t>AI需要予測精度管理・Anaplan連携</t>
  </si>
  <si>
    <t>SCMDX課共有, o9紹介, S&amp;OP事例</t>
  </si>
  <si>
    <t>o9, オーナイン</t>
  </si>
  <si>
    <t>o9ソリューションズが提供する次世代SCMプラットフォーム。グラフDB（EKG：エンタープライズナレッジグラフ）を基盤に、需要予測・PSI可視化・S&amp;OP・損益シミュレーションを統合管理する。</t>
  </si>
  <si>
    <t>SCMシステム検討・AI需要予測RFP評価</t>
  </si>
  <si>
    <t>o9紹介, SCMDX課共有</t>
  </si>
  <si>
    <t>商品のサイズ・形状の制約により、パレットに積載した際に荷物がパレットの端からはみ出す状態。積載率低下・輸送コスト増の要因となる。</t>
  </si>
  <si>
    <t>荷待ち</t>
  </si>
  <si>
    <t>荷役時間</t>
  </si>
  <si>
    <t>荷役</t>
  </si>
  <si>
    <t>トラックへの積み込み・荷下ろし作業にかかる時間。荷待ち時間と合わせて「荷待ち・荷役時間」として改正法の把握義務対象。</t>
  </si>
  <si>
    <t>帰り便</t>
  </si>
  <si>
    <t>トラックが目的地への配送完了後、空車にならずに荷物を積んで戻ること。往復便の活用で輸送コストを削減できる。</t>
  </si>
  <si>
    <t>中長期計画共有（帰り荷の確保・往復便活用検討）</t>
  </si>
  <si>
    <t>中長期計画共有</t>
  </si>
  <si>
    <t>第一種荷主</t>
  </si>
  <si>
    <t>荷主（一種）</t>
  </si>
  <si>
    <t>ジョルダー車</t>
  </si>
  <si>
    <t>ジョルダー</t>
  </si>
  <si>
    <t>温度管理機能付きの冷凍・冷蔵対応トラック（ジョルダー社製の冷凍装置搭載車）。アイス等の温度管理が必要な商品の輸送に使用。</t>
  </si>
  <si>
    <t>中長期計画共有（帰り便・往復便の条件として温度管理車両必須）</t>
  </si>
  <si>
    <t>請求明細</t>
  </si>
  <si>
    <t>ロッテが卸店等に対して発行する請求明細情報の電子データ。eお菓子ねっとを経由して配信する運用をテスト中。</t>
  </si>
  <si>
    <t>課内MTG図所（請求明細データ配信テスト）</t>
  </si>
  <si>
    <t>課内MTG図所</t>
  </si>
  <si>
    <t>課内MTG0428（棚貸し配車業務フロー・受注管理部への移管検討）</t>
  </si>
  <si>
    <t>課内MTG0428</t>
  </si>
  <si>
    <t>カテゴリー前年比</t>
  </si>
  <si>
    <t>前年比（市況）</t>
  </si>
  <si>
    <t>インテージSRI+で集計した品目・メーカー別の市場規模（金額）の前年同期比。業界全体の市場動向把握に使用する。</t>
  </si>
  <si>
    <t>当年売上 ÷ 前年売上 × 100</t>
  </si>
  <si>
    <t>月次市況3月（菓子アイス全体・品目別・メーカー別の前年比）</t>
  </si>
  <si>
    <t>月次市況3月</t>
  </si>
  <si>
    <t>カテゴリー内シェア</t>
  </si>
  <si>
    <t>インテージSRI+で算出した、特定カテゴリー（アイス・チョコ等）内でのメーカー・ブランドの売上金額シェア。</t>
  </si>
  <si>
    <t>対象ブランドの売上 ÷ カテゴリー全体売上 × 100</t>
  </si>
  <si>
    <t>月次市況3月（メーカー別・ブランド別シェア）</t>
  </si>
  <si>
    <t>売上控除</t>
  </si>
  <si>
    <t>控除</t>
  </si>
  <si>
    <t>総売上高から差し引かれる控除項目の合計。主に特売費（控除対象）が含まれる。純売上高＝総売上高−売上控除。</t>
  </si>
  <si>
    <t>総売上高 − 純売上高</t>
  </si>
  <si>
    <t>損益計算書（P/L）</t>
  </si>
  <si>
    <t>純売上高 − 売上原価</t>
  </si>
  <si>
    <t>2月個別決算</t>
  </si>
  <si>
    <t>販管費</t>
  </si>
  <si>
    <t>販売費及び一般管理費の合計。広告宣伝費・運賃・保管料・人件費・一般管理費等を含む。</t>
  </si>
  <si>
    <t>販売費 + 広告宣伝費 + 運賃・保管料 + 人件費 + 一般管理費</t>
  </si>
  <si>
    <t>連結売上高</t>
  </si>
  <si>
    <t>連結</t>
  </si>
  <si>
    <t>㈱ロッテおよびグループ会社を連結した売上高。経理の連結決算で使用される概念で、単体（個別）売上とは異なる。</t>
  </si>
  <si>
    <t>個別決算報告（参照概念）、KK定例会長報告（連結決算速報：国内計・海外計・WEDEL等）</t>
  </si>
  <si>
    <t>個別決算</t>
  </si>
  <si>
    <t>㈱ロッテ単体および国内グループ各社の個別（単体）ベースの決算。連結決算と区別される。毎月経営会議で報告される。</t>
  </si>
  <si>
    <t>経営会議（月次報告）</t>
  </si>
  <si>
    <t>経営会議（業績モニタリング）</t>
  </si>
  <si>
    <t>社内レート</t>
  </si>
  <si>
    <t>社内換算レート</t>
  </si>
  <si>
    <t>例：1タイバーツ＝4.2円、1インドネシアルピア＝0.0091円（2025年社内レート）</t>
  </si>
  <si>
    <t>円/外貨</t>
  </si>
  <si>
    <t>海外事業業績管理（個別決算）</t>
  </si>
  <si>
    <t>営業外収益</t>
  </si>
  <si>
    <t>本業以外から得られる収益。受取利息・受取配当金・賃貸収入・為替差益・その他雑収入等を含む。</t>
  </si>
  <si>
    <t>受取利息 + 受取配当金 + 賃貸収入 + 為替差益 + 雑収入</t>
  </si>
  <si>
    <t>営業外費用</t>
  </si>
  <si>
    <t>本業以外で発生する費用。支払利息・売上割引・賃貸原価・為替差損等を含む。</t>
  </si>
  <si>
    <t>海外事業計</t>
  </si>
  <si>
    <t>アジア計（タイ・インドネシア・ベトナム・台湾）+ ウェデル計（ウェデル・ウェデルカフェ）</t>
  </si>
  <si>
    <t>個別決算報告（海外現法）</t>
  </si>
  <si>
    <t>従業員の会社への関与度・満足度を示す指標。社員意識調査で測定され、BBB/57ポイント等のランクで表現される。全社KPIとして経営会議でモニタリングされる。</t>
  </si>
  <si>
    <t>社員意識調査の得点・ランク（AA, BBB, BB等）</t>
  </si>
  <si>
    <t>ポイント</t>
  </si>
  <si>
    <t>経営会議（全部門KPI）</t>
  </si>
  <si>
    <t>チャンスロス</t>
  </si>
  <si>
    <t>販売機会損失</t>
  </si>
  <si>
    <t>欠品や在庫不足により本来得られたはずの売上が失われること。SCM部門の主要KPIである欠品率と連動して管理される。</t>
  </si>
  <si>
    <t>SCM本部KPI（チャンスロス削減）</t>
  </si>
  <si>
    <t>経営会議（SCM本部KPI）</t>
  </si>
  <si>
    <t>収益企画部が導入した経営管理システム。プロダクト損益の見える化・月次損益報告・予実分析に活用される。</t>
  </si>
  <si>
    <t>プロダクト損益見える化（月次社長報告）</t>
  </si>
  <si>
    <t>LotteGPT</t>
  </si>
  <si>
    <t>㈱ロッテグループで導入している社内生成AIシステム。業務効率化・AI活用推進の中核ツール。ICT部が管理し、全社利用率をKPIとして管理。</t>
  </si>
  <si>
    <t>全社AI活用（生成AI利用率KPI）</t>
  </si>
  <si>
    <t>決裁権限区分表</t>
  </si>
  <si>
    <t>権限区分表</t>
  </si>
  <si>
    <t>各種業務における回議者・決裁者を定めた社内規程。国内外の法人ごとに設定され、経営会議での決議対象となる重要規程。</t>
  </si>
  <si>
    <t>経営会議（決議事項）</t>
  </si>
  <si>
    <t>インドネシア権限, 経営会議レジュメ</t>
  </si>
  <si>
    <t>グローバルビジネス研修</t>
  </si>
  <si>
    <t>海外現地法人での実務経験を通じてグローバルビジネスの実践対応力を育成するための人事施策。国内研修2か月＋海外研修6か月。入社5年目以降が対象で公募制。</t>
  </si>
  <si>
    <t>経営会議（報告事項）、人事部施策</t>
  </si>
  <si>
    <t>本部ミッション</t>
  </si>
  <si>
    <t>各本部が年度初めに設定する中長期ビジョンと連動した部門の使命・目標。KPIとセットで経営会議で確認される。</t>
  </si>
  <si>
    <t>経営会議（報告事項）</t>
  </si>
  <si>
    <t>スマートファクトリー</t>
  </si>
  <si>
    <t>IoT・AI等を活用して生産ラインを自動化・最適化した工場。生産本部のKPIとしてスマートファクトリー化計画進捗100%・コストダウン金額で管理される。</t>
  </si>
  <si>
    <t>経営会議（生産本部KPI）</t>
  </si>
  <si>
    <t>工場設備の実力を示す総合指標。可用率×性能率×品質率で算出する。生産本部の管理指標として「OEE・稼働率・直行率」の定義が2026年度に整備された。</t>
  </si>
  <si>
    <t>可用率 × 性能率 × 品質率</t>
  </si>
  <si>
    <t>OEE・稼働率・直行率の定義資料、生産本部KPI</t>
  </si>
  <si>
    <t>稼働率</t>
  </si>
  <si>
    <t>直行率</t>
  </si>
  <si>
    <t>直行率算出要素（直行品率）、生産本部KPI、ライン省人化指標</t>
  </si>
  <si>
    <t>OEE稼働率直行率, 管理指標定義</t>
  </si>
  <si>
    <t>2024年に改正された物流に関する法律（流通業務の総合化及び効率化の促進に関する法律）。特定荷主として2026年10月までに中長期計画を国交省へ提出する義務がある。</t>
  </si>
  <si>
    <t>SCM本部KPI（中長期計画達成・荷待ち荷役時間削減）</t>
  </si>
  <si>
    <t>SCM本部会議全体, 中長期計画共有</t>
  </si>
  <si>
    <t>工場利益金額</t>
  </si>
  <si>
    <t>各工場の生産活動による利益。生産本部の最重要KPI。工場別（浦和・狭山・九州・滋賀）に設定・管理される。</t>
  </si>
  <si>
    <t>目標管理実績, 会長報告生産3月</t>
  </si>
  <si>
    <t>目標管理実績（生産本部KPI）</t>
  </si>
  <si>
    <t>目標管理実績, 本部KPI確認</t>
  </si>
  <si>
    <t>ロス率</t>
  </si>
  <si>
    <t>生産における原材料・製品の損失量の比率。原材料ロス・不明ロス等を含む。工場別に目標管理される。</t>
  </si>
  <si>
    <t>目標管理実績, 管理指標定義</t>
  </si>
  <si>
    <t>設備投資執行率</t>
  </si>
  <si>
    <t>設備投資の計画予算に対する実際の執行割合。各工場の設備更新・新設に関する予算消化率。</t>
  </si>
  <si>
    <t>設備投資実績額 ÷ 設備投資予算額 × 100</t>
  </si>
  <si>
    <t>労災件数</t>
  </si>
  <si>
    <t>工場における労働災害の発生件数。生産本部の安全管理KPI。工場別に目標設定される。</t>
  </si>
  <si>
    <t>目標管理実績</t>
  </si>
  <si>
    <t>コストダウン金額</t>
  </si>
  <si>
    <t>CD金額</t>
  </si>
  <si>
    <t>原材料・包材・製造コスト等の削減額。生産本部（工場・資材部）のKPIとして管理される。</t>
  </si>
  <si>
    <t>製品在庫</t>
  </si>
  <si>
    <t>工場・倉庫に保管されている完成品の在庫。生産本部が月次で前年対比を報告する。種類別・工場別に管理。</t>
  </si>
  <si>
    <t>会長報告（月次在庫報告）</t>
  </si>
  <si>
    <t>会長報告生産3月</t>
  </si>
  <si>
    <t>仕掛品在庫</t>
  </si>
  <si>
    <t>仕掛品</t>
  </si>
  <si>
    <t>原材料在庫</t>
  </si>
  <si>
    <t>会長報告（月次在庫報告）、資材部管理</t>
  </si>
  <si>
    <t>包材</t>
  </si>
  <si>
    <t>包装資材</t>
  </si>
  <si>
    <t>製品の包装に使用する資材全般。フィルム包材・樹脂容器・紙器・ラベル等を含む。資材部が調達・管理する。</t>
  </si>
  <si>
    <t>資材部支払報告・調達管理</t>
  </si>
  <si>
    <t>原材料・包材の供給が停止・制限されるリスク。地政学的リスク（イラン情勢等）や工場停止（三井ダウ等）が起因する。</t>
  </si>
  <si>
    <t>生産本部・資材部で管理</t>
  </si>
  <si>
    <t>経営戦略会議ES</t>
  </si>
  <si>
    <t>負荷時間</t>
  </si>
  <si>
    <t>分</t>
  </si>
  <si>
    <t>OEE・稼働率・直行率算出基準時間</t>
  </si>
  <si>
    <t>実稼働時間</t>
  </si>
  <si>
    <t>負荷時間から停止ロス（故障・段取り・チョコ停等）を除いた実際に設備が稼働した時間。OEE算出要素。</t>
  </si>
  <si>
    <t>OEE算出要素（時間稼働率の分子）</t>
  </si>
  <si>
    <t>良品率（OEE構成）</t>
  </si>
  <si>
    <t>良品率</t>
  </si>
  <si>
    <t>OEE算出要素</t>
  </si>
  <si>
    <t>製品化率</t>
  </si>
  <si>
    <t>ロッテ稼働率の構成要素</t>
  </si>
  <si>
    <t>生産設備管理・OEEロス分析</t>
  </si>
  <si>
    <t>生産ライン設計・能力計画</t>
  </si>
  <si>
    <t>管理指標定義</t>
  </si>
  <si>
    <t>設備保全管理</t>
  </si>
  <si>
    <t>歩留り</t>
  </si>
  <si>
    <t>原材料ロス管理・生産計画</t>
  </si>
  <si>
    <t>QCD</t>
  </si>
  <si>
    <t>生産管理の評価軸</t>
  </si>
  <si>
    <t>ポカヨケ</t>
  </si>
  <si>
    <t>品質管理・設備設計</t>
  </si>
  <si>
    <t>戦略原価</t>
  </si>
  <si>
    <t>単品別の製造原価から製造固定費（減価償却・人件費等）を除いた変動費ベースの原価。営業本部の利益管理（限界利益・企業利益計算）に使用する。</t>
  </si>
  <si>
    <t>戦略原価 ＝ 製造原価 − 製造固定費</t>
  </si>
  <si>
    <t>円/CS</t>
  </si>
  <si>
    <t>限界利益率分析・企業利益計算</t>
  </si>
  <si>
    <t>菓初, 氷初, 営政</t>
  </si>
  <si>
    <t>卸粗利 ＝ 定番納価 − 最終NET　／　小売粗利 ＝ 定番売価 − 定番納価</t>
  </si>
  <si>
    <t>円, %</t>
  </si>
  <si>
    <t>商談（定番・特売価格設定）</t>
  </si>
  <si>
    <t>物流フィ</t>
  </si>
  <si>
    <t>アイス取引制度における卸店への機能フィのうち、物流機能を評価した支払い。配送型卸店（小売業構成比が高い商社卸）に対して売上高規模による固定フィとして設定される。</t>
  </si>
  <si>
    <t>売上高規模基準による固定率（%）</t>
  </si>
  <si>
    <t>アイス取引制度・卸店管理</t>
  </si>
  <si>
    <t>販売フィ</t>
  </si>
  <si>
    <t>アイス取引制度における卸店への機能フィのうち、販売機能を評価した支払い。販路を持つ地域有力卸（販売型卸店）に対して販売伸長による達成フィとして設定される。</t>
  </si>
  <si>
    <t>売上達成率に応じた達成フィ率（%）</t>
  </si>
  <si>
    <t>2021年度に改正されたアイスクリームの取引制度。建値制度の見直し・割戻制度廃止・新仕切価格設定・卸店対策改正・値差補填改正・フィ新基準設定を含む包括的な制度。</t>
  </si>
  <si>
    <t>アイス商談・取引制度管理</t>
  </si>
  <si>
    <t>小売店本部協賛</t>
  </si>
  <si>
    <t>本部協賛</t>
  </si>
  <si>
    <t>小売業本部に対して支払うキャンペーン・棚確保等の協賛費用。アイス取引制度で基準が設定されている。菓子の「本部インセンティブ」に相当する概念。</t>
  </si>
  <si>
    <t>小売業別・協賛内容別に設定（年間基準）</t>
  </si>
  <si>
    <t>卸店対策（アイス）</t>
  </si>
  <si>
    <t>卸店対策</t>
  </si>
  <si>
    <t>アイス取引制度における卸店への対策費用の総称。実販対策・倉入対策等を含み、合計3.0%を基準として設定される。</t>
  </si>
  <si>
    <t>実販対策 + 倉入対策 ＝ 3.0%（基準）</t>
  </si>
  <si>
    <t>企業商品別収益構造改革</t>
  </si>
  <si>
    <t>収益構造改革</t>
  </si>
  <si>
    <t>営業本部が推進する取り組みで、企業別・商品別に「見なし利益」を算出し、利益率の低い企業の改善プランを商品単位で設定する。企業アクションプランとしてローリング管理する。</t>
  </si>
  <si>
    <t>企業アクションプラン・営業政策</t>
  </si>
  <si>
    <t>5品目</t>
  </si>
  <si>
    <t>全国営業会議・販売実績</t>
  </si>
  <si>
    <t>経営報告</t>
  </si>
  <si>
    <t>3月販売実績</t>
  </si>
  <si>
    <t>営業政策・商品戦略</t>
  </si>
  <si>
    <t>マーケ本部KPI管理</t>
  </si>
  <si>
    <t>シーズナル商品</t>
  </si>
  <si>
    <t>シーズナル</t>
  </si>
  <si>
    <t>季節性が高く特定シーズンに集中的に販売される商品。アイスの夏季商品、チョコレートのバレンタイン・クリスマス商品等。通年定番と対比される。</t>
  </si>
  <si>
    <t>催事計画・売場管理</t>
  </si>
  <si>
    <t>デイリープレミアム</t>
  </si>
  <si>
    <t>日常的に購入できる価格帯で高品質・高付加価値を訴求するアイス商品ポジション。ハーゲンダッツ等のプレミアムアイスよりは低価格だが、通常品より付加価値の高い価格帯。</t>
  </si>
  <si>
    <t>販売費運用計画</t>
  </si>
  <si>
    <t>営業政策・予算管理</t>
  </si>
  <si>
    <t>インバウンド需要</t>
  </si>
  <si>
    <t>インバウンド</t>
  </si>
  <si>
    <t>訪日外国人観光客による国内消費需要。ドンキホーテ等の免税対応店舗での売場獲得・販促費投下の対象として管理される。菓子・アイスともにインバウンド対応強化が2026年度施策の一つ。</t>
  </si>
  <si>
    <t>営業政策（特売費運用・インバウンド売場）, タイムリーナレッジ（インバウンド向け商材提案）</t>
  </si>
  <si>
    <t>エリア重点施策</t>
  </si>
  <si>
    <t>エリア重点施策枠</t>
  </si>
  <si>
    <t>菓子7-8月・アイス11-12月の年2期間、統括支店が独自テーマ・対象商品・目標値を設定できる販売施策枠。本社統一対策とは別に統括支店の裁量で取り組みを立案できる。営業評価（統括支店組織評価）に加点項目として反映される。</t>
  </si>
  <si>
    <t>統括支店施策立案・倉入/店出目標設定・エリア重点施策申請書</t>
  </si>
  <si>
    <t>本社統一対策</t>
  </si>
  <si>
    <t>本社対策</t>
  </si>
  <si>
    <t>ロッテ本社が全国統一条件で期間・対象商品・対象企業を設定し、本社経費を投下する販売施策。値差変更（規定値差の一時引き上げ）・協賛金（納品金額比率や個数ベースの戻し）等の形式で提供される。</t>
  </si>
  <si>
    <t>円 / ％</t>
  </si>
  <si>
    <t>本社統一対策申請（Biz対策）・得意先商談・特売提案</t>
  </si>
  <si>
    <t>値差基準変更</t>
  </si>
  <si>
    <t>値差変更対策</t>
  </si>
  <si>
    <t>通常の規定値差に対して期間限定で値差を引き上げる本社統一対策の形式。「通常値差＋対策期間限定加算額」で最大値差を設定し、特売回転の促進を目的とする。対策期間終了後は通常値差に戻す。</t>
  </si>
  <si>
    <t>最大値差 ＝ 規定値差 ＋ 対策期間加算額</t>
  </si>
  <si>
    <t>特売提案・本社統一対策申請</t>
  </si>
  <si>
    <t>定番採用契約</t>
  </si>
  <si>
    <t>定番採用対策</t>
  </si>
  <si>
    <t>新商品・育成商品の定番導入促進を目的に、対象期間内の納品金額に対して一定率（例：3%）を本社経費として支払う年間または期間契約。スポット採用への適用は原則不可。</t>
  </si>
  <si>
    <t>支払額 ＝ 対象期間納品金額 × 契約率（例：3%）</t>
  </si>
  <si>
    <t>新商品定番獲得交渉・本部商談・Biz対策申請</t>
  </si>
  <si>
    <t>配荷改善契約</t>
  </si>
  <si>
    <t>配荷契約</t>
  </si>
  <si>
    <t>既存商品の配荷（店有）拡大を促進するため、対象期間内の納品金額に対して一定率（例：2%）を本社経費として支払う契約。適用基準は10%以上の店有拡大。</t>
  </si>
  <si>
    <t>支払額 ＝ 対象期間納品金額 × 契約率（例：2%）</t>
  </si>
  <si>
    <t>既存商品の店有拡大交渉・Biz対策申請</t>
  </si>
  <si>
    <t>マストバイキャンペーン</t>
  </si>
  <si>
    <t>消費者が対象商品を購入するとポイントやプレゼントがもらえるキャンペーン施策。ロッテグミ（カジッテ等）で展開し、新規購入を促す目的で実施。</t>
  </si>
  <si>
    <t>グミ新商品発売時施策・消費者プロモーション</t>
  </si>
  <si>
    <t>カジッテ</t>
  </si>
  <si>
    <t>KAZITTE</t>
  </si>
  <si>
    <t>ロッテのハードグミブランド。「カジる、果実感。」をコンセプトに、ハード食感でありながら果実感が存分に楽しめる「果実感引き立て製法」（香り・食感・原料のこだわり）を特徴とする。2025年発売。</t>
  </si>
  <si>
    <t>新商品提案・定番採用交渉・施策提案</t>
  </si>
  <si>
    <t>ポケぷに</t>
  </si>
  <si>
    <t>ロッテのグミブランド。ポケモンとのコラボレーション商品で子ども〜若年層をターゲットとする。カジッテとともにグミ軸ブランドの一つ。年間通じて定番2品を展開。</t>
  </si>
  <si>
    <t>たっぷり果実とビタミングミ</t>
  </si>
  <si>
    <t>果実とビタミン</t>
  </si>
  <si>
    <t>ロッテの機能性フルーツグミ。1袋で1日分の9種マルチビタミン（ナイアシン・ビタミンA〜E等）を摂取できる「ホワイトスペース」商品。ミックスフルーツ果汁20%使用。20〜40代女性向け。</t>
  </si>
  <si>
    <t>健康訴求グミ提案・CVS・レール先行提案</t>
  </si>
  <si>
    <t>プレミアムガーナ モンブランショコラ＜和栗＞</t>
  </si>
  <si>
    <t>プレミアムガーナ モンブラン</t>
  </si>
  <si>
    <t>ロッテのプレミアムチョコレートブランド「プレミアムガーナ」の季節限定スポット商品。熊本県産和栗を使用したモンブランショコラ。8月18日全チャネル発売。希望小売価格368円（税抜）。</t>
  </si>
  <si>
    <t>いもくり催事提案・プレミアム売場作り</t>
  </si>
  <si>
    <t>チョコパイプレミアム</t>
  </si>
  <si>
    <t>チョコパイPR</t>
  </si>
  <si>
    <t>個売りのチョコパイにプレミアム素材を使用した上位品。笠間栗（茨城県産）・安納芋（鹿児島県産）等の季節素材を使用したスポット商品として展開し、いもくり催事やプレミアム需要を取り込む。</t>
  </si>
  <si>
    <t>いもくり催事提案・個売り定番拡大・本社対策活用</t>
  </si>
  <si>
    <t>いもくりフェア</t>
  </si>
  <si>
    <t>いもくり催事</t>
  </si>
  <si>
    <t>お盆明けの8月下旬〜10月頃にかけて実施される、さつまいも・栗フレーバー商品を集めた季節催事。スーパーやコンビニ各社が一斉にいもくりフェアを開催し、ロッテもチョコパイプレミアム・プレミアムガーナ等で対応する。</t>
  </si>
  <si>
    <t>いもくり催事売場獲得・陳列提案</t>
  </si>
  <si>
    <t>ロッテのハロウィン季節限定商品ライン。2026年テーマは「ENJOY 黒（ブラック）HALLOWEEN！」で、新キャラ「コアラのニャーチ」を起用したコアラのマーチ・パイの実・チョコパイのシェアパック・パーティーパックを展開。</t>
  </si>
  <si>
    <t>ハロウィン催事提案・売場陳列・シェアパック提案</t>
  </si>
  <si>
    <t>キシリトールガム エンジョイシリーズ</t>
  </si>
  <si>
    <t>エンジョイシリーズ</t>
  </si>
  <si>
    <t>キシリトールブランドの若年層向けフレーバーラインナップ。炭酸飲料フレーバー（コーラ等）やフルーツ・飲料フレーバーを展開し、ガム離反ユーザー・フルーツ系錠菓ユーザー・グミユーザーの取り込みを目的とする。</t>
  </si>
  <si>
    <t>キシリトール定番獲得・ノンユーザー新規獲得提案</t>
  </si>
  <si>
    <t>間口, 購入率</t>
  </si>
  <si>
    <t>ある商品・ブランドを購入した消費者の割合。対象期間中に1回以上購入した人数÷対象母集団で算出。市場浸透度を示す指標で、奥行（購入者あたり購入金額）とセットで分析される。</t>
  </si>
  <si>
    <t>間口（購入率）＝ 購買人数 ÷ 対象母集団 × 100</t>
  </si>
  <si>
    <t>ブランド戦略評価・市場分析</t>
  </si>
  <si>
    <t>SRI+・QPRデータ分析</t>
  </si>
  <si>
    <t>月次市況3月, SM_DRAG_SRI</t>
  </si>
  <si>
    <t>奥行（購入者あたり購入金額）</t>
  </si>
  <si>
    <t>奥行</t>
  </si>
  <si>
    <t>商品・ブランドの購入者1人あたりの購入金額。間口（購入率）とセットで使用し、ブランドの奥行は「購買頻度×購入単価」の実績を示す。奥行が低下している場合はヘビーユーザー化が課題。</t>
  </si>
  <si>
    <t>奥行 ＝ 購買金額合計 ÷ 購買人数</t>
  </si>
  <si>
    <t>円/人</t>
  </si>
  <si>
    <t>ブランド戦略評価・顧客分析</t>
  </si>
  <si>
    <t>QPRデータ活用</t>
  </si>
  <si>
    <t>初週動向（初週回転）</t>
  </si>
  <si>
    <t>新商品・リニューアル商品の発売から最初の1週間における販売実績。アイテム販売店あたりの販売規模（千円）や販売店率で評価し、新商品の立ち上がりを判断する基準となる。</t>
  </si>
  <si>
    <t>アイテム販売店あたり初週販売規模 = 初週売上 ÷ 販売店舗数</t>
  </si>
  <si>
    <t>新商品発売後の営業報告, タイムリーナレッジ（新商品発売後初週商談報告）</t>
  </si>
  <si>
    <t>新製品発売評価</t>
  </si>
  <si>
    <t>需給計画への反映</t>
  </si>
  <si>
    <t>マーケ生販会議, プランニング実績</t>
  </si>
  <si>
    <t>SM_DRAG_SRI</t>
  </si>
  <si>
    <t>アジアに恋して</t>
  </si>
  <si>
    <t>ロッテのプレミアムアイスブランド。アジアの食文化をテーマにした風味（烏龍ミルクティー・杏仁豆腐・ジャスミンミルクティー等）を展開。若年女性向けのデイリープレミアム訴求ブランド。</t>
  </si>
  <si>
    <t>プレミアム売場獲得・バンドル提案・アイス重点施策</t>
  </si>
  <si>
    <t>プレミアムアイスブランド戦略・TVCM施策</t>
  </si>
  <si>
    <t>アジア恋ナレッジ</t>
  </si>
  <si>
    <t>企業別大陳コンテスト</t>
  </si>
  <si>
    <t>大陳コンテスト</t>
  </si>
  <si>
    <t>特定企業（PF企業・地区重点企業等）が自社でエンド等の大型陳列コンテストを開催し、売場獲得・回転促進を図る本社対策の施策形式。本社がインセンティブ費用（企業総店舗数×30%×1万円が目安）を拠出する。</t>
  </si>
  <si>
    <t>アイスエンド売場獲得・本社施策申請</t>
  </si>
  <si>
    <t>レンタルアイスストッカー</t>
  </si>
  <si>
    <t>レンタルストッカー</t>
  </si>
  <si>
    <t>レンタル費用：2万円/月、設置費・撤去費：各7,500円</t>
  </si>
  <si>
    <t>円/月</t>
  </si>
  <si>
    <t>アイス売場拡大・夏季店有拡大施策・本社対策申請</t>
  </si>
  <si>
    <t>氷初, 営政</t>
  </si>
  <si>
    <t>品目別営業利益（純売ベース）</t>
  </si>
  <si>
    <t>品目別営利</t>
  </si>
  <si>
    <t>純売上（返品・値引控除後の売上）を分母としてブランド・品目ごとに算出した営業利益。営業利益の率計算に用いる。品目間の収益性比較や予算管理の基準となる。</t>
  </si>
  <si>
    <t>品目別営業利益率 = 品目別営業利益 ÷ 品目別純売上 × 100</t>
  </si>
  <si>
    <t>品目別営業利益帳票, 月次全国営業会議資料</t>
  </si>
  <si>
    <t>全営, 営政</t>
  </si>
  <si>
    <t>特売費率（総売比）</t>
  </si>
  <si>
    <t>売上に占める特売費の割合。品目別・統括支店別・ブランド別に管理し、予算比・前年比で分析する。費用の使用効率を示す指標で、売上増加と特売費削減の両立が目標。</t>
  </si>
  <si>
    <t>特売経費率 = 特売費 ÷ 売上 × 100</t>
  </si>
  <si>
    <t>特売費分析, 月次全国営業会議, 営業政策</t>
  </si>
  <si>
    <t>企業計画差, 店出計画差</t>
  </si>
  <si>
    <t>各企業の月次店出実績と当月入力計画値との差異。計画比±15%以上の企業には赤マーキングがされる。企業別の計画精度管理と翌月の商談準備に活用する。</t>
  </si>
  <si>
    <t>月次全国営業会議, 企業別計画管理</t>
  </si>
  <si>
    <t>BO（バイヤーオーダー）システムから抽出した地区・エリアマスタ基準の店出実績。KPI対象商品の地区別・単月・累計実績を示す。「エリア・マスタ基準」と明示される。</t>
  </si>
  <si>
    <t>主要商品KPI管理, 月次全国営業会議, 地区別実績振り返り</t>
  </si>
  <si>
    <t>地区別チャネル別店有率</t>
  </si>
  <si>
    <t>地区店有率</t>
  </si>
  <si>
    <t>統括支店・地区ごとにSM大型店（1000㎡以上）・DRUG等のチャネル別販売店率を示す指標。SRI+月次データで算出。目標店有率（現状差）とあわせてKPI管理される。</t>
  </si>
  <si>
    <t>販売店率 = 販売店舗数 ÷ カテゴリー取り扱い全店舗数 × 100</t>
  </si>
  <si>
    <t>主要商品KPI管理, 月次全国営業会議, チャネル別売場拡大活動</t>
  </si>
  <si>
    <t>縦構成比（チャネル別シェア）</t>
  </si>
  <si>
    <t>縦構成比</t>
  </si>
  <si>
    <t>特定チャネル（SM・DgS等）内でのロッテのシェア比率。「ガムシェア SM 61%」のように使用し、チャネル内でのポジションを示す。横構成比（品目内シェア）と対比される。</t>
  </si>
  <si>
    <t>縦構成比 = 対象チャネルのロッテ売上 ÷ 対象チャネルのカテゴリー売上 × 100</t>
  </si>
  <si>
    <t>チャネル別戦略立案, 月次全国営業会議</t>
  </si>
  <si>
    <t>品目（ガム・チョコ・キャンディ・ビスケット・アイス）ごとに、SM・CVS・DgS/DS・HC等の各チャネルで異なる戦略・KPIを設定して推進する営業戦略フレーム。「商品軸・売場軸・売方軸」で整理される。</t>
  </si>
  <si>
    <t>年度営業方針, 全国営業会議, 品目別チャネル戦略立案</t>
  </si>
  <si>
    <t>限界利益率に基づいた販売戦略</t>
  </si>
  <si>
    <t>限界利益率販売戦略</t>
  </si>
  <si>
    <t>各商品の限界利益率（売上 − 変動費）を基準に販売シフト先を決める戦略。低利益率商品から高利益率商品へ販売構成を移すことで、売上増加なしに利益改善を図る。全国営業会議でチョコ・ビスケット等に適用。</t>
  </si>
  <si>
    <t>限界利益率 = （売上 − 変動費） ÷ 売上 × 100</t>
  </si>
  <si>
    <t>月次営業会議, 年度チャネル別戦略, 商品別収益管理</t>
  </si>
  <si>
    <t>バンドル</t>
  </si>
  <si>
    <t>複数商品を組み合わせて販売する手法。アイス部門では「レディーボーデン＋アジアに恋して」のようにデイリープレミアム商品を組み合わせて客単価を向上させる施策として展開。</t>
  </si>
  <si>
    <t>アイス売場提案, プレミアム施策立案</t>
  </si>
  <si>
    <t>HDからのシェア奪取</t>
  </si>
  <si>
    <t>HD奪取</t>
  </si>
  <si>
    <t>ハーゲンダッツ（HD）が2025年に大幅な価格改定を実施したことに伴い、プレミアムアイス市場でハーゲンダッツから消費者を取り込む戦略。「アジアに恋して」等のデイリープレミアム商品で対応。</t>
  </si>
  <si>
    <t>アイスプレミアム市場戦略, 得意先商談</t>
  </si>
  <si>
    <t>ボトルガム</t>
  </si>
  <si>
    <t>ガムボトル</t>
  </si>
  <si>
    <t>キシリトールガムやブラックブラック等のガム商品をボトル（容器）形態で大量充填した商品形態。ドラッグストア・SM大型店向けに展開。単品（パケット）と対比され、回転金額・店有率で別管理される。</t>
  </si>
  <si>
    <t>ガム売場提案, 定番拡大交渉, 特売提案</t>
  </si>
  <si>
    <t>ラテミルク</t>
  </si>
  <si>
    <t>2026年4月発売のロッテのチョコレート商品。発売初月で1,050百万円の売上貢献。チョコレートカテゴリーの新規ブランドとして年度実績に寄与。</t>
  </si>
  <si>
    <t>チョコ新商品提案, 月次実績振り返り</t>
  </si>
  <si>
    <t>噛むこと取り組み</t>
  </si>
  <si>
    <t>噛むこと活動</t>
  </si>
  <si>
    <t>「噛むこと」の効能認知・意向向上を通じてガム・グミカテゴリーの活性化を図る、ロッテ営業本部の中長期的な社会貢献型マーケティング活動。自治体との連携協定締結から「継続的な課題解決」フェーズへ移行中。KPIは「全国 噛むこと効能認知」と「噛むこと意向」の数値向上。</t>
  </si>
  <si>
    <t>自治体連携提案, 歯科連携活動, 店頭売場提案</t>
  </si>
  <si>
    <t>全営, 推進M</t>
  </si>
  <si>
    <t>ガム・グミカテゴリーの売場活性化を目的に、LP（ロッテプロパー）全員を対象として毎月実施する好事例選抜制度。Salesforceのマンスリーレポートに「噛むチャレ」タイトルで投稿し、毎月5名を表彰・景品贈呈する。2026年4月〜2027年3月で通年実施。</t>
  </si>
  <si>
    <t>LP活動管理, 売場開発推進, 月次報告（Salesforce）</t>
  </si>
  <si>
    <t>LP活動カレンダー</t>
  </si>
  <si>
    <t>LPカレンダー</t>
  </si>
  <si>
    <t>ロッテプロパー（LP）の月次活動テーマと重点取り組み商品をスケジュール化したカレンダー。年度ごとに策定され、母の日・歯と口の健康週間・爽/クーリッシュ・キシリトール等の季節テーマを設定。「噛むチャレ」は通年テーマとして別途設定される。</t>
  </si>
  <si>
    <t>LP活動管理, 売場開発年間計画</t>
  </si>
  <si>
    <t>いい歯の日・歯と口の健康週間</t>
  </si>
  <si>
    <t>いい歯の日</t>
  </si>
  <si>
    <t>11月8日「いい歯の日」および6月の「歯と口の健康週間」（4〜10日）。キシリトールブランドの最大訴求機会として、キシリトール最大展開・いい歯の日キャンペーン等の施策を集中投下する時期。</t>
  </si>
  <si>
    <t>キシリトール施策最大化, 店頭展開, 売場増設取組み</t>
  </si>
  <si>
    <t>新商品出荷実績</t>
  </si>
  <si>
    <t>新商品出荷</t>
  </si>
  <si>
    <t>新商品の発売後、統括支店別・企業別の初期出荷（倉入）実績を集計した帳票。発売直後の立ち上がり状況を確認し、生産・需給計画の修正判断に活用する。全国営業会議で品目別・地区別に報告される。</t>
  </si>
  <si>
    <t>月次全国営業会議, 新商品立ち上がり評価</t>
  </si>
  <si>
    <t>プレミアムカテゴリー販売シェア</t>
  </si>
  <si>
    <t>プレミアムシェア</t>
  </si>
  <si>
    <t>SRI+データでSM・DgS・CVS業態における「プレミアムアイス」カテゴリー内のロッテのシェア比率。ハーゲンダッツ等の競合とのシェアを地区別に管理。アイス重点KPIの一つ。</t>
  </si>
  <si>
    <t>プレミアムシェア = ロッテプレミアムアイス売上 ÷ プレミアムカテゴリー全体売上 × 100</t>
  </si>
  <si>
    <t>アイスプレミアム市場戦略, 月次全国営業会議</t>
  </si>
  <si>
    <t>アンケート集計ダッシュボード</t>
  </si>
  <si>
    <t>タイムリーナレッジDB, 集計DB</t>
  </si>
  <si>
    <t>タイムリーナレッジで収集した商談アンケートをリアルタイム集計・可視化するSalesforce上のダッシュボード。先行商談企業のバイヤーの声を即時確認できる。</t>
  </si>
  <si>
    <t>Salesforceアンケート機能 → 集計 → ダッシュボード表示</t>
  </si>
  <si>
    <t>Salesforce, タイムリーナレッジ運用, 営業情報共有会</t>
  </si>
  <si>
    <t>商談アンケート</t>
  </si>
  <si>
    <t>タイムリーナレッジアンケート</t>
  </si>
  <si>
    <t>タイムリーナレッジの一環として、新商品・プロモーション商談後にPF企業担当（必須）・その他企業担当（任意）が商談2日後までに入力するSalesforce上のアンケート。バイヤーの評価（ポジティブ・ネガティブ）を収集する。</t>
  </si>
  <si>
    <t>Salesforce営業支援 &gt; アンケート より入力</t>
  </si>
  <si>
    <t>タイムリーナレッジ運用, 商談後報告, Salesforce</t>
  </si>
  <si>
    <t>エチケット市場</t>
  </si>
  <si>
    <t>口臭・息のケアを目的としたガム・タブレット等の市場カテゴリー。ACUOが属するサブカテゴリ。コロナ5類移行後に10〜40代男女でブレスケア意識が高まっている。</t>
  </si>
  <si>
    <t>ACUO商談, ガム市場分析, SRI+データ参照</t>
  </si>
  <si>
    <t>売上原価率</t>
  </si>
  <si>
    <t>原価率</t>
  </si>
  <si>
    <t>純売上高に対する売上原価の比率。製造コスト効率を示す主要管理指標。</t>
  </si>
  <si>
    <t>売上原価 ÷ 純売上高 × 100</t>
  </si>
  <si>
    <t>生産本部月次管理（原価率実績・予算差管理）</t>
  </si>
  <si>
    <t>EBITDA</t>
  </si>
  <si>
    <t>売上債権</t>
  </si>
  <si>
    <t>売掛金・受取手形</t>
  </si>
  <si>
    <t>売掛金 + 受取手形</t>
  </si>
  <si>
    <t>債権回転日数</t>
  </si>
  <si>
    <t>売上債権 ÷ 売上高 × 365（または月末残÷月次売上×30）</t>
  </si>
  <si>
    <t>棚卸資産</t>
  </si>
  <si>
    <t>在庫金額</t>
  </si>
  <si>
    <t>製品・商品・仕掛品・原材料の合計在庫金額（財務BS上の表示）。</t>
  </si>
  <si>
    <t>製品在庫 + 商品在庫 + 仕掛品 + 原材料</t>
  </si>
  <si>
    <t>原料費率</t>
  </si>
  <si>
    <t>売上に対する原料費（原材料費）の比率。カカオ豆等の原料相場の影響を直接受ける主要原価KPI。</t>
  </si>
  <si>
    <t>原料費 ÷ 総売上高（または純売上高）× 100</t>
  </si>
  <si>
    <t>生産本部月次管理</t>
  </si>
  <si>
    <t>SCM会議</t>
  </si>
  <si>
    <t>運賃保管料率</t>
  </si>
  <si>
    <t>売上（総売高）に対する運賃・保管料の比率。物流コスト効率の管理KPI。</t>
  </si>
  <si>
    <t>（運賃 + 保管料） ÷ 総売上高 × 100</t>
  </si>
  <si>
    <t>全国営業会議（物流費効率化KPI）</t>
  </si>
  <si>
    <t>SCM本部会議（物流費率管理）</t>
  </si>
  <si>
    <t>価格改定効果</t>
  </si>
  <si>
    <t>仕切価格変更（値上げ）による売上・原価・物流費への財務的影響額。</t>
  </si>
  <si>
    <t>営業政策（価格改定KPIモニタリング）</t>
  </si>
  <si>
    <t>L-Compass</t>
  </si>
  <si>
    <t>全社ダッシュボード, L-コンパス</t>
  </si>
  <si>
    <t>ロッテ社内向け全社ダッシュボードポータルサイト。売上実績・営業利益・SRI市況・品目別売上前年比などを一画面で確認できる。全社員参照可能な「全社ダッシュボード」と部門内共有の「部門別ダッシュボード」がある。</t>
  </si>
  <si>
    <t>SCM部門別ダッシュボード（物流費・生販在関連）</t>
  </si>
  <si>
    <t>為替予約</t>
  </si>
  <si>
    <t>為替ヘッジ</t>
  </si>
  <si>
    <t>外貨建取引（主にカカオ豆等の原材料調達に伴うUSD支払）の為替リスクをヘッジするための先物予約取引。財務部が毎月「為替リスク管理ミーティング」で実施・管理。</t>
  </si>
  <si>
    <t>カバー率＝為替予約額 ÷ 外貨支払需要 × 100</t>
  </si>
  <si>
    <t>USD, 円</t>
  </si>
  <si>
    <t>収益企画社長報告, 為替予約報告</t>
  </si>
  <si>
    <t>為替リスク管理ミーティング</t>
  </si>
  <si>
    <t>為替MTG</t>
  </si>
  <si>
    <t>学び場</t>
  </si>
  <si>
    <t>収益企画部が全社員を対象に実施するオンライン損益勉強会。「会社の数字を自分の仕事とつなげる」をテーマに損益の仕組みを学ぶ取組み。</t>
  </si>
  <si>
    <t>KK定例, KK定例会長報告</t>
  </si>
  <si>
    <t>ロッテグループの主要経営報告会議。株式会社ロッテ（KKロッテ）の月次業績を会長に報告する定例会議。売上・営業利益・連結速報・市場動向等を報告。</t>
  </si>
  <si>
    <t>KK定例会長報告（2026年4月15日開催、3月度業績報告）</t>
  </si>
  <si>
    <t>出典マスタ　—　ロッテグループ標準言語定義辞書</t>
  </si>
  <si>
    <t>列の順序：①部門区分　②略称（辞書の出典欄で使用する短縮形）　③正式名称</t>
  </si>
  <si>
    <t>①部門区分</t>
  </si>
  <si>
    <t>②略称</t>
  </si>
  <si>
    <t>③正式名称／ファイル名</t>
  </si>
  <si>
    <t>備考</t>
  </si>
  <si>
    <t>2026年度 営業政策</t>
  </si>
  <si>
    <t>営業政策書。売上・利益・価格・販促等の基本方針を収載</t>
  </si>
  <si>
    <t>26年4月 全国営業会議資料</t>
  </si>
  <si>
    <t>月次の全国営業会議で使用する資料</t>
  </si>
  <si>
    <t>営業推進マニュアル（2025年3月更新版）</t>
  </si>
  <si>
    <t>営業推進業務の手順・ルールを定めたマニュアル</t>
  </si>
  <si>
    <t>菓子営業はじめてセット（営業政策抜き）</t>
  </si>
  <si>
    <t>菓子営業向けオンボーディング資料</t>
  </si>
  <si>
    <t>アイス営業はじめてセット（営業政策抜き）</t>
  </si>
  <si>
    <t>アイス営業向けオンボーディング資料</t>
  </si>
  <si>
    <t>26年6-7月度タイムリーナレッジ（リテールサポート課）</t>
  </si>
  <si>
    <t>営業情報共有のナレッジ資料</t>
  </si>
  <si>
    <t>SCMDX推進課のツール開発タスク管理表</t>
  </si>
  <si>
    <t>SCM大会</t>
  </si>
  <si>
    <t>2026年4月SCM大会の投影資料</t>
  </si>
  <si>
    <t>SCM本部会議</t>
  </si>
  <si>
    <t>SCM本部会議_エグゼクティブサマリ_260424.pptx</t>
  </si>
  <si>
    <t>2026年4月SCM本部会議エグゼクティブサマリ</t>
  </si>
  <si>
    <t>SCM戦略MTG</t>
  </si>
  <si>
    <t>2026年4月SCM戦略部MTG資料</t>
  </si>
  <si>
    <t>SCM需給部の欠品率・D+2締め率月次報告</t>
  </si>
  <si>
    <t>4月SCM生販会議資料_.pptx</t>
  </si>
  <si>
    <t>SCM需給部の販売振り返り・見込資料</t>
  </si>
  <si>
    <t>振返アイス</t>
  </si>
  <si>
    <t>アイス_3月度_販売振り返りミーティング.xlsx</t>
  </si>
  <si>
    <t>アイス3月度品目別販売振り返り</t>
  </si>
  <si>
    <t>振返ガム</t>
  </si>
  <si>
    <t>ガム_2603_販売振り返りミーティング.xlsx</t>
  </si>
  <si>
    <t>ガム3月度品目別販売振り返り</t>
  </si>
  <si>
    <t>振返キャン</t>
  </si>
  <si>
    <t>キャンディ_3月度_振り返りミーティング.xlsx</t>
  </si>
  <si>
    <t>キャンディ3月度品目別販売振り返り</t>
  </si>
  <si>
    <t>振返チョコ</t>
  </si>
  <si>
    <t>チョコ_3月度_販売振り返りミーティング.xlsx</t>
  </si>
  <si>
    <t>チョコ3月度品目別販売振り返り</t>
  </si>
  <si>
    <t>振返ビス</t>
  </si>
  <si>
    <t>ビス_3月度_販売振り返りミーティング.xlsx</t>
  </si>
  <si>
    <t>ビスケット3月度品目別販売振り返り</t>
  </si>
  <si>
    <t>月末事前ガム</t>
  </si>
  <si>
    <t>ガム25年度生販在計画。月末調整事前会議（2026/4/16）用。</t>
  </si>
  <si>
    <t>キャンディ2026年度生販在計画。月末調整事前会議（2026/4/16）用。</t>
  </si>
  <si>
    <t>月末事前アイス業</t>
  </si>
  <si>
    <t>アイス業務用生販在計画。月末調整事前会議（2026/4/17）用。</t>
  </si>
  <si>
    <t>月末事前アイス市</t>
  </si>
  <si>
    <t>アイス市販用生販在計画。月末調整事前会議（2026/4/17）用。</t>
  </si>
  <si>
    <t>月末事前ビス</t>
  </si>
  <si>
    <t>ビスケット2026年度生販在計画。月末調整事前会議（2026/4/17）用。</t>
  </si>
  <si>
    <t>チョコレート長期数表生販在表。月末調整事前会議（2026/4/20）用。</t>
  </si>
  <si>
    <t>月末会議キャン</t>
  </si>
  <si>
    <t>キャンディ2026年度生販在計画（月末調整会議版）。</t>
  </si>
  <si>
    <t>月末会議ビス</t>
  </si>
  <si>
    <t>ビスケット生販在計画（月末調整会議版）。</t>
  </si>
  <si>
    <t>月末会議ガム</t>
  </si>
  <si>
    <t>ガム生販在計画（月末調整会議版）。</t>
  </si>
  <si>
    <t>狭山工場2026年度ビスケット・チョコ月間工程表。</t>
  </si>
  <si>
    <t>工程九州菓子</t>
  </si>
  <si>
    <t>九州工場菓子・アイス月間工程表（2026/4/20版）。</t>
  </si>
  <si>
    <t>工程浦和アイス業</t>
  </si>
  <si>
    <t>浦和工場アイス月次工程表（業務用）4〜6月。</t>
  </si>
  <si>
    <t>浦和工場アイス月次工程表（市販用）4〜6月。</t>
  </si>
  <si>
    <t>工程九州アイス</t>
  </si>
  <si>
    <t>九州工場アイス月間工程表4〜6月。</t>
  </si>
  <si>
    <t>工程滋賀アイス</t>
  </si>
  <si>
    <t>滋賀工場アイス月間工程表4〜6月。</t>
  </si>
  <si>
    <t>工程滋賀菓子</t>
  </si>
  <si>
    <t>滋賀工場菓子月間工程表4〜6月（月末会議版）。</t>
  </si>
  <si>
    <t>キャンディ1課の生産計画表（2026年度）。生産回答・実績・シフト管理。</t>
  </si>
  <si>
    <t>支払報告需給</t>
  </si>
  <si>
    <t>4月度支払い報告（需給部）：販売状況・在庫状況・滞貨状況。</t>
  </si>
  <si>
    <t>4月度物流費報告：一次輸送・二次配送・保管料・廃棄焼却申請。</t>
  </si>
  <si>
    <t>生販会議生産</t>
  </si>
  <si>
    <t>SCM需給部生産管理課の生販情報共有会議資料。在庫・滞貨・欠品率推移。</t>
  </si>
  <si>
    <t>STS定例</t>
  </si>
  <si>
    <t>SCMシステム（STS）の改修・保守課題進捗の週次定例資料。</t>
  </si>
  <si>
    <t>物流部物流企画一課の4月SCM本部会議資料。物流費・生販在計画。</t>
  </si>
  <si>
    <t>マーケ本部プランニング課のアイス生販会議資料。初週動向・商品スケジュール。</t>
  </si>
  <si>
    <t>新製品開発計画</t>
  </si>
  <si>
    <t>アイス新製品・リフレッシュ開発計画表（市販用）。品番・品名・発売日・生産情報。</t>
  </si>
  <si>
    <t>マーケ本部プランニング実績レビュー。カテゴリ別シェア実績。</t>
  </si>
  <si>
    <t>マーケ本部損益共有ミーティング。年度・単月の営業利益増減要因。</t>
  </si>
  <si>
    <t>Theシリーズ共有</t>
  </si>
  <si>
    <t>Theシリーズ（The BUTTER等）のマーケティングナレッジ共有会資料。</t>
  </si>
  <si>
    <t>④【新製品レビュー】_アジアに恋して_ナレッジMTG資料 0415(2).pptx</t>
  </si>
  <si>
    <t>「アジアに恋して」新ブランドのナレッジMTG資料。</t>
  </si>
  <si>
    <t>コアラの街</t>
  </si>
  <si>
    <t>コアラの街イベント（2026/3/3-8）の施策レビュー資料。</t>
  </si>
  <si>
    <t>チョコ定例帳票</t>
  </si>
  <si>
    <t>チョコレート定例会議帳票。品番・発売日・開発担当・工場・仕切等の新製品管理表。</t>
  </si>
  <si>
    <t>第3回SCM議事録</t>
  </si>
  <si>
    <t>2026年3月16日開催SCM会議（第3回）の議事録。物流効率化法・生販在PSI計画・VC改革を議論。</t>
  </si>
  <si>
    <t>第1回SCM議事録</t>
  </si>
  <si>
    <t>2025年5月12日開催SCM会議（第1回）の議事録。SCM会議立ち上げ・限界利益領域・欠品時意思決定ケーススタディ。</t>
  </si>
  <si>
    <t>第2回SCM議事録</t>
  </si>
  <si>
    <t>2025年8月28日開催SCM会議（第2回）の議事録。夏季アイス販売・特売費コントロール・在庫適正化を議論。</t>
  </si>
  <si>
    <t>生産本部（生産戦略部・資材部）</t>
  </si>
  <si>
    <t>SCM本部（SCM戦略部・受注管理部・需給部・物流部・SCMDX推進課）</t>
  </si>
  <si>
    <t>経営戦略・収益企画</t>
  </si>
  <si>
    <t>2026年4月SCM本部会議全体版。新商品スケジュール・要求精度・コスト・生販会議資料を収録。</t>
  </si>
  <si>
    <t>Anaplan精度検証</t>
  </si>
  <si>
    <t>Anaplan精度検証（2026年3月）資料。新商品要求精度・出荷率分析。</t>
  </si>
  <si>
    <t>新商品カレンダー07</t>
  </si>
  <si>
    <t>2026年7月度の新商品スケジュール・販促テーマ・商品カレンダー。</t>
  </si>
  <si>
    <t>2026年3月持ち戻り削減取組報告。発生件数・発生率・要因別分析。</t>
  </si>
  <si>
    <t>4月度SCM本部会議受注管理部パート。KPI・D+2・EDI・ウエルネス等報告。</t>
  </si>
  <si>
    <t>アイスエンカレ</t>
  </si>
  <si>
    <t>アイス部門のエンカレッジ（奨励）資料。</t>
  </si>
  <si>
    <t>プロテイン製品</t>
  </si>
  <si>
    <t>プロテイン質問</t>
  </si>
  <si>
    <t>プロテイン発売に関するSCMからの質問とマーケ回答（受注・物流・保管等）。</t>
  </si>
  <si>
    <t>GPN社プロテイン輸入の生販・物流キックオフMTG資料。輸入リードタイム・在庫スキーム。</t>
  </si>
  <si>
    <t>生販物流KO②</t>
  </si>
  <si>
    <t>生販・物流キックオフMTG②。フォローアップ事項・課題回答・物流スキーム詳細。</t>
  </si>
  <si>
    <t>アイス持ち戻り時系列</t>
  </si>
  <si>
    <t>アイスの持ち戻り時系列リスト（卸先別・月別）。</t>
  </si>
  <si>
    <t>2504B実績.XLSX〜2603B実績.XLSX（ボール実績・月次12ファイル）</t>
  </si>
  <si>
    <t>受注管理部が管理する月次ボール実績。倉庫別・得意先別・日次の出荷指図数量（CS）をピボット形式で記録。</t>
  </si>
  <si>
    <t>物流企画二課</t>
  </si>
  <si>
    <t>物流部物流企画二課の4月SCM本部会議資料。物流費状況・工直備蓄直送名変状況。</t>
  </si>
  <si>
    <t>需給部の4月SCM本部会議資料。在庫実績・滞貨実績・欠品実績・需給トピックス（組織強靭化・アジアに恋して動向）。</t>
  </si>
  <si>
    <t>SAPからエクスポートした受注データ（3/30-4/23）。EDI受注・受注数量・確認済数量・引当可能在庫・積送中在庫を収録。</t>
  </si>
  <si>
    <t>SRI+のSM・DgSチャネルのアイス商品別週次データ。平均販売単価・週販個数・販売店率を収録（2025/3/3-2026/4/19）。</t>
  </si>
  <si>
    <t>アジアに恋して初週POS実績（4/7-4/13）。SEJ・LAW・FM・MS別の販売数量・販売金額・販売カバー率・週販個数。</t>
  </si>
  <si>
    <t>アビームによるS&amp;OP事例紹介資料（鉄鋼・食品メーカー事例）</t>
  </si>
  <si>
    <t>o9紹介</t>
  </si>
  <si>
    <t>o9ソリューションズによる次世代SCMシステム紹介資料</t>
  </si>
  <si>
    <t>SCMDX課共有</t>
  </si>
  <si>
    <t>SCMDX推進課の情報共有資料（AI需要予測RFP・S&amp;OP検討状況）</t>
  </si>
  <si>
    <t>パレタイズ・バラ積み状況に関するミーティングメモ</t>
  </si>
  <si>
    <t>ジョルダー比較</t>
  </si>
  <si>
    <t>ジョルダー車両の見積比較資料（常温・保冷）</t>
  </si>
  <si>
    <t>パレタイズ調査</t>
  </si>
  <si>
    <t>商品別パレタイズ寸法・積付数の調査データ</t>
  </si>
  <si>
    <t>原材料・包材の発注・管理・物流に関する質問事項リスト</t>
  </si>
  <si>
    <t>インテージSRI+による2026年3月度 菓子アイス全国市況レポート</t>
  </si>
  <si>
    <t>ロッテ業績超簡易版</t>
  </si>
  <si>
    <t>2026年3月度・4～3月度 ロッテ業績（総売上・純売上・営業利益・物流費）超簡易版</t>
  </si>
  <si>
    <t>SCM企画課MT</t>
  </si>
  <si>
    <t>2026年4月28日 SCM企画課ミーティング議題・情報共有サマリ</t>
  </si>
  <si>
    <t>第一種・第二種荷主としての物流中長期計画（積載率向上・荷待荷役時間短縮等）</t>
  </si>
  <si>
    <t>0428課内MTG共有事項【図所】.pptx</t>
  </si>
  <si>
    <t>2026年4月28日 SCMDX推進課 課内MTG（請求明細データ配信テスト等）</t>
  </si>
  <si>
    <t>2026年4月28日 SCMDX推進課 課内MTG（棚貸し配車業務移管・アイス棚貸しSTSフロー等）</t>
  </si>
  <si>
    <t>ロッテグループ2026年2月度の個別決算報告（累計・単月・損益計算書・海外現法）</t>
  </si>
  <si>
    <t>（配布のみ）2026年3月度　販売実績.pdf</t>
  </si>
  <si>
    <t>2026年3月度ロッテグループ販売実績速報（ブランド別・海外別・各社シェア）</t>
  </si>
  <si>
    <t>インドネシア権限</t>
  </si>
  <si>
    <t>ロッテインドネシア決裁権限区分表の改定（副社長追加）に関する経営会議資料</t>
  </si>
  <si>
    <t>2026年度全本部ミッション・KPIの確認資料（事業部門・管理部門）</t>
  </si>
  <si>
    <t>Gビジネス研修</t>
  </si>
  <si>
    <t>グローバルビジネス研修（公募）の概要・スケジュール・グローバル人材育成プラン</t>
  </si>
  <si>
    <t>経営会議レジュメ</t>
  </si>
  <si>
    <t>20260413_KKロッテ経営会議 レジュメ.pdf</t>
  </si>
  <si>
    <t>2026年4月13日経営会議のレジュメ（議題・出席者一覧）</t>
  </si>
  <si>
    <t>経営会議ES</t>
  </si>
  <si>
    <t>2026年4月13日経営会議のアジェンダ・エグゼクティブサマリ</t>
  </si>
  <si>
    <t>2026年4月6日経営戦略会議アジェンダ（事業予算月別修正・イラン情勢・為替予約の3議題）</t>
  </si>
  <si>
    <t>為替予約報告</t>
  </si>
  <si>
    <t>為替予約の運用ルール・期間別カバー率・25-26年度米ドル建取引実績/見込</t>
  </si>
  <si>
    <t>イラン情勢</t>
  </si>
  <si>
    <t>イラン情勢による資材調達への影響（包材・樹脂・エネルギー費・設備納入遅延）</t>
  </si>
  <si>
    <t>資材部支払3月</t>
  </si>
  <si>
    <t>2026年3月度資材部の支払報告。原材料・包材の調達状況・コストを管理</t>
  </si>
  <si>
    <t>イラン情勢4/13</t>
  </si>
  <si>
    <t>イラン情勢による資材調達影響（4/13時点更新版）。サプライヤー別対応状況</t>
  </si>
  <si>
    <t>三井ダウ停止</t>
  </si>
  <si>
    <t>三井・ダウポリケミカル大竹工場プラント停止による樹脂供給リスクと対応策</t>
  </si>
  <si>
    <t>生産本部3月度業績の会長報告。投資金額・製品/仕掛品/原材料在庫・売上原価</t>
  </si>
  <si>
    <t>OEE稼働率直行率</t>
  </si>
  <si>
    <t>OEE（設備総合効率）・ロッテの稼働率・直行率の定義・算出方法・例題</t>
  </si>
  <si>
    <t>2025年度工場別目標管理実績。工場利益・生産性・ロス率・異物混入・労災・テスト・CD</t>
  </si>
  <si>
    <t>生産本部の管理指標定義（原材料ロス・稼働状況・生産性・消費者クレーム・省エネ・改善用語）</t>
  </si>
  <si>
    <t>8月商品</t>
  </si>
  <si>
    <t>2026年8月度新商品提案書（チューイング・チョコ・ビスケット・アイス）。新商品概要・市場背景・本社対策・施策スケジュールを収載。</t>
  </si>
  <si>
    <t>2026年3月度KK定例（会長向け）業績報告。㈱ロッテ単体・連結決算速報、販売状況・市場動向を収載</t>
  </si>
  <si>
    <t>2026年4月27日収益企画部月次社長報告。2025年度損益振返り・原料費見込み・為替予約・L-Compass・学び場</t>
  </si>
  <si>
    <t>プルダウン用マスタ</t>
  </si>
  <si>
    <t>e</t>
  </si>
  <si>
    <t>e</t>
    <phoneticPr fontId="7"/>
  </si>
  <si>
    <t>備考</t>
    <rPh sb="0" eb="2">
      <t>ビコウ</t>
    </rPh>
    <phoneticPr fontId="7"/>
  </si>
  <si>
    <t>・懸念債権を含む</t>
    <rPh sb="1" eb="5">
      <t>ケネンサイケン</t>
    </rPh>
    <rPh sb="6" eb="7">
      <t>フク</t>
    </rPh>
    <phoneticPr fontId="7"/>
  </si>
  <si>
    <t>・KK定例会長報告上で、売上債権÷売上高×365で計算すると表情の債権回転日数とは不一致となる為、数式再確認が必要</t>
    <rPh sb="3" eb="5">
      <t>テイレイ</t>
    </rPh>
    <rPh sb="5" eb="9">
      <t>カイチョウホウコク</t>
    </rPh>
    <rPh sb="9" eb="10">
      <t>ジョウ</t>
    </rPh>
    <rPh sb="12" eb="14">
      <t>ウリアゲ</t>
    </rPh>
    <rPh sb="14" eb="16">
      <t>サイケン</t>
    </rPh>
    <rPh sb="17" eb="20">
      <t>ウリアゲダカ</t>
    </rPh>
    <rPh sb="25" eb="27">
      <t>ケイサン</t>
    </rPh>
    <rPh sb="30" eb="32">
      <t>ヒョウジョウ</t>
    </rPh>
    <rPh sb="33" eb="37">
      <t>サイケンカイテン</t>
    </rPh>
    <rPh sb="37" eb="39">
      <t>ニッスウ</t>
    </rPh>
    <rPh sb="41" eb="44">
      <t>フイッチ</t>
    </rPh>
    <rPh sb="47" eb="48">
      <t>タメ</t>
    </rPh>
    <rPh sb="49" eb="51">
      <t>スウシキ</t>
    </rPh>
    <rPh sb="51" eb="54">
      <t>サイカクニン</t>
    </rPh>
    <rPh sb="55" eb="57">
      <t>ヒツヨウ</t>
    </rPh>
    <phoneticPr fontId="7"/>
  </si>
  <si>
    <t>・単体売上高 + グループ会社売上 − 内部取引消去
・単体売上高＋グループ会社売上ー連結修正</t>
    <rPh sb="28" eb="33">
      <t>タンタイウリアゲダカ</t>
    </rPh>
    <rPh sb="38" eb="40">
      <t>カイシャ</t>
    </rPh>
    <rPh sb="40" eb="42">
      <t>ウリアゲ</t>
    </rPh>
    <rPh sb="43" eb="47">
      <t>レンケツシュウセイ</t>
    </rPh>
    <phoneticPr fontId="7"/>
  </si>
  <si>
    <t>月次報, 支払報告需給, SCM会議, 第3回SCM議事録, 第2回SCM議事録, SCM本部会議全体, 4月SCM需給、SCM大会</t>
    <rPh sb="64" eb="66">
      <t>タイカイ</t>
    </rPh>
    <phoneticPr fontId="7"/>
  </si>
  <si>
    <t>営業利益＋減価償却費（売上原価内＋一般管理費内）</t>
    <rPh sb="0" eb="4">
      <t>エイギョウリエキ</t>
    </rPh>
    <rPh sb="5" eb="10">
      <t>ゲンカショウキャクヒ</t>
    </rPh>
    <rPh sb="11" eb="15">
      <t>ウリアゲゲンカ</t>
    </rPh>
    <rPh sb="15" eb="16">
      <t>ナイ</t>
    </rPh>
    <rPh sb="17" eb="22">
      <t>イッパンカンリヒ</t>
    </rPh>
    <rPh sb="22" eb="23">
      <t>ナイ</t>
    </rPh>
    <phoneticPr fontId="7"/>
  </si>
  <si>
    <t>営業利益に売上原価と一般管理費内の減価償却費を加えた数値</t>
    <rPh sb="5" eb="9">
      <t>ウリアゲゲンカ</t>
    </rPh>
    <rPh sb="10" eb="15">
      <t>イッパンカンリヒ</t>
    </rPh>
    <rPh sb="15" eb="16">
      <t>ナイ</t>
    </rPh>
    <rPh sb="17" eb="21">
      <t>ゲンカショウキャク</t>
    </rPh>
    <rPh sb="21" eb="22">
      <t>ヒ</t>
    </rPh>
    <rPh sb="23" eb="24">
      <t>クワ</t>
    </rPh>
    <rPh sb="26" eb="28">
      <t>スウチ</t>
    </rPh>
    <phoneticPr fontId="7"/>
  </si>
  <si>
    <t>・一般的なEBITDAは「経常利益＋支払利息＋減価償却費」とは異なりより保守的な算出式を利用</t>
    <rPh sb="31" eb="32">
      <t>コト</t>
    </rPh>
    <rPh sb="36" eb="39">
      <t>ホシュテキ</t>
    </rPh>
    <rPh sb="40" eb="42">
      <t>サンシュツ</t>
    </rPh>
    <rPh sb="42" eb="43">
      <t>シキ</t>
    </rPh>
    <rPh sb="44" eb="46">
      <t>リヨウ</t>
    </rPh>
    <phoneticPr fontId="7"/>
  </si>
  <si>
    <t>・KK定例会長報告では、在庫金額÷総売上高or純売上高×365でも記載されている数値と一致しない</t>
    <rPh sb="3" eb="5">
      <t>テイレイ</t>
    </rPh>
    <rPh sb="5" eb="7">
      <t>カイチョウ</t>
    </rPh>
    <rPh sb="7" eb="9">
      <t>ホウコク</t>
    </rPh>
    <rPh sb="12" eb="14">
      <t>ザイコ</t>
    </rPh>
    <rPh sb="14" eb="16">
      <t>キンガク</t>
    </rPh>
    <rPh sb="17" eb="21">
      <t>ソウウリアゲダカ</t>
    </rPh>
    <rPh sb="23" eb="27">
      <t>ジュンウリアゲダカ</t>
    </rPh>
    <rPh sb="33" eb="35">
      <t>キサイ</t>
    </rPh>
    <rPh sb="40" eb="42">
      <t>スウチ</t>
    </rPh>
    <rPh sb="43" eb="45">
      <t>イッチ</t>
    </rPh>
    <phoneticPr fontId="7"/>
  </si>
  <si>
    <t>売上から営業利益までの損益構造を階層的に図示したもの。売上→限界利益→営業利益の各段階での増減要因（原価変動・販管費・宣伝費等）を可視化し、前年差・予算差の要因分析に使う。収益企画月次社長報告・マーケ本部の損益共有MTGで使用。</t>
    <rPh sb="86" eb="90">
      <t>シュウエキキカク</t>
    </rPh>
    <rPh sb="90" eb="92">
      <t>ゲツジ</t>
    </rPh>
    <rPh sb="92" eb="96">
      <t>シャチョウホウコク</t>
    </rPh>
    <phoneticPr fontId="7"/>
  </si>
  <si>
    <t>・価格改定効果は金額影響や数量影響が混在し文脈に応じた解釈が必要</t>
    <rPh sb="1" eb="5">
      <t>カカクカイテイ</t>
    </rPh>
    <rPh sb="5" eb="7">
      <t>コウカ</t>
    </rPh>
    <rPh sb="8" eb="10">
      <t>キンガク</t>
    </rPh>
    <rPh sb="10" eb="12">
      <t>エイキョウ</t>
    </rPh>
    <rPh sb="13" eb="15">
      <t>スウリョウ</t>
    </rPh>
    <rPh sb="15" eb="17">
      <t>エイキョウ</t>
    </rPh>
    <rPh sb="18" eb="20">
      <t>コンザイ</t>
    </rPh>
    <rPh sb="21" eb="23">
      <t>ブンミャク</t>
    </rPh>
    <rPh sb="24" eb="25">
      <t>オウ</t>
    </rPh>
    <rPh sb="27" eb="29">
      <t>カイシャク</t>
    </rPh>
    <rPh sb="30" eb="32">
      <t>ヒツヨウ</t>
    </rPh>
    <phoneticPr fontId="7"/>
  </si>
  <si>
    <t>財務部が月次で実施する為替予約の運用・審議会議。財務担当役員、生産本部長等が参加し、カバー率・ディスカウントレート・オーダー方針を決定。</t>
    <rPh sb="24" eb="28">
      <t>ザイムタントウ</t>
    </rPh>
    <rPh sb="28" eb="30">
      <t>ヤクイン</t>
    </rPh>
    <rPh sb="31" eb="36">
      <t>セイサンホンブチョウ</t>
    </rPh>
    <rPh sb="36" eb="37">
      <t>トウ</t>
    </rPh>
    <rPh sb="38" eb="40">
      <t>サンカ</t>
    </rPh>
    <rPh sb="62" eb="64">
      <t>ホウシン</t>
    </rPh>
    <phoneticPr fontId="7"/>
  </si>
  <si>
    <t>本部KPI確認</t>
    <phoneticPr fontId="7"/>
  </si>
  <si>
    <t>2月個別決算</t>
    <phoneticPr fontId="7"/>
  </si>
  <si>
    <t>請求書受領・管理クラウドサービス。会社支払に利用</t>
    <rPh sb="17" eb="21">
      <t>カイシャシハライ</t>
    </rPh>
    <rPh sb="22" eb="24">
      <t>リヨウ</t>
    </rPh>
    <phoneticPr fontId="7"/>
  </si>
  <si>
    <t>Gビジネス研修</t>
    <phoneticPr fontId="7"/>
  </si>
  <si>
    <t>KK定例会長報告</t>
    <phoneticPr fontId="7"/>
  </si>
  <si>
    <t>個別（単体）ベースの数値を単純合算したもので、内部取引の消去なし。㈱ロッテ資料においては、ロッテ計・メリーチョコレート・コージーコーナー・DariK・海外現法の個別数値を単純に合算したもの。</t>
    <rPh sb="0" eb="2">
      <t>コベツ</t>
    </rPh>
    <rPh sb="3" eb="5">
      <t>タンタイ</t>
    </rPh>
    <rPh sb="10" eb="12">
      <t>スウチ</t>
    </rPh>
    <rPh sb="13" eb="15">
      <t>タンジュン</t>
    </rPh>
    <rPh sb="15" eb="17">
      <t>ガッサン</t>
    </rPh>
    <rPh sb="23" eb="27">
      <t>ナイブトリヒキ</t>
    </rPh>
    <rPh sb="28" eb="30">
      <t>ショウキョ</t>
    </rPh>
    <rPh sb="37" eb="39">
      <t>シリョウ</t>
    </rPh>
    <phoneticPr fontId="7"/>
  </si>
  <si>
    <t>・設定は月次/年次かは要確認</t>
    <rPh sb="1" eb="3">
      <t>セッテイ</t>
    </rPh>
    <rPh sb="4" eb="6">
      <t>ゲツジ</t>
    </rPh>
    <rPh sb="7" eb="9">
      <t>ネンジ</t>
    </rPh>
    <rPh sb="11" eb="14">
      <t>ヨウカクニン</t>
    </rPh>
    <phoneticPr fontId="7"/>
  </si>
  <si>
    <t>㈱ロッテの資料では、海外現法（アジア計＋ウェデル計）の純売上高・営業利益を現地の会計基準で集計した合計。社内レートで円換算して表示。</t>
    <rPh sb="5" eb="7">
      <t>シリョウ</t>
    </rPh>
    <phoneticPr fontId="7"/>
  </si>
  <si>
    <t>支払利息 +売上割引＋賃貸原価＋支払手数料＋ 為替差損 + その他雑損失</t>
    <rPh sb="6" eb="10">
      <t>ウリアゲワリビキ</t>
    </rPh>
    <rPh sb="11" eb="13">
      <t>チンタイ</t>
    </rPh>
    <rPh sb="13" eb="15">
      <t>ゲンカ</t>
    </rPh>
    <rPh sb="16" eb="18">
      <t>シハライ</t>
    </rPh>
    <rPh sb="18" eb="21">
      <t>テスウリョウ</t>
    </rPh>
    <phoneticPr fontId="7"/>
  </si>
  <si>
    <t>・菓子計にはスナック・開発・飲料含む（３月販売実績）とあり、５品目計の合計範囲要確認</t>
    <rPh sb="1" eb="3">
      <t>カシ</t>
    </rPh>
    <rPh sb="3" eb="4">
      <t>ケイ</t>
    </rPh>
    <rPh sb="11" eb="13">
      <t>カイハツ</t>
    </rPh>
    <rPh sb="14" eb="16">
      <t>インリョウ</t>
    </rPh>
    <rPh sb="16" eb="17">
      <t>フク</t>
    </rPh>
    <rPh sb="20" eb="21">
      <t>ガツ</t>
    </rPh>
    <rPh sb="21" eb="23">
      <t>ハンバイ</t>
    </rPh>
    <rPh sb="23" eb="25">
      <t>ジッセキ</t>
    </rPh>
    <rPh sb="31" eb="33">
      <t>ヒンモク</t>
    </rPh>
    <rPh sb="33" eb="34">
      <t>ケイ</t>
    </rPh>
    <rPh sb="35" eb="37">
      <t>ゴウケイ</t>
    </rPh>
    <rPh sb="37" eb="39">
      <t>ハンイ</t>
    </rPh>
    <rPh sb="39" eb="40">
      <t>ヨウ</t>
    </rPh>
    <rPh sb="40" eb="42">
      <t>カクニン</t>
    </rPh>
    <phoneticPr fontId="7"/>
  </si>
  <si>
    <t>目標管理実績</t>
    <phoneticPr fontId="7"/>
  </si>
  <si>
    <t>資材部支払3月, 三井ダウ停止</t>
    <phoneticPr fontId="7"/>
  </si>
  <si>
    <t>イラン情勢, 三井ダウ停止, 資材部支払3月</t>
    <phoneticPr fontId="7"/>
  </si>
  <si>
    <t>OEE稼働率直行率, 管理指標定義</t>
    <phoneticPr fontId="7"/>
  </si>
  <si>
    <t xml:space="preserve">
生産本部においては、稼働率はラインの総合効率と定義される</t>
    <rPh sb="1" eb="3">
      <t>セイサン</t>
    </rPh>
    <rPh sb="3" eb="5">
      <t>ホンブ</t>
    </rPh>
    <rPh sb="11" eb="13">
      <t>カドウ</t>
    </rPh>
    <rPh sb="13" eb="14">
      <t>リツ</t>
    </rPh>
    <rPh sb="19" eb="21">
      <t>ソウゴウ</t>
    </rPh>
    <rPh sb="21" eb="23">
      <t>コウリツ</t>
    </rPh>
    <rPh sb="24" eb="26">
      <t>テイギ</t>
    </rPh>
    <phoneticPr fontId="7"/>
  </si>
  <si>
    <t>実績生産量÷（ライン能力×稼働時間）× 100</t>
    <rPh sb="0" eb="2">
      <t>ジッセキ</t>
    </rPh>
    <rPh sb="2" eb="5">
      <t>セイサンリョウ</t>
    </rPh>
    <rPh sb="10" eb="12">
      <t>ノウリョク</t>
    </rPh>
    <rPh sb="13" eb="17">
      <t>カドウジカン</t>
    </rPh>
    <phoneticPr fontId="7"/>
  </si>
  <si>
    <t>生産において、生産数量（投入量）にたいし、ラインを正常に（横取り、不良排出、検査排出等しないで）通過した製品数の比率をいう。</t>
    <phoneticPr fontId="7"/>
  </si>
  <si>
    <t>OEE稼働率直行率</t>
    <phoneticPr fontId="7"/>
  </si>
  <si>
    <t>一般に言われる広義の品質。Quality（品質）、Cost（原価）、Delivery（納期）の総称のこと。QCDに、現場で重視されるSafety（安全）を加えてQCDSとも言う。</t>
    <phoneticPr fontId="7"/>
  </si>
  <si>
    <t>品質不良の発生や機械設備の故障発生を防止する為に、異常の発生を防止したり、異常が発生したらラインを止めるための安価で信頼性の高い道具や工夫①作業者のミスを防止するしくみ,②作業者のミスを発見し警告するしくみ　　　　　　　　　</t>
    <phoneticPr fontId="7"/>
  </si>
  <si>
    <t>生産計画時間 － 管理停止設定時間（朝礼 ・ 準備 ・ 食事 ・ 切替 ・ 清掃 ・ 洗浄)</t>
  </si>
  <si>
    <t>OEEの構成要素の一つ。全生産数（良品＋不良品）に対する良品数の比率。「直行率」とは異なり手直し品も良品に含める。
全生産数に対する良品数の割合</t>
    <phoneticPr fontId="7"/>
  </si>
  <si>
    <t>良品数 ÷ 全生産数 × 100
(実績生産量)/(ライン能力 × 実稼働時間 )×１００</t>
    <phoneticPr fontId="7"/>
  </si>
  <si>
    <t>生産したものの中で良品が占める割合</t>
    <phoneticPr fontId="7"/>
  </si>
  <si>
    <t>実績歩留まり</t>
    <phoneticPr fontId="7"/>
  </si>
  <si>
    <t>① 実績生産量 ÷ 実績使用量 × 100
② 良品数量 ÷（良品数量 ＋ 不良品数量）× 100</t>
    <phoneticPr fontId="7"/>
  </si>
  <si>
    <t>標準歩留まり</t>
    <phoneticPr fontId="7"/>
  </si>
  <si>
    <t>平均重量歩留まり</t>
    <phoneticPr fontId="7"/>
  </si>
  <si>
    <t>実績生産重量 ÷（実績使用重量 － 洗浄ロス重量）× 100</t>
    <phoneticPr fontId="7"/>
  </si>
  <si>
    <t>平均実績NET重量 ÷ 規格NET重量 × 100</t>
    <phoneticPr fontId="7"/>
  </si>
  <si>
    <t>規格重量に対する実績重量の占める割合</t>
    <phoneticPr fontId="7"/>
  </si>
  <si>
    <t>重量差異率</t>
  </si>
  <si>
    <t>本来機械が稼働できる時間</t>
    <rPh sb="0" eb="2">
      <t>ホンライ</t>
    </rPh>
    <rPh sb="2" eb="4">
      <t>キカイ</t>
    </rPh>
    <rPh sb="5" eb="7">
      <t>カドウ</t>
    </rPh>
    <rPh sb="10" eb="12">
      <t>ジカン</t>
    </rPh>
    <phoneticPr fontId="7"/>
  </si>
  <si>
    <t>カレンダー時間（工場が稼働している操業時間） − 計画休止</t>
    <rPh sb="8" eb="10">
      <t>コウジョウ</t>
    </rPh>
    <rPh sb="11" eb="13">
      <t>カドウ</t>
    </rPh>
    <rPh sb="17" eb="21">
      <t>ソウギョウジカン</t>
    </rPh>
    <rPh sb="27" eb="29">
      <t>キュウシ</t>
    </rPh>
    <phoneticPr fontId="7"/>
  </si>
  <si>
    <t>SAPにおける保管場所を識別するコード。新商品の保管場所が「D002」に設定されている場合は関係者への通知が必要とされるSCMの運用がある</t>
    <rPh sb="64" eb="66">
      <t>ウンヨウ</t>
    </rPh>
    <phoneticPr fontId="7"/>
  </si>
  <si>
    <t>新商品発売計画に基づいて新商品要求の締め切り日や業革対象商品などを表示するツール。</t>
    <phoneticPr fontId="7"/>
  </si>
  <si>
    <t>アイス物流費の請求書作成・管理を行う内製ツール。地区別金額表作成・CSV出力、進捗ステータス管理機能を持つ。物流企画二課が主に使用。</t>
    <phoneticPr fontId="7"/>
  </si>
  <si>
    <t>振返アイス</t>
    <phoneticPr fontId="7"/>
  </si>
  <si>
    <t>S&amp;OP事例</t>
    <phoneticPr fontId="7"/>
  </si>
  <si>
    <t>SCM会議</t>
    <rPh sb="3" eb="5">
      <t>カイギ</t>
    </rPh>
    <phoneticPr fontId="7"/>
  </si>
  <si>
    <t>4月SCM需給, SM_DRAG_SRI、SCM会議</t>
    <rPh sb="24" eb="26">
      <t>カイギ</t>
    </rPh>
    <phoneticPr fontId="7"/>
  </si>
  <si>
    <t>ー</t>
    <phoneticPr fontId="7"/>
  </si>
  <si>
    <t>SCM会議, 第3回SCM議事録, 第1回SCM議事録, 第2回SCM議事録, S&amp;OP事例</t>
    <phoneticPr fontId="7"/>
  </si>
  <si>
    <t>売上から変動費を引いた利益。商品別販売戦略の主軸KPI（限界利益率）。</t>
    <rPh sb="4" eb="6">
      <t>ヘンドウ</t>
    </rPh>
    <rPh sb="6" eb="7">
      <t>ヒ</t>
    </rPh>
    <phoneticPr fontId="7"/>
  </si>
  <si>
    <t>売上 − 変動費</t>
    <rPh sb="5" eb="7">
      <t>ヘンドウ</t>
    </rPh>
    <rPh sb="7" eb="8">
      <t>ヒ</t>
    </rPh>
    <phoneticPr fontId="7"/>
  </si>
  <si>
    <t>限界利益率</t>
    <phoneticPr fontId="7"/>
  </si>
  <si>
    <t>総売上高に占める限界利益の割合</t>
    <rPh sb="0" eb="1">
      <t>ソウ</t>
    </rPh>
    <rPh sb="1" eb="3">
      <t>ウリアゲ</t>
    </rPh>
    <rPh sb="3" eb="4">
      <t>ダカ</t>
    </rPh>
    <rPh sb="5" eb="6">
      <t>シ</t>
    </rPh>
    <rPh sb="8" eb="10">
      <t>ゲンカイ</t>
    </rPh>
    <rPh sb="10" eb="12">
      <t>リエキ</t>
    </rPh>
    <rPh sb="13" eb="15">
      <t>ワリアイ</t>
    </rPh>
    <phoneticPr fontId="7"/>
  </si>
  <si>
    <t>物流企画一課、SCM会議</t>
    <rPh sb="10" eb="12">
      <t>カイギ</t>
    </rPh>
    <phoneticPr fontId="7"/>
  </si>
  <si>
    <t>物流企画一課, 物流企画二課、SCM会議</t>
    <rPh sb="18" eb="20">
      <t>カイギ</t>
    </rPh>
    <phoneticPr fontId="7"/>
  </si>
  <si>
    <t>円</t>
    <rPh sb="0" eb="1">
      <t>エン</t>
    </rPh>
    <phoneticPr fontId="7"/>
  </si>
  <si>
    <t>SCM会議（年度KPI）</t>
    <rPh sb="3" eb="5">
      <t>カイギ</t>
    </rPh>
    <rPh sb="6" eb="8">
      <t>ネンド</t>
    </rPh>
    <phoneticPr fontId="7"/>
  </si>
  <si>
    <t>運賃・保管料</t>
    <rPh sb="3" eb="5">
      <t>ホカン</t>
    </rPh>
    <rPh sb="5" eb="6">
      <t>リョウ</t>
    </rPh>
    <phoneticPr fontId="7"/>
  </si>
  <si>
    <t>一次輸送費＋二次配送費＋保管・荷役料＋その他物流費</t>
    <rPh sb="0" eb="2">
      <t>イチジ</t>
    </rPh>
    <rPh sb="2" eb="5">
      <t>ユソウヒ</t>
    </rPh>
    <rPh sb="6" eb="8">
      <t>ニジ</t>
    </rPh>
    <rPh sb="8" eb="10">
      <t>ハイソウ</t>
    </rPh>
    <rPh sb="10" eb="11">
      <t>ヒ</t>
    </rPh>
    <rPh sb="12" eb="14">
      <t>ホカン</t>
    </rPh>
    <rPh sb="15" eb="17">
      <t>ニエキ</t>
    </rPh>
    <rPh sb="17" eb="18">
      <t>リョウ</t>
    </rPh>
    <rPh sb="21" eb="22">
      <t>タ</t>
    </rPh>
    <rPh sb="22" eb="24">
      <t>ブツリュウ</t>
    </rPh>
    <rPh sb="24" eb="25">
      <t>ヒ</t>
    </rPh>
    <phoneticPr fontId="7"/>
  </si>
  <si>
    <t>SCMが管轄する一次輸送費、二次配送費、保管・荷役料にその他物流費を加算したKPI</t>
    <rPh sb="4" eb="6">
      <t>カンカツ</t>
    </rPh>
    <rPh sb="8" eb="10">
      <t>イチジ</t>
    </rPh>
    <rPh sb="10" eb="13">
      <t>ユソウヒ</t>
    </rPh>
    <rPh sb="14" eb="16">
      <t>ニジ</t>
    </rPh>
    <rPh sb="16" eb="18">
      <t>ハイソウ</t>
    </rPh>
    <rPh sb="18" eb="19">
      <t>ヒ</t>
    </rPh>
    <rPh sb="20" eb="22">
      <t>ホカン</t>
    </rPh>
    <rPh sb="23" eb="25">
      <t>ニエキ</t>
    </rPh>
    <rPh sb="25" eb="26">
      <t>リョウ</t>
    </rPh>
    <rPh sb="29" eb="30">
      <t>タ</t>
    </rPh>
    <rPh sb="30" eb="32">
      <t>ブツリュウ</t>
    </rPh>
    <rPh sb="32" eb="33">
      <t>ヒ</t>
    </rPh>
    <rPh sb="34" eb="36">
      <t>カサン</t>
    </rPh>
    <phoneticPr fontId="7"/>
  </si>
  <si>
    <t>当月末在庫/翌月販売実績</t>
    <rPh sb="0" eb="1">
      <t>トウ</t>
    </rPh>
    <rPh sb="1" eb="3">
      <t>ゲツマツ</t>
    </rPh>
    <rPh sb="3" eb="5">
      <t>ザイコ</t>
    </rPh>
    <rPh sb="6" eb="8">
      <t>ヨクゲツ</t>
    </rPh>
    <rPh sb="8" eb="10">
      <t>ハンバイ</t>
    </rPh>
    <rPh sb="10" eb="12">
      <t>ジッセキ</t>
    </rPh>
    <phoneticPr fontId="7"/>
  </si>
  <si>
    <t>翌月販売実績に対する当月末在庫の比率。</t>
    <rPh sb="0" eb="2">
      <t>ヨクゲツ</t>
    </rPh>
    <rPh sb="2" eb="4">
      <t>ハンバイ</t>
    </rPh>
    <rPh sb="4" eb="6">
      <t>ジッセキ</t>
    </rPh>
    <rPh sb="10" eb="11">
      <t>トウ</t>
    </rPh>
    <rPh sb="11" eb="13">
      <t>ゲツマツ</t>
    </rPh>
    <rPh sb="13" eb="15">
      <t>ザイコ</t>
    </rPh>
    <phoneticPr fontId="7"/>
  </si>
  <si>
    <t>需給部月次報告（月末在庫率：菓子・アイス別管理）、SCM本部KPI</t>
    <rPh sb="28" eb="30">
      <t>ホンブ</t>
    </rPh>
    <phoneticPr fontId="7"/>
  </si>
  <si>
    <t>純売上高を売上高として記載</t>
    <rPh sb="0" eb="4">
      <t>ジュンウリアゲダカ</t>
    </rPh>
    <rPh sb="5" eb="8">
      <t>ウリアゲダカ</t>
    </rPh>
    <rPh sb="11" eb="13">
      <t>キサイ</t>
    </rPh>
    <phoneticPr fontId="7"/>
  </si>
  <si>
    <t>売上</t>
    <rPh sb="0" eb="2">
      <t>ウリアゲ</t>
    </rPh>
    <phoneticPr fontId="7"/>
  </si>
  <si>
    <t>2月個別決算, 3月販売実績</t>
    <phoneticPr fontId="7"/>
  </si>
  <si>
    <t>売掛金と受取手形の合計。回収前の売上残高。懸念債権を含む金額。</t>
    <rPh sb="21" eb="25">
      <t>ケネンサイケン</t>
    </rPh>
    <rPh sb="26" eb="27">
      <t>フク</t>
    </rPh>
    <rPh sb="28" eb="30">
      <t>キンガク</t>
    </rPh>
    <phoneticPr fontId="7"/>
  </si>
  <si>
    <t>製品・商品・仕掛品・原材料の合計在庫金額</t>
    <rPh sb="19" eb="20">
      <t>ガク</t>
    </rPh>
    <phoneticPr fontId="7"/>
  </si>
  <si>
    <t>在庫</t>
    <rPh sb="0" eb="2">
      <t>ザイコ</t>
    </rPh>
    <phoneticPr fontId="7"/>
  </si>
  <si>
    <t>借入金</t>
    <rPh sb="0" eb="3">
      <t>カリイレキン</t>
    </rPh>
    <phoneticPr fontId="7"/>
  </si>
  <si>
    <t>金融機関、グループ会社等からの借入金額</t>
    <rPh sb="0" eb="4">
      <t>キンユウキカン</t>
    </rPh>
    <rPh sb="9" eb="11">
      <t>カイシャ</t>
    </rPh>
    <rPh sb="11" eb="12">
      <t>トウ</t>
    </rPh>
    <rPh sb="15" eb="19">
      <t>カリイレキンガク</t>
    </rPh>
    <phoneticPr fontId="7"/>
  </si>
  <si>
    <t>実借入額</t>
    <rPh sb="0" eb="4">
      <t>ジツカリイレガク</t>
    </rPh>
    <phoneticPr fontId="7"/>
  </si>
  <si>
    <t>借入金から現預金残高を除いた額</t>
    <rPh sb="0" eb="3">
      <t>カリイレキン</t>
    </rPh>
    <rPh sb="5" eb="8">
      <t>ゲンヨキン</t>
    </rPh>
    <rPh sb="8" eb="10">
      <t>ザンダカ</t>
    </rPh>
    <rPh sb="11" eb="12">
      <t>ノゾ</t>
    </rPh>
    <rPh sb="14" eb="15">
      <t>ガク</t>
    </rPh>
    <phoneticPr fontId="7"/>
  </si>
  <si>
    <t>借入金-現預金</t>
    <rPh sb="0" eb="3">
      <t>カリイレキン</t>
    </rPh>
    <rPh sb="4" eb="7">
      <t>ゲンヨキン</t>
    </rPh>
    <phoneticPr fontId="7"/>
  </si>
  <si>
    <t>純売上高に対する総人件費の割合</t>
    <rPh sb="0" eb="4">
      <t>ジュンウリアゲダカ</t>
    </rPh>
    <rPh sb="5" eb="6">
      <t>タイ</t>
    </rPh>
    <rPh sb="8" eb="12">
      <t>ソウジンケンヒ</t>
    </rPh>
    <rPh sb="13" eb="15">
      <t>ワリアイ</t>
    </rPh>
    <phoneticPr fontId="7"/>
  </si>
  <si>
    <t>％</t>
  </si>
  <si>
    <t>％</t>
    <phoneticPr fontId="7"/>
  </si>
  <si>
    <t>一人当たり人件費</t>
    <rPh sb="0" eb="3">
      <t>ヒトリア</t>
    </rPh>
    <rPh sb="5" eb="8">
      <t>ジンケンヒ</t>
    </rPh>
    <phoneticPr fontId="7"/>
  </si>
  <si>
    <t>・算出式要確認</t>
    <rPh sb="1" eb="3">
      <t>サンシュツ</t>
    </rPh>
    <rPh sb="3" eb="4">
      <t>シキ</t>
    </rPh>
    <rPh sb="4" eb="7">
      <t>ヨウカクニン</t>
    </rPh>
    <phoneticPr fontId="7"/>
  </si>
  <si>
    <t>一人当たり売上額</t>
    <rPh sb="0" eb="3">
      <t>ヒトリア</t>
    </rPh>
    <rPh sb="5" eb="8">
      <t>ウリアゲガク</t>
    </rPh>
    <phoneticPr fontId="7"/>
  </si>
  <si>
    <t>生産性指標。正社員、臨時社員それぞれのひと月当たりの人件費</t>
    <rPh sb="0" eb="5">
      <t>セイサンセイシヒョウ</t>
    </rPh>
    <rPh sb="6" eb="9">
      <t>セイシャイン</t>
    </rPh>
    <rPh sb="10" eb="14">
      <t>リンジシャイン</t>
    </rPh>
    <rPh sb="21" eb="23">
      <t>ツキア</t>
    </rPh>
    <rPh sb="26" eb="29">
      <t>ジンケンヒ</t>
    </rPh>
    <phoneticPr fontId="7"/>
  </si>
  <si>
    <t>生産性指標。正社員、臨時社員合計の一人当たり売上額</t>
    <rPh sb="0" eb="5">
      <t>セイサンセイシヒョウ</t>
    </rPh>
    <rPh sb="6" eb="9">
      <t>セイシャイン</t>
    </rPh>
    <rPh sb="10" eb="14">
      <t>リンジシャイン</t>
    </rPh>
    <rPh sb="14" eb="16">
      <t>ゴウケイ</t>
    </rPh>
    <rPh sb="17" eb="20">
      <t>ヒトリア</t>
    </rPh>
    <rPh sb="22" eb="25">
      <t>ウリアゲガク</t>
    </rPh>
    <phoneticPr fontId="7"/>
  </si>
  <si>
    <t>流動比率</t>
    <rPh sb="0" eb="4">
      <t>リュウドウヒリツ</t>
    </rPh>
    <phoneticPr fontId="7"/>
  </si>
  <si>
    <t>流動負債に対する流動資産の割合</t>
    <rPh sb="0" eb="4">
      <t>リュウドウフサイ</t>
    </rPh>
    <rPh sb="5" eb="6">
      <t>タイ</t>
    </rPh>
    <rPh sb="8" eb="10">
      <t>リュウドウ</t>
    </rPh>
    <rPh sb="10" eb="12">
      <t>シサン</t>
    </rPh>
    <rPh sb="13" eb="15">
      <t>ワリアイ</t>
    </rPh>
    <phoneticPr fontId="7"/>
  </si>
  <si>
    <t>流動資産/流動負債</t>
    <rPh sb="0" eb="4">
      <t>リュウドウシサン</t>
    </rPh>
    <rPh sb="5" eb="9">
      <t>リュウドウフサイ</t>
    </rPh>
    <phoneticPr fontId="7"/>
  </si>
  <si>
    <t>負債比率</t>
    <rPh sb="0" eb="4">
      <t>フサイヒリツ</t>
    </rPh>
    <phoneticPr fontId="7"/>
  </si>
  <si>
    <t>純資産に対する負債（流動負債・固定負債）</t>
    <rPh sb="0" eb="3">
      <t>ジュンシサン</t>
    </rPh>
    <rPh sb="4" eb="5">
      <t>タイ</t>
    </rPh>
    <rPh sb="7" eb="9">
      <t>フサイ</t>
    </rPh>
    <rPh sb="10" eb="14">
      <t>リュウドウフサイ</t>
    </rPh>
    <rPh sb="15" eb="19">
      <t>コテイフサイ</t>
    </rPh>
    <phoneticPr fontId="7"/>
  </si>
  <si>
    <t>（流動負債＋固定負債）/純資産</t>
    <rPh sb="1" eb="3">
      <t>リュウドウ</t>
    </rPh>
    <rPh sb="3" eb="5">
      <t>フサイ</t>
    </rPh>
    <rPh sb="6" eb="8">
      <t>コテイ</t>
    </rPh>
    <rPh sb="8" eb="10">
      <t>フサイ</t>
    </rPh>
    <rPh sb="12" eb="15">
      <t>ジュンシサン</t>
    </rPh>
    <phoneticPr fontId="7"/>
  </si>
  <si>
    <t>DEレシオ</t>
    <phoneticPr fontId="7"/>
  </si>
  <si>
    <t>（短期借入金＋長期借入金）/純資産</t>
    <rPh sb="1" eb="6">
      <t>タンキカリイレキン</t>
    </rPh>
    <rPh sb="7" eb="12">
      <t>チョウキカリイレキン</t>
    </rPh>
    <rPh sb="14" eb="17">
      <t>ジュンシサン</t>
    </rPh>
    <phoneticPr fontId="7"/>
  </si>
  <si>
    <t>ネットDEレシオ</t>
    <phoneticPr fontId="7"/>
  </si>
  <si>
    <t>純資産に対する実借入金の割合</t>
    <rPh sb="0" eb="3">
      <t>ジュンシサン</t>
    </rPh>
    <rPh sb="4" eb="5">
      <t>タイ</t>
    </rPh>
    <rPh sb="7" eb="11">
      <t>ジツカリイレキン</t>
    </rPh>
    <rPh sb="12" eb="14">
      <t>ワリアイ</t>
    </rPh>
    <phoneticPr fontId="7"/>
  </si>
  <si>
    <t>純資産に対する借入金の割合</t>
    <rPh sb="0" eb="3">
      <t>ジュンシサン</t>
    </rPh>
    <rPh sb="4" eb="5">
      <t>タイ</t>
    </rPh>
    <rPh sb="7" eb="10">
      <t>カリイレキン</t>
    </rPh>
    <rPh sb="11" eb="13">
      <t>ワリアイ</t>
    </rPh>
    <phoneticPr fontId="7"/>
  </si>
  <si>
    <t>（短期借入金＋長期借入金）ー現預金／純資産</t>
    <rPh sb="1" eb="6">
      <t>タンキカリイレキン</t>
    </rPh>
    <rPh sb="7" eb="12">
      <t>チョウキカリイレキン</t>
    </rPh>
    <rPh sb="14" eb="17">
      <t>ゲンヨキン</t>
    </rPh>
    <rPh sb="18" eb="21">
      <t>ジュンシサン</t>
    </rPh>
    <phoneticPr fontId="7"/>
  </si>
  <si>
    <t>返品率</t>
    <rPh sb="0" eb="3">
      <t>ヘンピンリツ</t>
    </rPh>
    <phoneticPr fontId="7"/>
  </si>
  <si>
    <t>債務保証</t>
    <rPh sb="0" eb="4">
      <t>サイムホショウ</t>
    </rPh>
    <phoneticPr fontId="7"/>
  </si>
  <si>
    <t>㈱ロッテが海外子会社（ベトナム・インドネシア・タイ・台湾）および国内関連会社（Dari K）の金融機関からの借入に対して保証人となる信用供与。借入金残高を上回る保証枠を設定しており、差引（保証額−借入残高）が未使用枠にあたる。みずほ・三菱UFJ・三井住友等の複数銀行に分散して設定される。</t>
    <phoneticPr fontId="7"/>
  </si>
  <si>
    <t>KK定例会長報告,収益企画社長報告</t>
    <phoneticPr fontId="7"/>
  </si>
  <si>
    <t>収益企画社長報告</t>
    <phoneticPr fontId="7"/>
  </si>
  <si>
    <t>不良率</t>
  </si>
  <si>
    <t>工場月次管理（品質KPI）</t>
  </si>
  <si>
    <t>再生発生率</t>
  </si>
  <si>
    <t>再生品の発生率。</t>
  </si>
  <si>
    <t>工場月次管理</t>
  </si>
  <si>
    <t>再生使用率</t>
  </si>
  <si>
    <t>再生品の使用率。発生した再生品をどれだけ生産に戻して使用できたかを示す。</t>
  </si>
  <si>
    <t>廃棄率</t>
  </si>
  <si>
    <t>廃棄品の発生率。</t>
  </si>
  <si>
    <t>工場月次管理（廃棄ロス管理）</t>
  </si>
  <si>
    <t>規格重量に対する重量差異の占める割合。</t>
  </si>
  <si>
    <t>工場品質管理</t>
  </si>
  <si>
    <t>時間当たり出来高</t>
  </si>
  <si>
    <t>１時間当たりの実生産量。</t>
  </si>
  <si>
    <t>BL/H等</t>
  </si>
  <si>
    <t>工場月次管理（ライン効率）</t>
  </si>
  <si>
    <t>生産達成率</t>
  </si>
  <si>
    <t>生産必達値に対する達成度。</t>
  </si>
  <si>
    <t>工場月次管理（生産KPI）</t>
  </si>
  <si>
    <t>操業度</t>
  </si>
  <si>
    <t>生産ラインの活用度。月間生産能力に対する実績生産量の比率。</t>
  </si>
  <si>
    <t>遅れ時間</t>
  </si>
  <si>
    <t>標準作業時間より遅れた時間。</t>
  </si>
  <si>
    <t>遅れ時間＝ 実際作業時間 − 標準作業時間</t>
  </si>
  <si>
    <t>時間・分</t>
  </si>
  <si>
    <t>工場作業管理（生産性改善）</t>
  </si>
  <si>
    <t>遅れ工数</t>
  </si>
  <si>
    <t>標準作業工数より遅れた工数。遅れ時間に配置人員数をかけた値。</t>
  </si>
  <si>
    <t>遅れ工数＝ 遅れ時間 × 配置人員数</t>
  </si>
  <si>
    <t>人×時間（MH）</t>
  </si>
  <si>
    <t>工場作業管理</t>
  </si>
  <si>
    <t>稼働阻害率</t>
  </si>
  <si>
    <t>生産効率を阻害する要因の比率。稼働率90％ならば稼働阻害率10％。</t>
  </si>
  <si>
    <t>稼働阻害率（％）＝ 100 − 稼働率（％）</t>
  </si>
  <si>
    <t>工場改善活動</t>
  </si>
  <si>
    <t>目で見る管理</t>
  </si>
  <si>
    <t>生産活動の状態が正常か異常かを目で見て即時に判断できる現場管理の形態。アンドン、生産管理板などがその代表的方法。</t>
  </si>
  <si>
    <t>工場現場管理</t>
  </si>
  <si>
    <t>生産管理板</t>
  </si>
  <si>
    <t>各工程やライン1時間ごとの目標数量と実績、異常内容などを記録する表示板。</t>
  </si>
  <si>
    <t>工場現場管理（リアルタイム進捗確認）</t>
  </si>
  <si>
    <t>アンドン</t>
  </si>
  <si>
    <t>ライン外者へのアクションを促すための電光掲示板。現時点の異常場所を一目で判断できるようにした表示板。異常表示のほかに作業の指示（包材交換・品質チェック等）・進度表示をするものもある。</t>
  </si>
  <si>
    <t>工場現場管理（異常検知・通知）</t>
  </si>
  <si>
    <t>生産能力</t>
  </si>
  <si>
    <t>管理課が生産計画を立てる際に使用する能力。ライン能力に稼働率（管理課が生産計画時に使用する稼働率）をかけたもの。</t>
  </si>
  <si>
    <t>生産能力＝ ライン能力 × 計画稼働率</t>
  </si>
  <si>
    <t>生産計画立案、SCM生販在計画連携</t>
  </si>
  <si>
    <t>横取り</t>
  </si>
  <si>
    <t>工場生産オペレーション</t>
  </si>
  <si>
    <t>予防保全（Preventive Maintenance）。定期メンテナンス・定期オーバーホール。各種機器等の保守を、あらかじめ決めた手順により計画的に検査・試験・再調整を行い、使用中での故障を防止し、機器の劣化を抑え、故障率を下げるための方法。</t>
  </si>
  <si>
    <t>設備保全計画、工場管理指標</t>
  </si>
  <si>
    <t>故障・破損した機械の修理をすること（Break Maintenance）。</t>
  </si>
  <si>
    <t>設備修理対応</t>
  </si>
  <si>
    <t>重量生産性</t>
  </si>
  <si>
    <t>1年間の人員1人当たりの生産重量効率。</t>
  </si>
  <si>
    <t>トン/年・人</t>
  </si>
  <si>
    <t>工場生産性管理（重量ベース）</t>
  </si>
  <si>
    <t>１人１時間当たり出来高</t>
  </si>
  <si>
    <t>1時間の人員1人当たりの生産量効率。</t>
  </si>
  <si>
    <t>個/MH</t>
  </si>
  <si>
    <t>工場ライン効率管理（直接工数分析）</t>
  </si>
  <si>
    <t>ラインバランス率</t>
  </si>
  <si>
    <t>ライン全体の編成効率（負荷率）。各工程の実作業時間の合計を、最大工程時間×人員数で割った値。</t>
  </si>
  <si>
    <t>工場ライン設計・改善活動</t>
  </si>
  <si>
    <t>必要人工</t>
  </si>
  <si>
    <t>生産をするために必要な工数（人数）。各工程作業時間の合計をピッチタイムで割った値。</t>
  </si>
  <si>
    <t>人工</t>
  </si>
  <si>
    <t>生産計画・人員配置計画</t>
  </si>
  <si>
    <t>サイクルタイム</t>
  </si>
  <si>
    <t>CT</t>
  </si>
  <si>
    <t>秒/個等</t>
  </si>
  <si>
    <t>工場標準作業設定、ライン設計</t>
  </si>
  <si>
    <t>ピッチタイム</t>
  </si>
  <si>
    <t>作業者または設備が受持ち工程を決められた順序で作業して一巡する、決められた時間。サイクルタイム＋1サイクル当り付帯時間＋余裕時間。1単位（個・ボール等）当たりの物を造るスピード。標準ピッチ：計画している作りたいピッチタイム。実績ピッチ：実際にかかっているピッチタイム。</t>
  </si>
  <si>
    <t>工場ライン管理（ライン速度管理）</t>
  </si>
  <si>
    <t>作業山積表</t>
  </si>
  <si>
    <t>1サイクル・1日または1直分の作業量（時間）を工程（作業者）毎に山積した表。ラインバランス設計・改善に活用。</t>
  </si>
  <si>
    <t>主体作業</t>
  </si>
  <si>
    <t>工場作業分析</t>
  </si>
  <si>
    <t>正味作業</t>
  </si>
  <si>
    <t>付加価値を与える作業。</t>
  </si>
  <si>
    <t>工場作業分析（改善余地の特定）</t>
  </si>
  <si>
    <t>付随作業</t>
  </si>
  <si>
    <t>正味作業に付随して規則的に発生するが、作業の目的に対し間接的にのみ役立っている、付加価値を生まない作業（原料を取るなど）。</t>
  </si>
  <si>
    <t>付帯作業</t>
  </si>
  <si>
    <t>①主体作業または主作業何回かに1回行う、付加価値を生まない作業（包材交換・パレット運搬等）。②主体作業を行う為の準備・段取り・後始末・運搬など。</t>
  </si>
  <si>
    <t>単位作業</t>
  </si>
  <si>
    <t>一つの作業目的を遂行する最小の作業区分。</t>
  </si>
  <si>
    <t>工場作業標準化</t>
  </si>
  <si>
    <t>要素作業</t>
  </si>
  <si>
    <t>単位作業を構成する要素で、目的別に区分される一連の動作または作業。</t>
  </si>
  <si>
    <t>要素動作</t>
  </si>
  <si>
    <t>要素作業を構成する動作で、かつ作業を分割できる最小単位の動作。</t>
  </si>
  <si>
    <t>工場動作研究（IE分析）</t>
  </si>
  <si>
    <t>ストライクゾーン</t>
  </si>
  <si>
    <t>作業者が最もムリ・ムダがなく作業できる作業位置のこと。</t>
  </si>
  <si>
    <t>工場ライン設計（作業性改善）</t>
  </si>
  <si>
    <t>生産のリードタイム</t>
  </si>
  <si>
    <t>生産現場に生産指示が出てから、製品の出荷にいたるまでの時間。A（指示情報の滞留時間）＋B（原材料仕掛けから完成品までの時間）＋C（完成品の最初の1個から引取数量が揃うまでの時間）で表す。</t>
  </si>
  <si>
    <t>リードタイム＝ A（情報滞留） ＋ B（加工時間＋停滞時間） ＋ C（完成品積上げ時間）</t>
  </si>
  <si>
    <t>時間・日</t>
  </si>
  <si>
    <t>生産計画・SCM在庫管理</t>
  </si>
  <si>
    <t>標準作業</t>
  </si>
  <si>
    <t>人の動きを中心として、ムダのない順序で、効率的な生産をするやり方。</t>
  </si>
  <si>
    <t>平準化</t>
  </si>
  <si>
    <t>生産する物の種類と量を平均化して生産すること。</t>
  </si>
  <si>
    <t>生産計画・SCM生販在計画連携</t>
  </si>
  <si>
    <t>自働化</t>
  </si>
  <si>
    <t>工場品質管理・設備管理</t>
  </si>
  <si>
    <t>JIT</t>
  </si>
  <si>
    <t>トヨタ生産方式の2本の柱の1つ。変化に対応し経営効率を高めるために「必要なものを必要な時に必要な量だけ」生産したり運搬したりする仕組みとその考え方。</t>
  </si>
  <si>
    <t>生産計画・在庫管理方針</t>
  </si>
  <si>
    <t>省人</t>
  </si>
  <si>
    <t>作業改善や設備改善により、人を一人単位で省くこと。</t>
  </si>
  <si>
    <t>工場人員計画・改善活動</t>
  </si>
  <si>
    <t>省力化</t>
  </si>
  <si>
    <t>作業者が行う人手作業の一部を単に機械に置き換えることを言い、省人できない状態。</t>
  </si>
  <si>
    <t>工場設備投資評価</t>
  </si>
  <si>
    <t>内段取り</t>
  </si>
  <si>
    <t>段取り作業のうち、ラインや機械設備の運転を止めなければできない作業（モールド交換・機械本体清掃等）。</t>
  </si>
  <si>
    <t>工場段取り改善</t>
  </si>
  <si>
    <t>外段取り</t>
  </si>
  <si>
    <t>段取り作業のうちラインや機械設備の運転を止めないでできる、準備・片付けの作業。</t>
  </si>
  <si>
    <t>品質管理</t>
  </si>
  <si>
    <t>100万個販売当たりのクレーム発生件数。</t>
  </si>
  <si>
    <t>工場品質KPI管理（消費者クレーム）</t>
  </si>
  <si>
    <t>エネルギー原単位</t>
  </si>
  <si>
    <t>工場省エネKPI管理</t>
  </si>
  <si>
    <t>エネルギー重量原単位</t>
  </si>
  <si>
    <t>生産重量に対するエネルギー使用量。</t>
  </si>
  <si>
    <t>ℓ/トン等</t>
  </si>
  <si>
    <t>工場省エネKPI管理（金額変動排除）</t>
  </si>
  <si>
    <t>3現主義</t>
  </si>
  <si>
    <t>工場改善活動・品質管理</t>
  </si>
  <si>
    <t>3即主義</t>
  </si>
  <si>
    <t>3即（即時・即座・即応）のこと。現場改革において「あとで」「そのうち」等のいい訳を排除し「その時点で、その場で、即行動する」ことを意味する。JIT改革の実践第一主義につながる。</t>
  </si>
  <si>
    <t>3徹主義</t>
  </si>
  <si>
    <t>3徹（徹頭・徹尾・徹底）のこと。最初から最後まで徹底してやること。</t>
  </si>
  <si>
    <t>５S</t>
  </si>
  <si>
    <t>整理・整頓・清潔・清掃・躾の5つの日本語の頭文字（S）を示したもの。物の管理の重要性を強調しており、改善の基礎にあたる。</t>
  </si>
  <si>
    <t>工場現場管理・改善活動の基礎</t>
  </si>
  <si>
    <t>５回のなぜ</t>
  </si>
  <si>
    <t>5Why</t>
  </si>
  <si>
    <t>なぜを1・2度で止めることなく、なぜなぜ…と5回問うことで真因を追究する手法。真因にたどり着くまでなぜを繰り返す。</t>
  </si>
  <si>
    <t>工場品質改善・原因分析</t>
  </si>
  <si>
    <t>QC</t>
  </si>
  <si>
    <t>製造業において、製品の品質を一定水準に保つこと（Quality Control）。</t>
  </si>
  <si>
    <t>工場品質管理活動</t>
  </si>
  <si>
    <t>TQC</t>
  </si>
  <si>
    <t>総合的品質管理</t>
  </si>
  <si>
    <t>TQC（Total Quality Control＝総合的品質管理）。QCの実施を生産に関わる特定の部門に限定せず、全社的に展開したもの。</t>
  </si>
  <si>
    <t>全社品質管理活動</t>
  </si>
  <si>
    <t>加工のムダ</t>
  </si>
  <si>
    <t>7つのムダ（加工）</t>
  </si>
  <si>
    <t>工程の進みや加工精度などには何ら寄与しない、不必要な加工・必要以上の手直し・検査を行うこと。</t>
  </si>
  <si>
    <t>工場改善活動（7つのムダ排除）</t>
  </si>
  <si>
    <t>在庫のムダ</t>
  </si>
  <si>
    <t>7つのムダ（在庫）</t>
  </si>
  <si>
    <t>生産・運搬の仕組みによって発生する在庫（原材料・工程間仕掛品・半製品・製品）のムダ。</t>
  </si>
  <si>
    <t>不良品・手直しのムダ</t>
  </si>
  <si>
    <t>7つのムダ（不良）</t>
  </si>
  <si>
    <t>廃棄しなければならない不良品や、手直しをしなければ製品にならない物を造ってしまうこと。手直し工程・調整工程を正規工程とすることはこのムダが発生しているという感覚が薄れ改善が進まない。</t>
  </si>
  <si>
    <t>手待ちのムダ</t>
  </si>
  <si>
    <t>7つのムダ（手待ち）</t>
  </si>
  <si>
    <t>作業をする過程で、次の手順に進もうとしても進めない状態。仕事量が少ない場合に生じることが多い。</t>
  </si>
  <si>
    <t>造りすぎのムダ</t>
  </si>
  <si>
    <t>7つのムダ（造りすぎ）</t>
  </si>
  <si>
    <t>必要な時よりタイミングが早く生産したり、必要以上に生産するために発生するムダ。このムダは手待ち・動作のムダを隠したり、加工・運搬のムダを発生させるとともに運搬車・パレット等の増加という2次的ムダを発生させるため、7つのムダの中で最も問題となる。</t>
  </si>
  <si>
    <t>動作のムダ</t>
  </si>
  <si>
    <t>7つのムダ（動作）</t>
  </si>
  <si>
    <t>生産活動で付加価値を生まない人や機械の動き。</t>
  </si>
  <si>
    <t>運搬のムダ</t>
  </si>
  <si>
    <t>7つのムダ（運搬）</t>
  </si>
  <si>
    <t>効率的な生産をするために最小限必要な運搬以外の、仮置き・積み替え・小出し・移し替えなどのムダ。運搬そのものは製品の付加価値を高めない。</t>
  </si>
  <si>
    <t>作業手順書</t>
  </si>
  <si>
    <t>作業で必要な質・量・コスト・安全を確保し、標準作業をするための手順を表したもの。</t>
  </si>
  <si>
    <t>工場作業標準化・OJT</t>
  </si>
  <si>
    <t>動線図</t>
  </si>
  <si>
    <t>人の作業する動きを図示したもの。</t>
  </si>
  <si>
    <t>工場動作分析・レイアウト改善</t>
  </si>
  <si>
    <t>ベンチマーク</t>
  </si>
  <si>
    <t>複数工場生産品を同条件で比較した指標の最良値。</t>
  </si>
  <si>
    <t>工場間比較・目標設定</t>
  </si>
  <si>
    <t>ムダ</t>
  </si>
  <si>
    <t>付加価値を生みださないで、原価だけを高める生産の諸要素。7つのムダ（造りすぎ・手待ち・運搬・加工・在庫・動作・不良品手直し）として分類される。</t>
  </si>
  <si>
    <t>工場改善活動（全般）</t>
  </si>
  <si>
    <t>ムラ</t>
  </si>
  <si>
    <t>生産計画や生産量が一定でなく、一時的に増減変動すること。人の面では、ある基準に対し負荷のバラツキをいう。</t>
  </si>
  <si>
    <t>工場生産計画・平準化活動</t>
  </si>
  <si>
    <t>加重平均</t>
  </si>
  <si>
    <t>工場月次管理（指標集計）</t>
  </si>
  <si>
    <t>重量ロス率</t>
    <rPh sb="0" eb="2">
      <t>ジュウリョウ</t>
    </rPh>
    <rPh sb="4" eb="5">
      <t>リツ</t>
    </rPh>
    <phoneticPr fontId="7"/>
  </si>
  <si>
    <t>重量で算出するロスの発生率</t>
    <rPh sb="0" eb="2">
      <t>ジュウリョウ</t>
    </rPh>
    <rPh sb="3" eb="5">
      <t>サンシュツ</t>
    </rPh>
    <rPh sb="10" eb="12">
      <t>ハッセイ</t>
    </rPh>
    <rPh sb="12" eb="13">
      <t>リツ</t>
    </rPh>
    <phoneticPr fontId="7"/>
  </si>
  <si>
    <t>（実績使用重量ー標準使用重量）/実績使用重量×100</t>
    <rPh sb="1" eb="3">
      <t>ジッセキ</t>
    </rPh>
    <rPh sb="3" eb="5">
      <t>シヨウ</t>
    </rPh>
    <rPh sb="5" eb="7">
      <t>ジュウリョウ</t>
    </rPh>
    <rPh sb="8" eb="10">
      <t>ヒョウジュン</t>
    </rPh>
    <rPh sb="10" eb="14">
      <t>シヨウジュウリョウ</t>
    </rPh>
    <rPh sb="16" eb="18">
      <t>ジッセキ</t>
    </rPh>
    <rPh sb="18" eb="20">
      <t>シヨウ</t>
    </rPh>
    <rPh sb="20" eb="22">
      <t>ジュウリョウ</t>
    </rPh>
    <phoneticPr fontId="7"/>
  </si>
  <si>
    <t>洗浄ロス率</t>
    <rPh sb="0" eb="2">
      <t>センジョウ</t>
    </rPh>
    <rPh sb="4" eb="5">
      <t>リツ</t>
    </rPh>
    <phoneticPr fontId="7"/>
  </si>
  <si>
    <t>設備や貴部に付着した洗い流されてしまう原料や半製品の発生率</t>
    <rPh sb="0" eb="2">
      <t>セツビ</t>
    </rPh>
    <rPh sb="3" eb="5">
      <t>キブ</t>
    </rPh>
    <rPh sb="6" eb="8">
      <t>フチャク</t>
    </rPh>
    <rPh sb="10" eb="11">
      <t>アラ</t>
    </rPh>
    <rPh sb="12" eb="13">
      <t>ナガ</t>
    </rPh>
    <rPh sb="19" eb="21">
      <t>ゲンリョウ</t>
    </rPh>
    <rPh sb="22" eb="25">
      <t>ハンセイヒン</t>
    </rPh>
    <rPh sb="26" eb="29">
      <t>ハッセイリツ</t>
    </rPh>
    <phoneticPr fontId="7"/>
  </si>
  <si>
    <t>（洗浄ロス量×洗浄回数）/実績使用量×100</t>
    <rPh sb="1" eb="3">
      <t>センジョウ</t>
    </rPh>
    <rPh sb="5" eb="6">
      <t>リョウ</t>
    </rPh>
    <rPh sb="7" eb="9">
      <t>センジョウ</t>
    </rPh>
    <rPh sb="9" eb="11">
      <t>カイスウ</t>
    </rPh>
    <rPh sb="13" eb="18">
      <t>ジッセキシヨウリョウ</t>
    </rPh>
    <phoneticPr fontId="7"/>
  </si>
  <si>
    <t>原材料ロス管理</t>
    <phoneticPr fontId="7"/>
  </si>
  <si>
    <t>一人当たり利益</t>
    <rPh sb="0" eb="2">
      <t>ヒトリ</t>
    </rPh>
    <rPh sb="2" eb="3">
      <t>ア</t>
    </rPh>
    <rPh sb="5" eb="7">
      <t>リエキ</t>
    </rPh>
    <phoneticPr fontId="7"/>
  </si>
  <si>
    <t>生産性指標。営業本部で管理する生産性人員一人当たりの利益額</t>
    <rPh sb="0" eb="5">
      <t>セイサンセイシヒョウ</t>
    </rPh>
    <rPh sb="6" eb="8">
      <t>エイギョウ</t>
    </rPh>
    <rPh sb="8" eb="10">
      <t>ホンブ</t>
    </rPh>
    <rPh sb="11" eb="13">
      <t>カンリ</t>
    </rPh>
    <rPh sb="15" eb="18">
      <t>セイサンセイ</t>
    </rPh>
    <rPh sb="18" eb="20">
      <t>ジンイン</t>
    </rPh>
    <rPh sb="20" eb="22">
      <t>ヒトリ</t>
    </rPh>
    <rPh sb="22" eb="23">
      <t>ア</t>
    </rPh>
    <rPh sb="26" eb="28">
      <t>リエキ</t>
    </rPh>
    <rPh sb="28" eb="29">
      <t>ガク</t>
    </rPh>
    <phoneticPr fontId="7"/>
  </si>
  <si>
    <t>見込み</t>
    <phoneticPr fontId="7"/>
  </si>
  <si>
    <t>本部KPI</t>
    <rPh sb="0" eb="2">
      <t>ホンブ</t>
    </rPh>
    <phoneticPr fontId="7"/>
  </si>
  <si>
    <t>本部KPI確認</t>
    <rPh sb="0" eb="2">
      <t>ホンブ</t>
    </rPh>
    <rPh sb="5" eb="7">
      <t>カクニン</t>
    </rPh>
    <phoneticPr fontId="7"/>
  </si>
  <si>
    <t>営業からSCMへ伝える販売見込。Anaplanで段階的に更新。</t>
    <phoneticPr fontId="7"/>
  </si>
  <si>
    <t>月次報, 生販会議生産, 受注本編</t>
    <phoneticPr fontId="7"/>
  </si>
  <si>
    <t>円</t>
    <phoneticPr fontId="7"/>
  </si>
  <si>
    <t>目標管理実績（工場別KPI管理）・年度KPI</t>
    <rPh sb="17" eb="19">
      <t>ネンド</t>
    </rPh>
    <phoneticPr fontId="7"/>
  </si>
  <si>
    <t>異物混入苦情件数</t>
    <rPh sb="0" eb="2">
      <t>イブツ</t>
    </rPh>
    <rPh sb="2" eb="4">
      <t>コンニュウ</t>
    </rPh>
    <rPh sb="4" eb="6">
      <t>クジョウ</t>
    </rPh>
    <rPh sb="6" eb="8">
      <t>ケンスウ</t>
    </rPh>
    <phoneticPr fontId="7"/>
  </si>
  <si>
    <t>（平均実績NET重量 − 規格NET重量） ÷ 規格NET重量 × 100</t>
  </si>
  <si>
    <t>実績生産量 ÷ 稼働時間
※稼働時間＝生産計画時間 − 管理停止設定時間（朝礼・準備・食事・切替・清掃・洗浄）</t>
  </si>
  <si>
    <t>【ロッテ】当月クレーム件数 ÷（前月販売個数 ÷ 1,000,000）
【メリーチョコレート】当月クレーム件数 ÷（前月出荷個数 ÷ 1,000,000）
【銀座コージーコーナー】当月クレーム件数 ÷（当月出荷個数 ÷ 1,000,000）</t>
  </si>
  <si>
    <t>人・物・設備・生産の仕組み等に関するムダを見つけ、知恵を出し、できる限り費用をかけずに迅速にムダを一つずつ排除していく一連の活動。日本の製造業で生まれた、工場の作業者が中心となって行う活動。①作業者が自分で知恵を出して変えていく。②自分たちで制作・改造する。③持続性・継続性が重視される。</t>
  </si>
  <si>
    <t>工場改善活動（全般・継続的実施）</t>
  </si>
  <si>
    <t>ムリ</t>
  </si>
  <si>
    <t>生産現場において、人の面では心身に過度の負担がかかることをいい、また機械設備に関してはそれら自身が保有する能力に対して過度の負荷をかけることをいう。</t>
  </si>
  <si>
    <t>工場改善活動（ムダ・ムラ・ムリの排除）</t>
  </si>
  <si>
    <t>① 再生品発生量 ÷ 実績使用量 × 100
② 再生品発生重量 ÷ （実績生産重量＋不良品発生重量） × 100</t>
    <rPh sb="7" eb="8">
      <t>リョウ</t>
    </rPh>
    <rPh sb="11" eb="13">
      <t>ジッセキ</t>
    </rPh>
    <rPh sb="36" eb="38">
      <t>ジッセキ</t>
    </rPh>
    <rPh sb="38" eb="42">
      <t>セイサンジュウリョウ</t>
    </rPh>
    <rPh sb="43" eb="50">
      <t>フリョウヒンハッセイジュウリョウ</t>
    </rPh>
    <phoneticPr fontId="7"/>
  </si>
  <si>
    <t>① 再生品使用数量 ÷ 再生品発生数量 × 100
② 再生品使用重量 ÷ （実績生産重量＋不良品発生重量） × 100</t>
    <rPh sb="39" eb="45">
      <t>ジッセキセイサンジュウリョウ</t>
    </rPh>
    <rPh sb="46" eb="53">
      <t>フリョウヒンハッセイジュウリョウ</t>
    </rPh>
    <phoneticPr fontId="7"/>
  </si>
  <si>
    <t>① 廃棄品発生数量 ÷ 使用量（数量） × 100
② 廃棄品発生重量 ÷ （実績生産重量＋不良品発生重量） × 100</t>
    <phoneticPr fontId="7"/>
  </si>
  <si>
    <t>OEE算出要素（機械稼働率・製品化率）、生産本部KPI稼働状況</t>
    <rPh sb="27" eb="31">
      <t>カドウジョウキョウ</t>
    </rPh>
    <phoneticPr fontId="7"/>
  </si>
  <si>
    <t>機械稼働率</t>
    <rPh sb="0" eb="5">
      <t>キカイカドウリツ</t>
    </rPh>
    <phoneticPr fontId="7"/>
  </si>
  <si>
    <t>稼働すべき時間のうち、実際にラインが稼働した時間の割合</t>
    <rPh sb="0" eb="2">
      <t>カドウ</t>
    </rPh>
    <rPh sb="5" eb="7">
      <t>ジカン</t>
    </rPh>
    <rPh sb="11" eb="13">
      <t>ジッサイ</t>
    </rPh>
    <rPh sb="18" eb="20">
      <t>カドウ</t>
    </rPh>
    <rPh sb="22" eb="24">
      <t>ジカン</t>
    </rPh>
    <rPh sb="25" eb="27">
      <t>ワリアイ</t>
    </rPh>
    <phoneticPr fontId="7"/>
  </si>
  <si>
    <t>2月個別決算</t>
    <rPh sb="1" eb="2">
      <t>ガツ</t>
    </rPh>
    <rPh sb="2" eb="4">
      <t>コベツ</t>
    </rPh>
    <rPh sb="4" eb="6">
      <t>ケッサン</t>
    </rPh>
    <phoneticPr fontId="7"/>
  </si>
  <si>
    <t>実稼働時間÷稼働時間×100</t>
    <rPh sb="0" eb="5">
      <t>ジツカドウジカン</t>
    </rPh>
    <rPh sb="6" eb="10">
      <t>カドウジカン</t>
    </rPh>
    <phoneticPr fontId="7"/>
  </si>
  <si>
    <t>個別決算</t>
    <rPh sb="0" eb="2">
      <t>コベツ</t>
    </rPh>
    <rPh sb="2" eb="4">
      <t>ケッサン</t>
    </rPh>
    <phoneticPr fontId="7"/>
  </si>
  <si>
    <t>生産本部KPI稼働状況</t>
    <phoneticPr fontId="7"/>
  </si>
  <si>
    <t>管理指標定義</t>
    <phoneticPr fontId="7"/>
  </si>
  <si>
    <t>OEEの性能稼働率に相当。生産予定時間に対する価値稼働時間の比率。全生産性に対する良品数の割合</t>
    <rPh sb="33" eb="37">
      <t>ゼンセイサンセイ</t>
    </rPh>
    <rPh sb="38" eb="39">
      <t>タイ</t>
    </rPh>
    <rPh sb="41" eb="43">
      <t>リョウヒン</t>
    </rPh>
    <rPh sb="43" eb="44">
      <t>スウ</t>
    </rPh>
    <rPh sb="45" eb="47">
      <t>ワリアイ</t>
    </rPh>
    <phoneticPr fontId="7"/>
  </si>
  <si>
    <t>価値稼働時間 ÷ 生産予定時間 × 100
実績生産量÷ライン能力×実稼働時間×100</t>
    <rPh sb="22" eb="27">
      <t>ジッセキセイサンリョウ</t>
    </rPh>
    <rPh sb="31" eb="33">
      <t>ノウリョク</t>
    </rPh>
    <rPh sb="34" eb="39">
      <t>ジツカドウジカン</t>
    </rPh>
    <phoneticPr fontId="7"/>
  </si>
  <si>
    <t>時間当たり出来高（BL/H等）＝ 実生産量 ÷ 稼働時間</t>
    <phoneticPr fontId="7"/>
  </si>
  <si>
    <t>実績生産量 ÷ 生産計画量 × 100</t>
    <phoneticPr fontId="7"/>
  </si>
  <si>
    <r>
      <t>海外現法の売上・利益を円換算する際に使用する社内統一の為替レート。</t>
    </r>
    <r>
      <rPr>
        <sz val="10"/>
        <color rgb="FFFF0000"/>
        <rFont val="Meiryo UI"/>
        <family val="3"/>
        <charset val="128"/>
      </rPr>
      <t>毎年度設定される。</t>
    </r>
    <phoneticPr fontId="7"/>
  </si>
  <si>
    <r>
      <t>月次工程表において、生産部門が需給部</t>
    </r>
    <r>
      <rPr>
        <sz val="10"/>
        <color theme="1"/>
        <rFont val="Meiryo"/>
        <family val="3"/>
        <charset val="128"/>
      </rPr>
      <t>门</t>
    </r>
    <r>
      <rPr>
        <sz val="10"/>
        <color theme="1"/>
        <rFont val="Meiryo UI"/>
        <family val="3"/>
        <charset val="128"/>
      </rPr>
      <t>からの生産要請に対して回答した生産予定数量。「計画」と区別して使われ、ライン・品番ごとに設定される。</t>
    </r>
  </si>
  <si>
    <r>
      <t>生産・販売・在庫を統合した計画。SCM本部が生産計画と販売計画を在庫水準と合わせて管理するための中核指標。</t>
    </r>
    <r>
      <rPr>
        <sz val="10"/>
        <color rgb="FFFF0000"/>
        <rFont val="Meiryo UI"/>
        <family val="3"/>
        <charset val="128"/>
      </rPr>
      <t>Anaplanへの入力データと連動。</t>
    </r>
    <phoneticPr fontId="7"/>
  </si>
  <si>
    <r>
      <t>製造途中で完成品になっていない中間製品の在庫。</t>
    </r>
    <r>
      <rPr>
        <sz val="10"/>
        <color rgb="FFFF0000"/>
        <rFont val="Meiryo UI"/>
        <family val="3"/>
        <charset val="128"/>
      </rPr>
      <t>日分で管理される。</t>
    </r>
    <phoneticPr fontId="7"/>
  </si>
  <si>
    <r>
      <rPr>
        <sz val="10"/>
        <color rgb="FFFF0000"/>
        <rFont val="Meiryo UI"/>
        <family val="3"/>
        <charset val="128"/>
      </rPr>
      <t>消費者クレーム等で確認された製品への異物混入の件数</t>
    </r>
    <r>
      <rPr>
        <sz val="10"/>
        <color theme="1"/>
        <rFont val="Meiryo UI"/>
        <family val="3"/>
        <charset val="128"/>
      </rPr>
      <t>。工場別に目標設定・管理される生産本部の品質KPI。</t>
    </r>
    <phoneticPr fontId="7"/>
  </si>
  <si>
    <r>
      <t>ロッテの主要菓子5カテゴリー（ガム・チョコレート・キャンディ・ビスケット・</t>
    </r>
    <r>
      <rPr>
        <b/>
        <sz val="10"/>
        <color rgb="FFFF0000"/>
        <rFont val="Meiryo UI"/>
        <family val="3"/>
        <charset val="128"/>
      </rPr>
      <t>その他?</t>
    </r>
    <r>
      <rPr>
        <sz val="10"/>
        <color theme="1"/>
        <rFont val="Meiryo UI"/>
        <family val="3"/>
        <charset val="128"/>
      </rPr>
      <t>）の合計。全国営業会議・販売実績の集計単位。</t>
    </r>
    <rPh sb="39" eb="40">
      <t>ホカ</t>
    </rPh>
    <phoneticPr fontId="7"/>
  </si>
  <si>
    <t>月間生産能力＝ライン能力×標準単価×2直稼働時間×計画稼働率×20日</t>
    <phoneticPr fontId="7"/>
  </si>
  <si>
    <t>【ロッテ】年間生産金額 ÷（月間生産能力 × 11ヶ月）× 100
【メリー】生産個数 ÷（定時生産での生産個数 × 稼働日）× 100
【GCC】稼働時間 ÷（24時間 −（準備時間＋清掃時間））× 100</t>
    <phoneticPr fontId="7"/>
  </si>
  <si>
    <r>
      <t>ガム ＋ チョコレート ＋ キャンディ ＋ ビスケット（＋</t>
    </r>
    <r>
      <rPr>
        <b/>
        <sz val="10"/>
        <color rgb="FFFF0000"/>
        <rFont val="Meiryo UI"/>
        <family val="3"/>
        <charset val="128"/>
      </rPr>
      <t>その他？</t>
    </r>
    <r>
      <rPr>
        <sz val="10"/>
        <color theme="1"/>
        <rFont val="Meiryo UI"/>
        <family val="3"/>
        <charset val="128"/>
      </rPr>
      <t>）</t>
    </r>
    <rPh sb="31" eb="32">
      <t>タ</t>
    </rPh>
    <phoneticPr fontId="7"/>
  </si>
  <si>
    <t>月間生産能力</t>
    <rPh sb="0" eb="2">
      <t>ゲッカン</t>
    </rPh>
    <rPh sb="2" eb="4">
      <t>セイサン</t>
    </rPh>
    <rPh sb="4" eb="6">
      <t>ノウリョク</t>
    </rPh>
    <phoneticPr fontId="7"/>
  </si>
  <si>
    <t>月間の生産可能な能力</t>
    <rPh sb="0" eb="2">
      <t>ゲッカン</t>
    </rPh>
    <rPh sb="3" eb="5">
      <t>セイサン</t>
    </rPh>
    <rPh sb="5" eb="7">
      <t>カノウ</t>
    </rPh>
    <rPh sb="8" eb="10">
      <t>ノウリョク</t>
    </rPh>
    <phoneticPr fontId="7"/>
  </si>
  <si>
    <t>収益性分析</t>
    <rPh sb="0" eb="3">
      <t>シュウエキセイ</t>
    </rPh>
    <rPh sb="3" eb="5">
      <t>ブンセキ</t>
    </rPh>
    <phoneticPr fontId="7"/>
  </si>
  <si>
    <t>・KK定例会長報告では純売上高に対する売上原価率を算出、個別決算の収益性分析では総売上高に対する売上原価率を算出</t>
    <rPh sb="3" eb="9">
      <t>テイレイカイチョウホウコク</t>
    </rPh>
    <rPh sb="11" eb="15">
      <t>ジュンウリアゲダカ</t>
    </rPh>
    <rPh sb="16" eb="17">
      <t>タイ</t>
    </rPh>
    <rPh sb="19" eb="23">
      <t>ウリアゲゲンカ</t>
    </rPh>
    <rPh sb="23" eb="24">
      <t>リツ</t>
    </rPh>
    <rPh sb="25" eb="27">
      <t>サンシュツ</t>
    </rPh>
    <rPh sb="28" eb="30">
      <t>コベツ</t>
    </rPh>
    <rPh sb="30" eb="32">
      <t>ケッサン</t>
    </rPh>
    <rPh sb="33" eb="36">
      <t>シュウエキセイ</t>
    </rPh>
    <rPh sb="36" eb="38">
      <t>ブンセキ</t>
    </rPh>
    <rPh sb="40" eb="41">
      <t>ソウ</t>
    </rPh>
    <rPh sb="41" eb="43">
      <t>ウリアゲ</t>
    </rPh>
    <rPh sb="43" eb="44">
      <t>ダカ</t>
    </rPh>
    <rPh sb="45" eb="46">
      <t>タイ</t>
    </rPh>
    <rPh sb="48" eb="50">
      <t>ウリアゲ</t>
    </rPh>
    <rPh sb="50" eb="52">
      <t>ゲンカ</t>
    </rPh>
    <rPh sb="52" eb="53">
      <t>リツ</t>
    </rPh>
    <rPh sb="54" eb="56">
      <t>サンシュツ</t>
    </rPh>
    <phoneticPr fontId="7"/>
  </si>
  <si>
    <t>ボトルネック</t>
    <phoneticPr fontId="7"/>
  </si>
  <si>
    <t>ネック工程</t>
    <phoneticPr fontId="7"/>
  </si>
  <si>
    <t>生産活動等において、全体の円滑な進行の妨げとなる最も大きな要素</t>
    <phoneticPr fontId="7"/>
  </si>
  <si>
    <t>時間当たりの出来高数が一番小さい工程のこと</t>
    <phoneticPr fontId="7"/>
  </si>
  <si>
    <t>ライン上を流れている半製品等を一時的にラインから外し、取り置くこと。例：カートナーがトラブルを起こしたので、ピロー包装品をライン上から一時排出する（横取りする）ことで、ピロー包装機までの生産を止めずに作り続ける。横取りした半製品は、生産終了後、あるいは生産を早く止めて手流しする場合が多い。</t>
    <phoneticPr fontId="7"/>
  </si>
  <si>
    <t>海外事業4地域（タイ・インドネシア・ベトナム・台湾）の合計</t>
    <rPh sb="0" eb="4">
      <t>カイガイジギョウ</t>
    </rPh>
    <rPh sb="5" eb="7">
      <t>チイキ</t>
    </rPh>
    <rPh sb="23" eb="25">
      <t>タイワン</t>
    </rPh>
    <rPh sb="27" eb="29">
      <t>ゴウケイ</t>
    </rPh>
    <phoneticPr fontId="7"/>
  </si>
  <si>
    <t>タイ+インドネシア+ベトナム+台湾</t>
    <rPh sb="15" eb="17">
      <t>タイワン</t>
    </rPh>
    <phoneticPr fontId="7"/>
  </si>
  <si>
    <t>ちょこ停</t>
    <phoneticPr fontId="7"/>
  </si>
  <si>
    <t>ドカ停</t>
    <phoneticPr fontId="7"/>
  </si>
  <si>
    <t>5分未満の短時間設備停止。</t>
    <phoneticPr fontId="7"/>
  </si>
  <si>
    <t>事後保全</t>
    <phoneticPr fontId="7"/>
  </si>
  <si>
    <t>PM</t>
    <phoneticPr fontId="7"/>
  </si>
  <si>
    <t>予防保全</t>
    <rPh sb="0" eb="4">
      <t>ヨボウホゼン</t>
    </rPh>
    <phoneticPr fontId="7"/>
  </si>
  <si>
    <t>ウェデル・ウェデルカフェの合計</t>
    <rPh sb="13" eb="15">
      <t>ゴウケイ</t>
    </rPh>
    <phoneticPr fontId="7"/>
  </si>
  <si>
    <t>BM</t>
    <phoneticPr fontId="7"/>
  </si>
  <si>
    <t>ウェデル+ウェデルカフェ</t>
    <phoneticPr fontId="7"/>
  </si>
  <si>
    <t>BM（Break Maintenance）：故障、破損した機械の修理をすること。</t>
    <phoneticPr fontId="7"/>
  </si>
  <si>
    <t>生産性</t>
    <phoneticPr fontId="7"/>
  </si>
  <si>
    <t>生産金額（百万円） ÷ 換算人員（人）</t>
    <phoneticPr fontId="7"/>
  </si>
  <si>
    <t>年次：内作の年間生産金額÷年間平均換算人員
月次：内作の月間生産金額÷月間平均換算人員×12</t>
    <rPh sb="0" eb="2">
      <t>ネンジ</t>
    </rPh>
    <rPh sb="3" eb="5">
      <t>ナイサク</t>
    </rPh>
    <rPh sb="6" eb="12">
      <t>ネンカンセイサンキンガク</t>
    </rPh>
    <rPh sb="13" eb="17">
      <t>ネンカンヘイキン</t>
    </rPh>
    <rPh sb="17" eb="21">
      <t>カンサンジンイン</t>
    </rPh>
    <rPh sb="22" eb="24">
      <t>ゲツジ</t>
    </rPh>
    <rPh sb="25" eb="27">
      <t>ナイサク</t>
    </rPh>
    <rPh sb="28" eb="30">
      <t>ゲッカン</t>
    </rPh>
    <rPh sb="30" eb="32">
      <t>セイサン</t>
    </rPh>
    <rPh sb="32" eb="34">
      <t>キンガク</t>
    </rPh>
    <rPh sb="35" eb="37">
      <t>ゲッカン</t>
    </rPh>
    <rPh sb="37" eb="39">
      <t>ヘイキン</t>
    </rPh>
    <rPh sb="39" eb="41">
      <t>カンサン</t>
    </rPh>
    <rPh sb="41" eb="43">
      <t>ジンイン</t>
    </rPh>
    <phoneticPr fontId="7"/>
  </si>
  <si>
    <t xml:space="preserve">【年次】内作の年間生産重量 ÷ 年間平均換算人員
【月次】内作の月間生産重量 ÷ 月間平均換算人員 × 12
※生産金額の算出が困難な場合のみ使用（例：ガムベース・チョコスイート）
換算人員：
【ロッテ・メリーチョコ】
正社員 ： 在籍人員数、パート ： 総労働時間÷１２Ｈ
期間・派遣 ： 総労働時間÷１１Ｈ
請負   ：  総請負費用 ÷ 1人当たり期間・派遣従業員賃率
【ＧＣＣ】全従業員労働時間÷８Ｈ      </t>
    <rPh sb="92" eb="96">
      <t>カンサンジンイン</t>
    </rPh>
    <phoneticPr fontId="7"/>
  </si>
  <si>
    <t>各工程の作業時間の合計 ÷（定時時間 または ピッチタイム × 配置人員数） × 100
【例】定時450分・配置5名の場合：
（350+320+380+377+340）÷（450×5）× 100 ＝ 78.5％</t>
    <phoneticPr fontId="7"/>
  </si>
  <si>
    <t>各工程の作業時間の合計 ÷（定時時間 または ピッチタイム）
（または：配置人員数 × ラインバランス率）
【例】定時450分・配置5名の場合：（350+320+380+377+340）÷ 450 ＝ 3.93人工</t>
    <phoneticPr fontId="7"/>
  </si>
  <si>
    <t>作業者一人が受持ち工程を決められた作業順序で作業して一巡するのに要する時間を言う。時間損失（余裕）を考えない場合の作業時間。標準工数を構成する最も重要な時間で普通正味の主作業時間と付随作業時間の和で表せられる。</t>
    <phoneticPr fontId="7"/>
  </si>
  <si>
    <t>正味の主作業時間＋付随作業時間</t>
    <rPh sb="0" eb="2">
      <t>ショウミ</t>
    </rPh>
    <rPh sb="3" eb="8">
      <t>シュサギョウジカン</t>
    </rPh>
    <rPh sb="9" eb="15">
      <t>フズイサギョウジカン</t>
    </rPh>
    <phoneticPr fontId="7"/>
  </si>
  <si>
    <t>作業サイクル毎、または一定周期毎に発生する作業時間で、主作業と付随作業に分けることができる。</t>
    <phoneticPr fontId="7"/>
  </si>
  <si>
    <t>トヨタ生産方式の２本の柱の１つである。機械設備の異常や、品質の異常、作業遅れなど何らかの異常が生じたら機械設備が自ら異常を検知し、自動停止するようにしたり、作業者自身が停止スイッチを押してラインを止められるようにすること。これにより不良の流出がなくなるとともに異常が明確に判り、異常の再発防止を図る事ができる為「品質は工程で造り込む」ことが可能となる。さらに異常が発生しても自動停止するので、設備の見張りをする必要がなくなり、省人が可能となる。。</t>
    <phoneticPr fontId="7"/>
  </si>
  <si>
    <t>ジャストインタイム</t>
    <phoneticPr fontId="7"/>
  </si>
  <si>
    <t>2月個別決算、KK定例会長報告, 収益企画社長報告</t>
    <rPh sb="1" eb="2">
      <t>ガツ</t>
    </rPh>
    <rPh sb="2" eb="4">
      <t>コベツ</t>
    </rPh>
    <rPh sb="4" eb="6">
      <t>ケッサン</t>
    </rPh>
    <phoneticPr fontId="7"/>
  </si>
  <si>
    <t>総売上に対する販売費の比率。</t>
    <rPh sb="0" eb="1">
      <t>ソウ</t>
    </rPh>
    <rPh sb="1" eb="3">
      <t>ウリアゲ</t>
    </rPh>
    <rPh sb="7" eb="10">
      <t>ハンバイヒ</t>
    </rPh>
    <rPh sb="11" eb="13">
      <t>ヒリツ</t>
    </rPh>
    <phoneticPr fontId="7"/>
  </si>
  <si>
    <t>販売費 ÷ 総売上高 × 100</t>
    <rPh sb="0" eb="3">
      <t>ハンバイヒ</t>
    </rPh>
    <rPh sb="6" eb="10">
      <t>ソウウリアゲダカ</t>
    </rPh>
    <phoneticPr fontId="7"/>
  </si>
  <si>
    <t>KK定例会長報告、2月個別決算</t>
    <rPh sb="10" eb="11">
      <t>ガツ</t>
    </rPh>
    <rPh sb="11" eb="13">
      <t>コベツ</t>
    </rPh>
    <rPh sb="13" eb="15">
      <t>ケッサン</t>
    </rPh>
    <phoneticPr fontId="7"/>
  </si>
  <si>
    <t>総売上高に対する総人件費の割合</t>
    <rPh sb="0" eb="4">
      <t>ソウウリアゲダカ</t>
    </rPh>
    <rPh sb="5" eb="6">
      <t>タイ</t>
    </rPh>
    <rPh sb="8" eb="12">
      <t>ソウジンケンヒ</t>
    </rPh>
    <rPh sb="13" eb="15">
      <t>ワリアイ</t>
    </rPh>
    <phoneticPr fontId="7"/>
  </si>
  <si>
    <t>総人件費　÷　純売上高</t>
    <rPh sb="0" eb="4">
      <t>ソウジンケンヒ</t>
    </rPh>
    <rPh sb="7" eb="8">
      <t>ジュン</t>
    </rPh>
    <rPh sb="8" eb="10">
      <t>ウリアゲ</t>
    </rPh>
    <rPh sb="10" eb="11">
      <t>ダカ</t>
    </rPh>
    <phoneticPr fontId="7"/>
  </si>
  <si>
    <t>総人件費　÷　総売上高</t>
    <rPh sb="0" eb="1">
      <t>ソウ</t>
    </rPh>
    <rPh sb="1" eb="4">
      <t>ジンケンヒ</t>
    </rPh>
    <rPh sb="7" eb="11">
      <t>ソウウリアゲダカ</t>
    </rPh>
    <phoneticPr fontId="7"/>
  </si>
  <si>
    <t>収益性分析</t>
    <phoneticPr fontId="7"/>
  </si>
  <si>
    <t>・目的によって分母が純売か総売か変わる</t>
    <rPh sb="1" eb="3">
      <t>モクテキ</t>
    </rPh>
    <rPh sb="7" eb="9">
      <t>ブンボ</t>
    </rPh>
    <rPh sb="10" eb="11">
      <t>ジュン</t>
    </rPh>
    <rPh sb="11" eb="12">
      <t>ウ</t>
    </rPh>
    <rPh sb="13" eb="14">
      <t>ソウ</t>
    </rPh>
    <rPh sb="14" eb="15">
      <t>ウ</t>
    </rPh>
    <rPh sb="16" eb="17">
      <t>カ</t>
    </rPh>
    <phoneticPr fontId="7"/>
  </si>
  <si>
    <t>・目的によって分母が純売か総売か変わる
・％と金額どちらが指標になるかは要確認</t>
    <rPh sb="1" eb="3">
      <t>モクテキ</t>
    </rPh>
    <rPh sb="7" eb="9">
      <t>ブンボ</t>
    </rPh>
    <rPh sb="10" eb="11">
      <t>ジュン</t>
    </rPh>
    <rPh sb="11" eb="12">
      <t>ウ</t>
    </rPh>
    <rPh sb="13" eb="14">
      <t>ソウ</t>
    </rPh>
    <rPh sb="14" eb="15">
      <t>ウ</t>
    </rPh>
    <rPh sb="16" eb="17">
      <t>カ</t>
    </rPh>
    <rPh sb="23" eb="25">
      <t>キンガク</t>
    </rPh>
    <rPh sb="29" eb="31">
      <t>シヒョウ</t>
    </rPh>
    <rPh sb="36" eb="37">
      <t>ヨウ</t>
    </rPh>
    <rPh sb="37" eb="39">
      <t>カクニン</t>
    </rPh>
    <phoneticPr fontId="7"/>
  </si>
  <si>
    <t>一般管理費率</t>
    <rPh sb="0" eb="2">
      <t>イッパン</t>
    </rPh>
    <rPh sb="2" eb="5">
      <t>カンリヒ</t>
    </rPh>
    <rPh sb="5" eb="6">
      <t>リツ</t>
    </rPh>
    <phoneticPr fontId="7"/>
  </si>
  <si>
    <t>総売上高に対する一般管理費の割合</t>
    <rPh sb="0" eb="4">
      <t>ソウウリアゲダカ</t>
    </rPh>
    <rPh sb="5" eb="6">
      <t>タイ</t>
    </rPh>
    <rPh sb="8" eb="10">
      <t>イッパン</t>
    </rPh>
    <rPh sb="10" eb="13">
      <t>カンリヒ</t>
    </rPh>
    <rPh sb="14" eb="16">
      <t>ワリアイ</t>
    </rPh>
    <phoneticPr fontId="7"/>
  </si>
  <si>
    <t>一般管理費計　÷　総売上高</t>
    <rPh sb="0" eb="2">
      <t>イッパン</t>
    </rPh>
    <rPh sb="2" eb="5">
      <t>カンリヒ</t>
    </rPh>
    <rPh sb="5" eb="6">
      <t>ケイ</t>
    </rPh>
    <rPh sb="9" eb="13">
      <t>ソウウリアゲダカ</t>
    </rPh>
    <phoneticPr fontId="7"/>
  </si>
  <si>
    <t>・％と金額どちらが指標になるかは要確認</t>
    <rPh sb="3" eb="5">
      <t>キンガク</t>
    </rPh>
    <rPh sb="9" eb="11">
      <t>シヒョウ</t>
    </rPh>
    <rPh sb="16" eb="17">
      <t>ヨウ</t>
    </rPh>
    <rPh sb="17" eb="19">
      <t>カクニン</t>
    </rPh>
    <phoneticPr fontId="7"/>
  </si>
  <si>
    <t>広告宣伝費</t>
    <rPh sb="0" eb="2">
      <t>コウコク</t>
    </rPh>
    <rPh sb="2" eb="5">
      <t>センデンヒ</t>
    </rPh>
    <phoneticPr fontId="7"/>
  </si>
  <si>
    <t>広告宣伝費率</t>
    <rPh sb="0" eb="2">
      <t>コウコク</t>
    </rPh>
    <rPh sb="2" eb="5">
      <t>センデンヒ</t>
    </rPh>
    <rPh sb="5" eb="6">
      <t>リツ</t>
    </rPh>
    <phoneticPr fontId="7"/>
  </si>
  <si>
    <t>総売上高に対する広告宣伝費の割合</t>
    <rPh sb="0" eb="4">
      <t>ソウウリアゲダカ</t>
    </rPh>
    <rPh sb="5" eb="6">
      <t>タイ</t>
    </rPh>
    <rPh sb="8" eb="10">
      <t>コウコク</t>
    </rPh>
    <rPh sb="10" eb="13">
      <t>センデンヒ</t>
    </rPh>
    <rPh sb="14" eb="16">
      <t>ワリアイ</t>
    </rPh>
    <phoneticPr fontId="7"/>
  </si>
  <si>
    <t>ガム ＋ チョコレート ＋ キャンディ ＋ ビスケット + スナック + 開発 + 飲料</t>
    <rPh sb="37" eb="39">
      <t>カイハツ</t>
    </rPh>
    <rPh sb="42" eb="44">
      <t>インリョウ</t>
    </rPh>
    <phoneticPr fontId="7"/>
  </si>
  <si>
    <t>営業利益率</t>
    <rPh sb="4" eb="5">
      <t>リツ</t>
    </rPh>
    <phoneticPr fontId="7"/>
  </si>
  <si>
    <t>総売上に占める営業利益の割合</t>
    <rPh sb="0" eb="1">
      <t>ソウ</t>
    </rPh>
    <rPh sb="1" eb="3">
      <t>ウリアゲ</t>
    </rPh>
    <rPh sb="4" eb="5">
      <t>シ</t>
    </rPh>
    <rPh sb="7" eb="9">
      <t>エイギョウ</t>
    </rPh>
    <rPh sb="9" eb="11">
      <t>リエキ</t>
    </rPh>
    <rPh sb="12" eb="14">
      <t>ワリアイ</t>
    </rPh>
    <phoneticPr fontId="7"/>
  </si>
  <si>
    <t>営業利益　÷　総売上</t>
    <rPh sb="0" eb="2">
      <t>エイギョウ</t>
    </rPh>
    <rPh sb="2" eb="4">
      <t>リエキ</t>
    </rPh>
    <rPh sb="7" eb="8">
      <t>ソウ</t>
    </rPh>
    <rPh sb="8" eb="10">
      <t>ウリアゲ</t>
    </rPh>
    <phoneticPr fontId="7"/>
  </si>
  <si>
    <t>販売費率（売上控除＋控除対象外）</t>
    <rPh sb="0" eb="3">
      <t>ハンバイヒ</t>
    </rPh>
    <rPh sb="3" eb="4">
      <t>リツ</t>
    </rPh>
    <rPh sb="5" eb="7">
      <t>ウリアゲ</t>
    </rPh>
    <rPh sb="7" eb="9">
      <t>コウジョ</t>
    </rPh>
    <rPh sb="10" eb="12">
      <t>コウジョ</t>
    </rPh>
    <rPh sb="12" eb="14">
      <t>タイショウ</t>
    </rPh>
    <rPh sb="14" eb="15">
      <t>ガイ</t>
    </rPh>
    <phoneticPr fontId="7"/>
  </si>
  <si>
    <t>損益計算書（P/L）</t>
    <phoneticPr fontId="7"/>
  </si>
  <si>
    <t>KK定例会長報告、損益計算書</t>
    <rPh sb="9" eb="11">
      <t>ソンエキ</t>
    </rPh>
    <rPh sb="11" eb="14">
      <t>ケイサンショ</t>
    </rPh>
    <phoneticPr fontId="7"/>
  </si>
  <si>
    <t>年度の特売費・拡売費等の販売費を戦略的に配分・管理する計画。特売費の「削る企業」と「積極投下する企業」をポートフォリオで区分し、限界利益率の改善も組み合わせて推進する。</t>
    <phoneticPr fontId="7"/>
  </si>
  <si>
    <t>販売費</t>
    <rPh sb="0" eb="3">
      <t>ハンバイヒ</t>
    </rPh>
    <phoneticPr fontId="7"/>
  </si>
  <si>
    <t>特売費・拡売費等販売に関わる費用</t>
    <rPh sb="0" eb="2">
      <t>チュウモン</t>
    </rPh>
    <rPh sb="2" eb="4">
      <t>カクトク</t>
    </rPh>
    <rPh sb="4" eb="5">
      <t>ヒ</t>
    </rPh>
    <phoneticPr fontId="7"/>
  </si>
  <si>
    <t>注文獲得費（特売費＋拡売費）＋注文獲得促進費控除外（見本費（旧販社分）＋市場対策費＋自動販売機費＋自転車費（販促）＋販売店指導費＋販売店手数料＋その他（販促））</t>
    <rPh sb="0" eb="2">
      <t>チュウモン</t>
    </rPh>
    <rPh sb="2" eb="4">
      <t>カクトク</t>
    </rPh>
    <rPh sb="4" eb="5">
      <t>ヒ</t>
    </rPh>
    <rPh sb="6" eb="8">
      <t>トクバイ</t>
    </rPh>
    <rPh sb="8" eb="9">
      <t>ヒ</t>
    </rPh>
    <rPh sb="10" eb="13">
      <t>カクバイヒ</t>
    </rPh>
    <rPh sb="15" eb="17">
      <t>チュウモン</t>
    </rPh>
    <rPh sb="17" eb="19">
      <t>カクトク</t>
    </rPh>
    <rPh sb="19" eb="21">
      <t>ソクシン</t>
    </rPh>
    <rPh sb="21" eb="22">
      <t>ヒ</t>
    </rPh>
    <rPh sb="22" eb="24">
      <t>コウジョ</t>
    </rPh>
    <rPh sb="24" eb="25">
      <t>ソト</t>
    </rPh>
    <rPh sb="26" eb="28">
      <t>ミホン</t>
    </rPh>
    <rPh sb="28" eb="29">
      <t>ヒ</t>
    </rPh>
    <rPh sb="30" eb="31">
      <t>キュウ</t>
    </rPh>
    <rPh sb="31" eb="33">
      <t>ハンシャ</t>
    </rPh>
    <rPh sb="33" eb="34">
      <t>ブン</t>
    </rPh>
    <rPh sb="36" eb="38">
      <t>シジョウ</t>
    </rPh>
    <rPh sb="38" eb="40">
      <t>タイサク</t>
    </rPh>
    <rPh sb="40" eb="41">
      <t>ヒ</t>
    </rPh>
    <rPh sb="42" eb="44">
      <t>ジドウ</t>
    </rPh>
    <rPh sb="44" eb="47">
      <t>ハンバイキ</t>
    </rPh>
    <rPh sb="47" eb="48">
      <t>ヒ</t>
    </rPh>
    <rPh sb="49" eb="52">
      <t>ジテンシャ</t>
    </rPh>
    <rPh sb="52" eb="53">
      <t>ヒ</t>
    </rPh>
    <rPh sb="54" eb="56">
      <t>ハンソク</t>
    </rPh>
    <rPh sb="58" eb="61">
      <t>ハンバイテン</t>
    </rPh>
    <rPh sb="61" eb="63">
      <t>シドウ</t>
    </rPh>
    <rPh sb="63" eb="64">
      <t>ヒ</t>
    </rPh>
    <rPh sb="65" eb="68">
      <t>ハンバイテン</t>
    </rPh>
    <rPh sb="68" eb="71">
      <t>テスウリョウ</t>
    </rPh>
    <rPh sb="74" eb="75">
      <t>タ</t>
    </rPh>
    <rPh sb="76" eb="78">
      <t>ハンソク</t>
    </rPh>
    <phoneticPr fontId="7"/>
  </si>
  <si>
    <t>広告・宣伝に関する費用</t>
    <rPh sb="0" eb="2">
      <t>コウコク</t>
    </rPh>
    <rPh sb="3" eb="5">
      <t>センデン</t>
    </rPh>
    <rPh sb="6" eb="7">
      <t>カン</t>
    </rPh>
    <rPh sb="9" eb="11">
      <t>ヒヨウ</t>
    </rPh>
    <phoneticPr fontId="7"/>
  </si>
  <si>
    <t>広告宣伝費計　÷　総売上高</t>
    <rPh sb="0" eb="2">
      <t>コウコク</t>
    </rPh>
    <rPh sb="2" eb="5">
      <t>センデンヒ</t>
    </rPh>
    <rPh sb="5" eb="6">
      <t>ケイ</t>
    </rPh>
    <rPh sb="9" eb="13">
      <t>ソウウリアゲダカ</t>
    </rPh>
    <phoneticPr fontId="7"/>
  </si>
  <si>
    <t>宣伝費媒体＋宣伝費その他（ディスプレイ・専門誌・オウンドメディアアド）</t>
    <rPh sb="0" eb="3">
      <t>センデンヒ</t>
    </rPh>
    <rPh sb="3" eb="5">
      <t>バイタイ</t>
    </rPh>
    <rPh sb="6" eb="9">
      <t>センデンヒ</t>
    </rPh>
    <rPh sb="11" eb="12">
      <t>タ</t>
    </rPh>
    <rPh sb="20" eb="23">
      <t>センモンシ</t>
    </rPh>
    <phoneticPr fontId="7"/>
  </si>
  <si>
    <t>損益計算書（P/L)</t>
    <rPh sb="0" eb="2">
      <t>ソンエキ</t>
    </rPh>
    <rPh sb="2" eb="4">
      <t>ケイサン</t>
    </rPh>
    <rPh sb="4" eb="5">
      <t>ショ</t>
    </rPh>
    <phoneticPr fontId="7"/>
  </si>
  <si>
    <t>人件費明細</t>
    <rPh sb="0" eb="3">
      <t>ジンケンヒ</t>
    </rPh>
    <rPh sb="3" eb="5">
      <t>メイサイ</t>
    </rPh>
    <phoneticPr fontId="7"/>
  </si>
  <si>
    <t>自社社員の給与・賞与・退職給付費用・法定福利費、および派遣社員等臨時社員に対する人件費（雑給）</t>
    <rPh sb="0" eb="2">
      <t>ジシャ</t>
    </rPh>
    <rPh sb="2" eb="4">
      <t>シャイン</t>
    </rPh>
    <rPh sb="5" eb="7">
      <t>キュウヨ</t>
    </rPh>
    <rPh sb="8" eb="10">
      <t>ショウヨ</t>
    </rPh>
    <rPh sb="11" eb="13">
      <t>タイショク</t>
    </rPh>
    <rPh sb="13" eb="15">
      <t>キュウフ</t>
    </rPh>
    <rPh sb="15" eb="17">
      <t>ヒヨウ</t>
    </rPh>
    <rPh sb="18" eb="20">
      <t>ホウテイ</t>
    </rPh>
    <rPh sb="20" eb="22">
      <t>フクリ</t>
    </rPh>
    <rPh sb="22" eb="23">
      <t>ヒ</t>
    </rPh>
    <rPh sb="27" eb="29">
      <t>ハケン</t>
    </rPh>
    <rPh sb="29" eb="31">
      <t>シャイン</t>
    </rPh>
    <rPh sb="31" eb="32">
      <t>ナド</t>
    </rPh>
    <rPh sb="32" eb="34">
      <t>リンジ</t>
    </rPh>
    <rPh sb="34" eb="36">
      <t>シャイン</t>
    </rPh>
    <rPh sb="37" eb="38">
      <t>タイ</t>
    </rPh>
    <rPh sb="40" eb="43">
      <t>ジンケンヒ</t>
    </rPh>
    <rPh sb="44" eb="46">
      <t>ザッキュウ</t>
    </rPh>
    <phoneticPr fontId="7"/>
  </si>
  <si>
    <t>自社社員人件費（給与＋賞与＋退職給付費用＋法定福利費）＋雑給</t>
    <rPh sb="0" eb="2">
      <t>ジシャ</t>
    </rPh>
    <rPh sb="2" eb="4">
      <t>シャイン</t>
    </rPh>
    <rPh sb="4" eb="7">
      <t>ジンケンヒ</t>
    </rPh>
    <rPh sb="8" eb="10">
      <t>キュウヨ</t>
    </rPh>
    <rPh sb="11" eb="13">
      <t>ショウヨ</t>
    </rPh>
    <rPh sb="14" eb="16">
      <t>タイショク</t>
    </rPh>
    <rPh sb="16" eb="18">
      <t>キュウフ</t>
    </rPh>
    <rPh sb="18" eb="20">
      <t>ヒヨウ</t>
    </rPh>
    <rPh sb="21" eb="23">
      <t>ホウテイ</t>
    </rPh>
    <rPh sb="23" eb="25">
      <t>フクリ</t>
    </rPh>
    <rPh sb="25" eb="26">
      <t>ヒ</t>
    </rPh>
    <rPh sb="28" eb="30">
      <t>ザッキュウ</t>
    </rPh>
    <phoneticPr fontId="7"/>
  </si>
  <si>
    <t>・労務費が対象かは要確認</t>
    <rPh sb="1" eb="4">
      <t>ロウムヒ</t>
    </rPh>
    <rPh sb="5" eb="7">
      <t>タイショウ</t>
    </rPh>
    <rPh sb="9" eb="10">
      <t>ヨウ</t>
    </rPh>
    <rPh sb="10" eb="12">
      <t>カクニン</t>
    </rPh>
    <phoneticPr fontId="7"/>
  </si>
  <si>
    <t>ロッテの主要菓子4カテゴリー（ガム・チョコレート・キャンディ・ビスケット）に、スナック・開発・飲料を加えた合計
売上控除前ベースの出荷実績の数値</t>
    <rPh sb="4" eb="6">
      <t>シュヨウ</t>
    </rPh>
    <rPh sb="6" eb="8">
      <t>カシ</t>
    </rPh>
    <rPh sb="44" eb="46">
      <t>カイハツ</t>
    </rPh>
    <rPh sb="47" eb="49">
      <t>インリョウ</t>
    </rPh>
    <rPh sb="50" eb="51">
      <t>クワ</t>
    </rPh>
    <rPh sb="53" eb="55">
      <t>ゴウケイ</t>
    </rPh>
    <rPh sb="56" eb="58">
      <t>ウリアゲ</t>
    </rPh>
    <rPh sb="58" eb="60">
      <t>コウジョ</t>
    </rPh>
    <rPh sb="60" eb="61">
      <t>マエ</t>
    </rPh>
    <rPh sb="65" eb="69">
      <t>シュッカジッセキ</t>
    </rPh>
    <rPh sb="70" eb="72">
      <t>スウチ</t>
    </rPh>
    <phoneticPr fontId="7"/>
  </si>
  <si>
    <t>爽 + クーリッシュ + 雪見だいふく + モナ王</t>
    <rPh sb="0" eb="1">
      <t>ソウ</t>
    </rPh>
    <rPh sb="13" eb="15">
      <t>ユキミ</t>
    </rPh>
    <rPh sb="24" eb="25">
      <t>オウ</t>
    </rPh>
    <phoneticPr fontId="7"/>
  </si>
  <si>
    <t>ロッテのアイスブランドの内、爽・クーリッシュ・雪見だいふく・モナ王の合計
売上控除前のBO売上を使用</t>
    <rPh sb="12" eb="13">
      <t>ウチ</t>
    </rPh>
    <rPh sb="14" eb="15">
      <t>ソウ</t>
    </rPh>
    <rPh sb="23" eb="25">
      <t>ユキミ</t>
    </rPh>
    <rPh sb="32" eb="33">
      <t>オウ</t>
    </rPh>
    <rPh sb="34" eb="36">
      <t>ゴウケイ</t>
    </rPh>
    <rPh sb="37" eb="39">
      <t>ウリアゲ</t>
    </rPh>
    <rPh sb="39" eb="41">
      <t>コウジョ</t>
    </rPh>
    <rPh sb="41" eb="42">
      <t>マエ</t>
    </rPh>
    <rPh sb="45" eb="47">
      <t>ウリアゲ</t>
    </rPh>
    <rPh sb="48" eb="50">
      <t>シヨウ</t>
    </rPh>
    <phoneticPr fontId="7"/>
  </si>
  <si>
    <t>ロッテのアイスブランドの内、ガーナ・LBの合計
売上控除前のBO売上を使用</t>
    <rPh sb="12" eb="13">
      <t>ウチ</t>
    </rPh>
    <rPh sb="21" eb="23">
      <t>ゴウケイ</t>
    </rPh>
    <rPh sb="24" eb="26">
      <t>ウリアゲ</t>
    </rPh>
    <rPh sb="26" eb="29">
      <t>コウジョマエ</t>
    </rPh>
    <rPh sb="32" eb="34">
      <t>ウリアゲ</t>
    </rPh>
    <rPh sb="35" eb="37">
      <t>シヨウ</t>
    </rPh>
    <phoneticPr fontId="7"/>
  </si>
  <si>
    <t>ガーナ + LB</t>
    <phoneticPr fontId="7"/>
  </si>
  <si>
    <t>重点ブランド（爽・クーリッシュ・雪見だいふく・モナ王）と、育成ブランド（ガーナ・LB）の合計
売上控除前の BO売上を使用</t>
    <rPh sb="0" eb="2">
      <t>ジュウテン</t>
    </rPh>
    <rPh sb="7" eb="8">
      <t>ソウ</t>
    </rPh>
    <rPh sb="16" eb="18">
      <t>ユキミ</t>
    </rPh>
    <rPh sb="25" eb="26">
      <t>オウ</t>
    </rPh>
    <rPh sb="29" eb="31">
      <t>イクセイ</t>
    </rPh>
    <rPh sb="44" eb="46">
      <t>ゴウケイ</t>
    </rPh>
    <rPh sb="47" eb="49">
      <t>ウリアゲ</t>
    </rPh>
    <rPh sb="49" eb="52">
      <t>コウジョマエ</t>
    </rPh>
    <rPh sb="56" eb="58">
      <t>ウリアゲ</t>
    </rPh>
    <rPh sb="59" eb="61">
      <t>シヨウ</t>
    </rPh>
    <phoneticPr fontId="7"/>
  </si>
  <si>
    <t>重点ブランド + 育成ブランド</t>
    <rPh sb="0" eb="2">
      <t>ジュウテン</t>
    </rPh>
    <rPh sb="9" eb="11">
      <t>イクセイ</t>
    </rPh>
    <phoneticPr fontId="7"/>
  </si>
  <si>
    <t>一般管理費</t>
    <rPh sb="0" eb="2">
      <t>イッパン</t>
    </rPh>
    <rPh sb="2" eb="5">
      <t>カンリヒ</t>
    </rPh>
    <phoneticPr fontId="7"/>
  </si>
  <si>
    <t>経営報告</t>
    <rPh sb="0" eb="4">
      <t>ケイエイホウコク</t>
    </rPh>
    <phoneticPr fontId="7"/>
  </si>
  <si>
    <t>3月販売実績</t>
    <rPh sb="1" eb="2">
      <t>ガツ</t>
    </rPh>
    <rPh sb="2" eb="6">
      <t>ハンバイジッセキ</t>
    </rPh>
    <phoneticPr fontId="7"/>
  </si>
  <si>
    <t>市場シェア、シェア</t>
    <phoneticPr fontId="7"/>
  </si>
  <si>
    <t>売上原価に含まれない、会社運営にかかわる費用</t>
    <rPh sb="0" eb="2">
      <t>ウリアゲ</t>
    </rPh>
    <rPh sb="2" eb="4">
      <t>ゲンカ</t>
    </rPh>
    <rPh sb="5" eb="6">
      <t>フク</t>
    </rPh>
    <rPh sb="11" eb="13">
      <t>カイシャ</t>
    </rPh>
    <rPh sb="13" eb="15">
      <t>ウンエイ</t>
    </rPh>
    <rPh sb="20" eb="22">
      <t>ヒヨウ</t>
    </rPh>
    <phoneticPr fontId="7"/>
  </si>
  <si>
    <t>商標権使用料＋福利厚生費＋消耗品費＋修繕費＋通信費＋旅費交通費＋保険料＋租税公課＋賃借料＋接待交際費＋寄付金＋減価償却費＋電力費＋水道燃料費＋研究費＋社員募集費＋社員教育費＋調査費＋支払手数料＋雑費</t>
    <rPh sb="0" eb="3">
      <t>ショウヒョウケン</t>
    </rPh>
    <rPh sb="3" eb="6">
      <t>シヨウリョウ</t>
    </rPh>
    <rPh sb="7" eb="9">
      <t>フクリ</t>
    </rPh>
    <rPh sb="9" eb="12">
      <t>コウセイヒ</t>
    </rPh>
    <rPh sb="13" eb="16">
      <t>ショウモウヒン</t>
    </rPh>
    <rPh sb="16" eb="17">
      <t>ヒ</t>
    </rPh>
    <rPh sb="18" eb="21">
      <t>シュウゼンヒ</t>
    </rPh>
    <rPh sb="22" eb="25">
      <t>ツウシンヒ</t>
    </rPh>
    <rPh sb="26" eb="28">
      <t>リョヒ</t>
    </rPh>
    <rPh sb="28" eb="31">
      <t>コウツウヒ</t>
    </rPh>
    <rPh sb="32" eb="35">
      <t>ホケンリョウ</t>
    </rPh>
    <rPh sb="36" eb="38">
      <t>ソゼイ</t>
    </rPh>
    <rPh sb="38" eb="40">
      <t>コウカ</t>
    </rPh>
    <rPh sb="41" eb="44">
      <t>チンシャクリョウ</t>
    </rPh>
    <rPh sb="45" eb="47">
      <t>セッタイ</t>
    </rPh>
    <rPh sb="47" eb="50">
      <t>コウサイヒ</t>
    </rPh>
    <rPh sb="51" eb="54">
      <t>キフキン</t>
    </rPh>
    <rPh sb="55" eb="57">
      <t>ゲンカ</t>
    </rPh>
    <rPh sb="57" eb="59">
      <t>ショウキャク</t>
    </rPh>
    <rPh sb="59" eb="60">
      <t>ヒ</t>
    </rPh>
    <rPh sb="61" eb="63">
      <t>デンリョク</t>
    </rPh>
    <rPh sb="63" eb="64">
      <t>ヒ</t>
    </rPh>
    <rPh sb="65" eb="67">
      <t>スイドウ</t>
    </rPh>
    <rPh sb="67" eb="70">
      <t>ネンリョウヒ</t>
    </rPh>
    <rPh sb="71" eb="74">
      <t>ケンキュウヒ</t>
    </rPh>
    <rPh sb="75" eb="77">
      <t>シャイン</t>
    </rPh>
    <rPh sb="77" eb="79">
      <t>ボシュウ</t>
    </rPh>
    <rPh sb="79" eb="80">
      <t>ヒ</t>
    </rPh>
    <rPh sb="81" eb="83">
      <t>シャイン</t>
    </rPh>
    <rPh sb="83" eb="85">
      <t>キョウイク</t>
    </rPh>
    <rPh sb="85" eb="86">
      <t>ヒ</t>
    </rPh>
    <rPh sb="87" eb="90">
      <t>チョウサヒ</t>
    </rPh>
    <rPh sb="91" eb="93">
      <t>シハライ</t>
    </rPh>
    <rPh sb="93" eb="96">
      <t>テスウリョウ</t>
    </rPh>
    <rPh sb="97" eb="99">
      <t>ザッピ</t>
    </rPh>
    <phoneticPr fontId="7"/>
  </si>
  <si>
    <t>一般管理費明細、損益計算書（P/L）</t>
    <rPh sb="0" eb="2">
      <t>イッパン</t>
    </rPh>
    <rPh sb="2" eb="5">
      <t>カンリヒ</t>
    </rPh>
    <rPh sb="5" eb="7">
      <t>メイサイ</t>
    </rPh>
    <rPh sb="8" eb="10">
      <t>ソンエキ</t>
    </rPh>
    <rPh sb="10" eb="13">
      <t>ケイサンショ</t>
    </rPh>
    <phoneticPr fontId="7"/>
  </si>
  <si>
    <t>円/人</t>
    <rPh sb="0" eb="1">
      <t>エン</t>
    </rPh>
    <rPh sb="2" eb="3">
      <t>ニン</t>
    </rPh>
    <phoneticPr fontId="7"/>
  </si>
  <si>
    <t>営業本部KPI</t>
    <rPh sb="0" eb="2">
      <t>エイギョウ</t>
    </rPh>
    <rPh sb="2" eb="4">
      <t>ホンブ</t>
    </rPh>
    <phoneticPr fontId="7"/>
  </si>
  <si>
    <t>2月個別決算、本部KPI確認</t>
    <rPh sb="1" eb="2">
      <t>ガツ</t>
    </rPh>
    <rPh sb="2" eb="4">
      <t>コベツ</t>
    </rPh>
    <rPh sb="4" eb="6">
      <t>ケッサン</t>
    </rPh>
    <rPh sb="7" eb="9">
      <t>ホンブ</t>
    </rPh>
    <rPh sb="12" eb="14">
      <t>カクニン</t>
    </rPh>
    <phoneticPr fontId="7"/>
  </si>
  <si>
    <t>収益企画社長報告, KK定例会長報告、2月個別決算、本部KPI確認</t>
    <rPh sb="20" eb="21">
      <t>ガツ</t>
    </rPh>
    <rPh sb="21" eb="23">
      <t>コベツ</t>
    </rPh>
    <rPh sb="23" eb="25">
      <t>ケッサン</t>
    </rPh>
    <rPh sb="26" eb="28">
      <t>ホンブ</t>
    </rPh>
    <rPh sb="31" eb="33">
      <t>カクニン</t>
    </rPh>
    <phoneticPr fontId="7"/>
  </si>
  <si>
    <t>収益企画社長報告、KK定例会長報告、個別決算、本部KPI</t>
    <rPh sb="18" eb="20">
      <t>コベツ</t>
    </rPh>
    <rPh sb="20" eb="22">
      <t>ケッサン</t>
    </rPh>
    <rPh sb="23" eb="25">
      <t>ホンブ</t>
    </rPh>
    <phoneticPr fontId="7"/>
  </si>
  <si>
    <t>工場利益</t>
    <rPh sb="0" eb="2">
      <t>コウジョウ</t>
    </rPh>
    <rPh sb="2" eb="4">
      <t>リエキ</t>
    </rPh>
    <phoneticPr fontId="7"/>
  </si>
  <si>
    <t>会長報告・経営会議、本部KPI</t>
    <rPh sb="10" eb="12">
      <t>ホンブ</t>
    </rPh>
    <phoneticPr fontId="7"/>
  </si>
  <si>
    <t>損益計算書（P/L）、本部KPI</t>
    <rPh sb="11" eb="13">
      <t>ホンブ</t>
    </rPh>
    <phoneticPr fontId="7"/>
  </si>
  <si>
    <t>異物混入件数</t>
    <phoneticPr fontId="7"/>
  </si>
  <si>
    <t>製造起因苦情件数</t>
    <rPh sb="0" eb="2">
      <t>セイゾウ</t>
    </rPh>
    <rPh sb="2" eb="4">
      <t>キイン</t>
    </rPh>
    <rPh sb="4" eb="6">
      <t>クジョウ</t>
    </rPh>
    <rPh sb="6" eb="8">
      <t>ケンスウ</t>
    </rPh>
    <phoneticPr fontId="7"/>
  </si>
  <si>
    <t>製造起因苦情率</t>
    <rPh sb="0" eb="2">
      <t>セイゾウ</t>
    </rPh>
    <rPh sb="2" eb="4">
      <t>キイン</t>
    </rPh>
    <rPh sb="4" eb="6">
      <t>クジョウ</t>
    </rPh>
    <rPh sb="6" eb="7">
      <t>リツ</t>
    </rPh>
    <phoneticPr fontId="7"/>
  </si>
  <si>
    <t>件</t>
    <rPh sb="0" eb="1">
      <t>ケン</t>
    </rPh>
    <phoneticPr fontId="7"/>
  </si>
  <si>
    <t>ppm</t>
    <phoneticPr fontId="7"/>
  </si>
  <si>
    <t xml:space="preserve">【個別】エネルギー使用量 ÷ 生産金額
【合算】（全エネルギー使用量の合計） ÷（全生産金額の合計）
</t>
    <phoneticPr fontId="7"/>
  </si>
  <si>
    <t>生産金額に対するエネルギー使用量。年度中に値上げがある場合、今年度は値上げ前の単価、昨年度は値上げ後の単価で生産金額を算出</t>
    <phoneticPr fontId="7"/>
  </si>
  <si>
    <t>製造過程で発生する不良品の割合</t>
    <rPh sb="0" eb="2">
      <t>セイゾウ</t>
    </rPh>
    <rPh sb="2" eb="4">
      <t>カテイ</t>
    </rPh>
    <rPh sb="5" eb="7">
      <t>ハッセイ</t>
    </rPh>
    <rPh sb="9" eb="11">
      <t>フリョウ</t>
    </rPh>
    <rPh sb="11" eb="12">
      <t>ヒン</t>
    </rPh>
    <rPh sb="13" eb="15">
      <t>ワリアイ</t>
    </rPh>
    <phoneticPr fontId="7"/>
  </si>
  <si>
    <t>不良品数　÷　生産総数　× 1,000,000</t>
    <rPh sb="0" eb="2">
      <t>フリョウ</t>
    </rPh>
    <rPh sb="2" eb="3">
      <t>ヒン</t>
    </rPh>
    <rPh sb="3" eb="4">
      <t>スウ</t>
    </rPh>
    <rPh sb="7" eb="9">
      <t>セイサン</t>
    </rPh>
    <rPh sb="9" eb="11">
      <t>ソウスウ</t>
    </rPh>
    <phoneticPr fontId="7"/>
  </si>
  <si>
    <t>製造過程に起因する不良に関する苦情の件数。</t>
    <rPh sb="0" eb="2">
      <t>セイゾウ</t>
    </rPh>
    <rPh sb="2" eb="4">
      <t>カテイ</t>
    </rPh>
    <rPh sb="5" eb="7">
      <t>キイン</t>
    </rPh>
    <rPh sb="9" eb="11">
      <t>フリョウ</t>
    </rPh>
    <rPh sb="12" eb="13">
      <t>カン</t>
    </rPh>
    <rPh sb="15" eb="17">
      <t>クジョウ</t>
    </rPh>
    <rPh sb="18" eb="20">
      <t>ケンスウ</t>
    </rPh>
    <phoneticPr fontId="7"/>
  </si>
  <si>
    <t>【個別】エネルギー使用量（ｋｗｈ，ｍ３，ｋｇ ） ÷ 生産重量
【合算】原油換算エネルギー使用量÷生産重量※生産金額の算出が困難な場合のみ本指標を用いる（例：ガムベース・チョコスイート）</t>
    <rPh sb="36" eb="40">
      <t>ゲンユカンサン</t>
    </rPh>
    <rPh sb="45" eb="48">
      <t>シヨウリョウ</t>
    </rPh>
    <rPh sb="49" eb="53">
      <t>セイサンジュウリョウ</t>
    </rPh>
    <rPh sb="54" eb="58">
      <t>セイサンキンガク</t>
    </rPh>
    <rPh sb="59" eb="61">
      <t>サンシュツ</t>
    </rPh>
    <rPh sb="62" eb="64">
      <t>コンナン</t>
    </rPh>
    <rPh sb="65" eb="67">
      <t>バアイ</t>
    </rPh>
    <rPh sb="69" eb="72">
      <t>ホンシヒョウ</t>
    </rPh>
    <rPh sb="73" eb="74">
      <t>モチ</t>
    </rPh>
    <rPh sb="77" eb="78">
      <t>レイ</t>
    </rPh>
    <phoneticPr fontId="7"/>
  </si>
  <si>
    <t>現地、現物、現象の3現を重視する考え方。この「3つの現」を重視しなければ、物事の本質を捉えることが難しい。 工場などの生産現場で起きた、不具合品が見つかったときに、責任者が状況だけ聞いてデスクの上で判断を下した場合、間違った指示を作業員に与えることがある。改善をするには、机上で考えるのではなく、現場で現物を良く見て現象をしっかり把握し、判断することが大切。</t>
    <phoneticPr fontId="7"/>
  </si>
  <si>
    <t>工場人員一人当たりの売上金額</t>
    <rPh sb="0" eb="2">
      <t>コウジョウ</t>
    </rPh>
    <rPh sb="2" eb="4">
      <t>ジンイン</t>
    </rPh>
    <rPh sb="4" eb="6">
      <t>ヒトリ</t>
    </rPh>
    <rPh sb="6" eb="7">
      <t>ア</t>
    </rPh>
    <rPh sb="10" eb="12">
      <t>ウリアゲ</t>
    </rPh>
    <rPh sb="12" eb="14">
      <t>キンガク</t>
    </rPh>
    <phoneticPr fontId="7"/>
  </si>
  <si>
    <t>・生産本部が掲げる生産性には2種類存在</t>
    <rPh sb="1" eb="3">
      <t>セイサン</t>
    </rPh>
    <rPh sb="3" eb="5">
      <t>ホンブ</t>
    </rPh>
    <rPh sb="6" eb="7">
      <t>カカ</t>
    </rPh>
    <rPh sb="9" eb="11">
      <t>セイサン</t>
    </rPh>
    <rPh sb="11" eb="12">
      <t>セイ</t>
    </rPh>
    <rPh sb="15" eb="17">
      <t>シュルイ</t>
    </rPh>
    <rPh sb="17" eb="19">
      <t>ソンザイ</t>
    </rPh>
    <phoneticPr fontId="7"/>
  </si>
  <si>
    <t>改善</t>
    <phoneticPr fontId="7"/>
  </si>
  <si>
    <t>生産改善活動, kaizen</t>
    <phoneticPr fontId="7"/>
  </si>
  <si>
    <t>目標コストダウン金額に対する現時点の達成度</t>
    <rPh sb="0" eb="2">
      <t>モクヒョウ</t>
    </rPh>
    <rPh sb="8" eb="10">
      <t>キンガク</t>
    </rPh>
    <rPh sb="11" eb="12">
      <t>タイ</t>
    </rPh>
    <rPh sb="14" eb="17">
      <t>ゲンジテン</t>
    </rPh>
    <rPh sb="18" eb="20">
      <t>タッセイ</t>
    </rPh>
    <rPh sb="20" eb="21">
      <t>ド</t>
    </rPh>
    <phoneticPr fontId="7"/>
  </si>
  <si>
    <t>コストダウン金額　÷　目標コストダウン金額</t>
    <rPh sb="6" eb="8">
      <t>キンガク</t>
    </rPh>
    <rPh sb="11" eb="13">
      <t>モクヒョウ</t>
    </rPh>
    <rPh sb="19" eb="21">
      <t>キンガク</t>
    </rPh>
    <phoneticPr fontId="7"/>
  </si>
  <si>
    <t>・要確認</t>
    <rPh sb="1" eb="2">
      <t>ヨウ</t>
    </rPh>
    <rPh sb="2" eb="4">
      <t>カクニン</t>
    </rPh>
    <phoneticPr fontId="7"/>
  </si>
  <si>
    <t>研究開発業務構成比</t>
    <rPh sb="0" eb="2">
      <t>ケンキュウ</t>
    </rPh>
    <rPh sb="2" eb="4">
      <t>カイハツ</t>
    </rPh>
    <rPh sb="4" eb="6">
      <t>ギョウム</t>
    </rPh>
    <rPh sb="6" eb="9">
      <t>コウセイヒ</t>
    </rPh>
    <phoneticPr fontId="7"/>
  </si>
  <si>
    <t>稼働率・ロス率等を生産量または使用量で重みづけした平均。複数ライン・複数日の指標を統合する際に使用。
例）1,000ボールの製品を1,000ボール/ｈの能力で１時間生産し、稼働率100％でした。翌日10,000ボールを同じ能力で20時間生産し、稼働率50％でした。２日間の稼働率の加重平均は
○正解（1,000ボール+10,000ボール）/（1,000ボール/ｈ　×（1ｈ+20ｈ）　）　×100＝52.3％　　　　　　　　　
×不正解　（100％+50％）÷2＝75％</t>
    <phoneticPr fontId="7"/>
  </si>
  <si>
    <t>加重平均稼働率＝ Σ（各期間の実績生産量） ÷ Σ（ライン能力 × 各期間の稼働時間） × 100</t>
    <phoneticPr fontId="7"/>
  </si>
  <si>
    <t>円（原価金額）</t>
    <rPh sb="2" eb="4">
      <t>ゲンカ</t>
    </rPh>
    <rPh sb="4" eb="6">
      <t>キンガク</t>
    </rPh>
    <phoneticPr fontId="7"/>
  </si>
  <si>
    <t>・仕切り金額・原価金額双方で使用される場合有</t>
    <rPh sb="1" eb="3">
      <t>シキ</t>
    </rPh>
    <rPh sb="4" eb="6">
      <t>キンガク</t>
    </rPh>
    <rPh sb="7" eb="9">
      <t>ゲンカ</t>
    </rPh>
    <rPh sb="9" eb="11">
      <t>キンガク</t>
    </rPh>
    <rPh sb="11" eb="13">
      <t>ソウホウ</t>
    </rPh>
    <rPh sb="14" eb="16">
      <t>シヨウ</t>
    </rPh>
    <rPh sb="19" eb="21">
      <t>バアイ</t>
    </rPh>
    <rPh sb="21" eb="22">
      <t>アリ</t>
    </rPh>
    <phoneticPr fontId="7"/>
  </si>
  <si>
    <t>%（小数点第3位を四捨五入して第2位まで表記）</t>
    <rPh sb="2" eb="5">
      <t>ショウスウテン</t>
    </rPh>
    <rPh sb="5" eb="6">
      <t>ダイ</t>
    </rPh>
    <rPh sb="7" eb="8">
      <t>イ</t>
    </rPh>
    <rPh sb="9" eb="13">
      <t>シシャゴニュウ</t>
    </rPh>
    <rPh sb="15" eb="16">
      <t>ダイ</t>
    </rPh>
    <rPh sb="17" eb="18">
      <t>イ</t>
    </rPh>
    <rPh sb="20" eb="22">
      <t>ヒョウキ</t>
    </rPh>
    <phoneticPr fontId="7"/>
  </si>
  <si>
    <t>賞味期限切れや品質問題等で廃棄された商品の損失金額。仕切り価格ベースで計上し、予算・前年との差異をSCM本部会議で報告する。菓子・アイス別に月次と年度累計で管理する。</t>
    <phoneticPr fontId="7"/>
  </si>
  <si>
    <t>賞味期限切れや品質問題等で廃棄された商品の損失金額。</t>
    <phoneticPr fontId="7"/>
  </si>
  <si>
    <t>%（小数点第2位を四捨五入して第1位まで表記）</t>
    <rPh sb="2" eb="5">
      <t>ショウスウテン</t>
    </rPh>
    <rPh sb="5" eb="6">
      <t>ダイ</t>
    </rPh>
    <rPh sb="7" eb="8">
      <t>イ</t>
    </rPh>
    <rPh sb="9" eb="13">
      <t>シシャゴニュウ</t>
    </rPh>
    <rPh sb="15" eb="16">
      <t>ダイ</t>
    </rPh>
    <rPh sb="17" eb="18">
      <t>イ</t>
    </rPh>
    <rPh sb="20" eb="22">
      <t>ヒョウキ</t>
    </rPh>
    <phoneticPr fontId="7"/>
  </si>
  <si>
    <t>廃棄数量 × 原価金額</t>
    <rPh sb="7" eb="9">
      <t>ゲンカ</t>
    </rPh>
    <rPh sb="9" eb="11">
      <t>キンガク</t>
    </rPh>
    <phoneticPr fontId="7"/>
  </si>
  <si>
    <t>クレーム</t>
    <phoneticPr fontId="7"/>
  </si>
  <si>
    <t>ppm（第3位を四捨五入して第2位まで表記）</t>
    <rPh sb="4" eb="5">
      <t>ダイ</t>
    </rPh>
    <rPh sb="6" eb="7">
      <t>イ</t>
    </rPh>
    <rPh sb="8" eb="12">
      <t>シシャゴニュウ</t>
    </rPh>
    <rPh sb="14" eb="15">
      <t>ダイ</t>
    </rPh>
    <rPh sb="16" eb="17">
      <t>イ</t>
    </rPh>
    <rPh sb="19" eb="21">
      <t>ヒョウキ</t>
    </rPh>
    <phoneticPr fontId="7"/>
  </si>
  <si>
    <t>BL/H, CS/m
第3位を切り捨て小数点第2位まで表記</t>
    <rPh sb="11" eb="12">
      <t>ダイ</t>
    </rPh>
    <rPh sb="13" eb="14">
      <t>イ</t>
    </rPh>
    <rPh sb="15" eb="16">
      <t>キ</t>
    </rPh>
    <rPh sb="17" eb="18">
      <t>ス</t>
    </rPh>
    <rPh sb="19" eb="22">
      <t>ショウスウテン</t>
    </rPh>
    <rPh sb="22" eb="23">
      <t>ダイ</t>
    </rPh>
    <rPh sb="24" eb="25">
      <t>イ</t>
    </rPh>
    <rPh sb="27" eb="29">
      <t>ヒョウキ</t>
    </rPh>
    <phoneticPr fontId="7"/>
  </si>
  <si>
    <t>SCM会議（物流効率化法対応・バース予約システム導入）、中長期計画共有（荷待ち時間短縮計画）, SCM企画課MT</t>
    <phoneticPr fontId="7"/>
  </si>
  <si>
    <t>未開拓小売業</t>
    <rPh sb="0" eb="3">
      <t>ミカイタク</t>
    </rPh>
    <rPh sb="3" eb="6">
      <t>コウリギョウ</t>
    </rPh>
    <phoneticPr fontId="7"/>
  </si>
  <si>
    <t>未開拓店舗数</t>
    <rPh sb="0" eb="3">
      <t>ミカイタク</t>
    </rPh>
    <rPh sb="3" eb="6">
      <t>テンポスウ</t>
    </rPh>
    <phoneticPr fontId="7"/>
  </si>
  <si>
    <t>企業</t>
    <rPh sb="0" eb="2">
      <t>キギョウ</t>
    </rPh>
    <phoneticPr fontId="7"/>
  </si>
  <si>
    <t>店舗</t>
    <rPh sb="0" eb="2">
      <t>テンポ</t>
    </rPh>
    <phoneticPr fontId="7"/>
  </si>
  <si>
    <t>営業概況</t>
    <rPh sb="0" eb="2">
      <t>エイギョウ</t>
    </rPh>
    <rPh sb="2" eb="4">
      <t>ガイキョウ</t>
    </rPh>
    <phoneticPr fontId="7"/>
  </si>
  <si>
    <t>販売振り返りMTGで使用される営業の売上</t>
    <rPh sb="0" eb="3">
      <t>ハンバイフ</t>
    </rPh>
    <rPh sb="4" eb="5">
      <t>カエ</t>
    </rPh>
    <rPh sb="10" eb="12">
      <t>シヨウ</t>
    </rPh>
    <rPh sb="15" eb="17">
      <t>エイギョウ</t>
    </rPh>
    <rPh sb="18" eb="20">
      <t>ウリアゲ</t>
    </rPh>
    <phoneticPr fontId="7"/>
  </si>
  <si>
    <t>販売実績・見込みすり合わせ</t>
    <rPh sb="0" eb="2">
      <t>ハンバイ</t>
    </rPh>
    <rPh sb="2" eb="4">
      <t>ジッセキ</t>
    </rPh>
    <rPh sb="5" eb="7">
      <t>ミコ</t>
    </rPh>
    <rPh sb="10" eb="11">
      <t>ア</t>
    </rPh>
    <phoneticPr fontId="7"/>
  </si>
  <si>
    <t>・営業概況は売上高金額のようだが、それが総売上高なのか純売上高なのか要確認</t>
    <rPh sb="1" eb="5">
      <t>エイギョウガイキョウ</t>
    </rPh>
    <rPh sb="6" eb="9">
      <t>ウリアゲダカ</t>
    </rPh>
    <rPh sb="9" eb="11">
      <t>キンガク</t>
    </rPh>
    <rPh sb="20" eb="24">
      <t>ソウウリアゲダカ</t>
    </rPh>
    <rPh sb="27" eb="31">
      <t>ジュンウリアゲダカ</t>
    </rPh>
    <rPh sb="34" eb="37">
      <t>ヨウカクニン</t>
    </rPh>
    <phoneticPr fontId="7"/>
  </si>
  <si>
    <t>全国</t>
    <rPh sb="0" eb="2">
      <t>ゼンコク</t>
    </rPh>
    <phoneticPr fontId="7"/>
  </si>
  <si>
    <t>販売振り返りMTGで使用される実績金額</t>
    <rPh sb="0" eb="3">
      <t>ハンバイフ</t>
    </rPh>
    <rPh sb="4" eb="5">
      <t>カエ</t>
    </rPh>
    <rPh sb="10" eb="12">
      <t>シヨウ</t>
    </rPh>
    <rPh sb="15" eb="19">
      <t>ジッセキキンガク</t>
    </rPh>
    <phoneticPr fontId="7"/>
  </si>
  <si>
    <t>振返アイス,振返ガム,振返チョコ,振返キャン,振返ビス</t>
  </si>
  <si>
    <t>アクティブユーザー数</t>
    <rPh sb="9" eb="10">
      <t>スウ</t>
    </rPh>
    <phoneticPr fontId="7"/>
  </si>
  <si>
    <t>特定の期間内にWebサイトやアプリを利用したユーザーの数</t>
    <phoneticPr fontId="7"/>
  </si>
  <si>
    <t>包材残</t>
    <rPh sb="0" eb="3">
      <t>ホウザイザン</t>
    </rPh>
    <phoneticPr fontId="7"/>
  </si>
  <si>
    <t>リーチ数</t>
    <rPh sb="3" eb="4">
      <t>スウ</t>
    </rPh>
    <phoneticPr fontId="7"/>
  </si>
  <si>
    <t>広告や投稿が届いたユニークユーザーの数</t>
    <phoneticPr fontId="7"/>
  </si>
  <si>
    <r>
      <t>包材の残数量。</t>
    </r>
    <r>
      <rPr>
        <sz val="10"/>
        <color rgb="FFFF0000"/>
        <rFont val="Meiryo UI"/>
        <family val="3"/>
        <charset val="128"/>
      </rPr>
      <t>生販時は先月末残高を、月末時は今月末の残高数量を記載する。</t>
    </r>
    <rPh sb="0" eb="2">
      <t>ホウザイ</t>
    </rPh>
    <rPh sb="3" eb="4">
      <t>ザン</t>
    </rPh>
    <rPh sb="4" eb="6">
      <t>スウリョウ</t>
    </rPh>
    <rPh sb="7" eb="8">
      <t>イ</t>
    </rPh>
    <rPh sb="8" eb="9">
      <t>ハン</t>
    </rPh>
    <rPh sb="9" eb="10">
      <t>トキ</t>
    </rPh>
    <rPh sb="11" eb="14">
      <t>センゲツマツ</t>
    </rPh>
    <rPh sb="14" eb="15">
      <t>ザン</t>
    </rPh>
    <rPh sb="15" eb="16">
      <t>ダカ</t>
    </rPh>
    <rPh sb="18" eb="20">
      <t>ゲツマツ</t>
    </rPh>
    <rPh sb="20" eb="21">
      <t>ジ</t>
    </rPh>
    <rPh sb="22" eb="25">
      <t>コンゲツマツ</t>
    </rPh>
    <rPh sb="26" eb="28">
      <t>ザンダカ</t>
    </rPh>
    <rPh sb="28" eb="30">
      <t>スウリョウ</t>
    </rPh>
    <rPh sb="31" eb="33">
      <t>キサイ</t>
    </rPh>
    <phoneticPr fontId="7"/>
  </si>
  <si>
    <t>・生販時：先月末、月末時：今月末との記載あり</t>
    <rPh sb="1" eb="2">
      <t>イ</t>
    </rPh>
    <rPh sb="2" eb="3">
      <t>ハン</t>
    </rPh>
    <rPh sb="3" eb="4">
      <t>ジ</t>
    </rPh>
    <rPh sb="5" eb="8">
      <t>センゲツマツ</t>
    </rPh>
    <rPh sb="9" eb="11">
      <t>ゲツマツ</t>
    </rPh>
    <rPh sb="11" eb="12">
      <t>ジ</t>
    </rPh>
    <rPh sb="13" eb="16">
      <t>コンゲツマツ</t>
    </rPh>
    <rPh sb="18" eb="20">
      <t>キサイ</t>
    </rPh>
    <phoneticPr fontId="7"/>
  </si>
  <si>
    <t>月末事前菓子</t>
    <rPh sb="0" eb="4">
      <t>ゲツマツジゼン</t>
    </rPh>
    <rPh sb="4" eb="6">
      <t>カシ</t>
    </rPh>
    <phoneticPr fontId="7"/>
  </si>
  <si>
    <t>重大事故発生件数</t>
    <rPh sb="0" eb="2">
      <t>ジュウダイ</t>
    </rPh>
    <rPh sb="2" eb="4">
      <t>ジコ</t>
    </rPh>
    <rPh sb="4" eb="6">
      <t>ハッセイ</t>
    </rPh>
    <rPh sb="6" eb="8">
      <t>ケンスウ</t>
    </rPh>
    <phoneticPr fontId="7"/>
  </si>
  <si>
    <t>重大違反件数</t>
    <rPh sb="0" eb="2">
      <t>ジュウダイ</t>
    </rPh>
    <rPh sb="2" eb="4">
      <t>イハン</t>
    </rPh>
    <rPh sb="4" eb="6">
      <t>ケンスウ</t>
    </rPh>
    <phoneticPr fontId="7"/>
  </si>
  <si>
    <t>月末事前ガム,月末事前チョコ,月末事前キャン,月末事前ビス,月末会議ガム,月末会議チョコ,月末会議キャン,月末会議ビス,</t>
    <rPh sb="7" eb="11">
      <t>ゲツマツジゼン</t>
    </rPh>
    <rPh sb="15" eb="19">
      <t>ゲツマツジゼン</t>
    </rPh>
    <rPh sb="23" eb="25">
      <t>ゲツマツ</t>
    </rPh>
    <rPh sb="25" eb="27">
      <t>ジゼン</t>
    </rPh>
    <rPh sb="32" eb="34">
      <t>カイギ</t>
    </rPh>
    <rPh sb="39" eb="41">
      <t>カイギ</t>
    </rPh>
    <rPh sb="47" eb="49">
      <t>カイギ</t>
    </rPh>
    <rPh sb="55" eb="57">
      <t>カイギ</t>
    </rPh>
    <phoneticPr fontId="7"/>
  </si>
  <si>
    <t>円, CS</t>
  </si>
  <si>
    <t>%、円、CS</t>
  </si>
  <si>
    <t>円、%（総売比）</t>
  </si>
  <si>
    <t>CS, 円</t>
  </si>
  <si>
    <t>円, ヶ月分</t>
  </si>
  <si>
    <t>円, 日分</t>
  </si>
  <si>
    <t>円/人・年
小数点第2位を四捨五入して第1位まで表記</t>
    <rPh sb="6" eb="9">
      <t>ショウスウテン</t>
    </rPh>
    <rPh sb="9" eb="10">
      <t>ダイ</t>
    </rPh>
    <rPh sb="11" eb="12">
      <t>イ</t>
    </rPh>
    <rPh sb="13" eb="17">
      <t>シシャゴニュウ</t>
    </rPh>
    <rPh sb="19" eb="20">
      <t>ダイ</t>
    </rPh>
    <rPh sb="21" eb="22">
      <t>イ</t>
    </rPh>
    <rPh sb="24" eb="26">
      <t>ヒョウキ</t>
    </rPh>
    <phoneticPr fontId="7"/>
  </si>
  <si>
    <t>ℓ/円等</t>
  </si>
  <si>
    <t>修正後</t>
    <rPh sb="0" eb="3">
      <t>シュウセイゴ</t>
    </rPh>
    <phoneticPr fontId="7"/>
  </si>
  <si>
    <t>対象資料は出典シートに記載されている資料とする。ロッテの業績管理指標に関する用語・算出式・定義を中心に用語を抽出する。</t>
  </si>
  <si>
    <t>ロッテグループ標準言語定義辞書化プロジェクト 作業依頼</t>
  </si>
  <si>
    <t>売上債権が何日で回収されるかを示す指標。日数が短いほど資金回収が早い。</t>
    <phoneticPr fontId="7"/>
  </si>
  <si>
    <t>ステークホルダー満足度</t>
    <rPh sb="8" eb="11">
      <t>マンゾクド</t>
    </rPh>
    <phoneticPr fontId="7"/>
  </si>
  <si>
    <t>エンゲージメントスコア</t>
    <phoneticPr fontId="7"/>
  </si>
  <si>
    <t>営業車両運転時に発生した重大違反（XX,XX,XX）の発生件数</t>
    <rPh sb="0" eb="2">
      <t>エイギョウ</t>
    </rPh>
    <rPh sb="2" eb="4">
      <t>シャリョウ</t>
    </rPh>
    <rPh sb="4" eb="6">
      <t>ウンテン</t>
    </rPh>
    <rPh sb="6" eb="7">
      <t>ジ</t>
    </rPh>
    <rPh sb="8" eb="10">
      <t>ハッセイ</t>
    </rPh>
    <rPh sb="12" eb="14">
      <t>ジュウダイ</t>
    </rPh>
    <rPh sb="14" eb="16">
      <t>イハン</t>
    </rPh>
    <rPh sb="27" eb="29">
      <t>ハッセイ</t>
    </rPh>
    <rPh sb="29" eb="31">
      <t>ケンスウ</t>
    </rPh>
    <phoneticPr fontId="7"/>
  </si>
  <si>
    <t>営業車両運転時に発生した重大事故（XX,XX,XX）の発生件数</t>
    <rPh sb="0" eb="2">
      <t>エイギョウ</t>
    </rPh>
    <rPh sb="2" eb="4">
      <t>シャリョウ</t>
    </rPh>
    <rPh sb="4" eb="6">
      <t>ウンテン</t>
    </rPh>
    <rPh sb="6" eb="7">
      <t>ジ</t>
    </rPh>
    <rPh sb="8" eb="10">
      <t>ハッセイ</t>
    </rPh>
    <rPh sb="12" eb="14">
      <t>ジュウダイ</t>
    </rPh>
    <rPh sb="14" eb="16">
      <t>ジコ</t>
    </rPh>
    <rPh sb="27" eb="29">
      <t>ハッセイ</t>
    </rPh>
    <rPh sb="29" eb="31">
      <t>ケンスウ</t>
    </rPh>
    <phoneticPr fontId="7"/>
  </si>
  <si>
    <t>純売 − 売上原価 − 販管費</t>
    <phoneticPr fontId="7"/>
  </si>
  <si>
    <t>エンゲージメント・エンゲージメントトレーディング・従業員満足度・ES</t>
    <phoneticPr fontId="7"/>
  </si>
  <si>
    <t>%</t>
    <phoneticPr fontId="7"/>
  </si>
  <si>
    <t>限界利益　÷　総売上 × 100</t>
    <rPh sb="0" eb="2">
      <t>ゲンカイ</t>
    </rPh>
    <rPh sb="2" eb="4">
      <t>リエキ</t>
    </rPh>
    <rPh sb="7" eb="8">
      <t>ソウ</t>
    </rPh>
    <rPh sb="8" eb="10">
      <t>ウリアゲ</t>
    </rPh>
    <phoneticPr fontId="7"/>
  </si>
  <si>
    <t>研究開発業務時間　÷　総労働時間　×　100</t>
    <rPh sb="0" eb="2">
      <t>ケンキュウ</t>
    </rPh>
    <rPh sb="2" eb="4">
      <t>カイハツ</t>
    </rPh>
    <rPh sb="4" eb="6">
      <t>ギョウム</t>
    </rPh>
    <rPh sb="6" eb="8">
      <t>ジカン</t>
    </rPh>
    <rPh sb="11" eb="12">
      <t>ソウ</t>
    </rPh>
    <rPh sb="12" eb="14">
      <t>ロウドウ</t>
    </rPh>
    <rPh sb="14" eb="16">
      <t>ジカン</t>
    </rPh>
    <phoneticPr fontId="7"/>
  </si>
  <si>
    <t>01_財務・業績指標</t>
    <rPh sb="3" eb="5">
      <t>ザイム</t>
    </rPh>
    <rPh sb="6" eb="8">
      <t>ギョウセキ</t>
    </rPh>
    <rPh sb="8" eb="10">
      <t>シヒョウ</t>
    </rPh>
    <phoneticPr fontId="7"/>
  </si>
  <si>
    <t>%, 円</t>
    <phoneticPr fontId="7"/>
  </si>
  <si>
    <t>03_会社運営</t>
    <rPh sb="3" eb="5">
      <t>カイシャ</t>
    </rPh>
    <rPh sb="5" eb="7">
      <t>ウンエイ</t>
    </rPh>
    <phoneticPr fontId="7"/>
  </si>
  <si>
    <t>スマートファクトリー化計画進捗度</t>
    <rPh sb="10" eb="11">
      <t>カ</t>
    </rPh>
    <rPh sb="11" eb="13">
      <t>ケイカク</t>
    </rPh>
    <rPh sb="13" eb="15">
      <t>シンチョク</t>
    </rPh>
    <rPh sb="15" eb="16">
      <t>ド</t>
    </rPh>
    <phoneticPr fontId="7"/>
  </si>
  <si>
    <t>マストバイCP</t>
    <phoneticPr fontId="7"/>
  </si>
  <si>
    <t>01_指標</t>
    <rPh sb="3" eb="5">
      <t>シヒョウ</t>
    </rPh>
    <phoneticPr fontId="7"/>
  </si>
  <si>
    <t>02_マスタ</t>
  </si>
  <si>
    <t>02_マスタ</t>
    <phoneticPr fontId="7"/>
  </si>
  <si>
    <t>03_その他</t>
    <rPh sb="5" eb="6">
      <t>タ</t>
    </rPh>
    <phoneticPr fontId="7"/>
  </si>
  <si>
    <t>30分以上の停止に対して使用する。</t>
    <phoneticPr fontId="7"/>
  </si>
  <si>
    <t xml:space="preserve"> </t>
    <phoneticPr fontId="7"/>
  </si>
  <si>
    <t>指標大分類</t>
    <rPh sb="0" eb="5">
      <t>シヒョウダイブンルイ</t>
    </rPh>
    <phoneticPr fontId="7"/>
  </si>
  <si>
    <t>D+2締め率</t>
    <rPh sb="3" eb="4">
      <t>シ</t>
    </rPh>
    <rPh sb="5" eb="6">
      <t>リツ</t>
    </rPh>
    <phoneticPr fontId="7"/>
  </si>
  <si>
    <t>注文日（D）の翌々日（+2）までに出荷を完了させる配送サービスの基準。</t>
    <phoneticPr fontId="7"/>
  </si>
  <si>
    <t>外部品番</t>
    <phoneticPr fontId="7"/>
  </si>
  <si>
    <t>内部品番</t>
    <phoneticPr fontId="7"/>
  </si>
  <si>
    <t>生販在計画表で使用する商品コード体系。外部品番はJAN/取引先向けコード（5〜6桁）生</t>
    <phoneticPr fontId="7"/>
  </si>
  <si>
    <t>生販在計画表で使用する商品コード体系。内部品番はSAP/社内システム上の管理コード（7桁「204XXXX」）。</t>
    <phoneticPr fontId="7"/>
  </si>
  <si>
    <t>円</t>
    <rPh sb="0" eb="1">
      <t>エン</t>
    </rPh>
    <phoneticPr fontId="7"/>
  </si>
  <si>
    <t>BL</t>
    <phoneticPr fontId="7"/>
  </si>
  <si>
    <t>棚後＋各日の生産量</t>
    <rPh sb="0" eb="1">
      <t>タナ</t>
    </rPh>
    <rPh sb="1" eb="2">
      <t>ゴ</t>
    </rPh>
    <rPh sb="3" eb="5">
      <t>カクヒ</t>
    </rPh>
    <rPh sb="6" eb="8">
      <t>セイサン</t>
    </rPh>
    <rPh sb="8" eb="9">
      <t>リョウ</t>
    </rPh>
    <phoneticPr fontId="7"/>
  </si>
  <si>
    <t>B仕切単価</t>
    <rPh sb="1" eb="3">
      <t>シキ</t>
    </rPh>
    <rPh sb="3" eb="5">
      <t>タンカ</t>
    </rPh>
    <phoneticPr fontId="7"/>
  </si>
  <si>
    <t>生産実績</t>
    <rPh sb="2" eb="4">
      <t>ジッセキ</t>
    </rPh>
    <phoneticPr fontId="7"/>
  </si>
  <si>
    <t>月次工程表において、生産部門が生産した実績</t>
    <rPh sb="15" eb="17">
      <t>セイサン</t>
    </rPh>
    <rPh sb="19" eb="21">
      <t>ジッセキ</t>
    </rPh>
    <phoneticPr fontId="7"/>
  </si>
  <si>
    <t>品名</t>
    <rPh sb="0" eb="2">
      <t>ヒンメイ</t>
    </rPh>
    <phoneticPr fontId="7"/>
  </si>
  <si>
    <t>生産される商品名</t>
    <rPh sb="0" eb="2">
      <t>セイサン</t>
    </rPh>
    <rPh sb="5" eb="8">
      <t>ショウヒンメイ</t>
    </rPh>
    <phoneticPr fontId="7"/>
  </si>
  <si>
    <t>生販在計画表（全カテゴリ）、SAPとの在庫連携</t>
    <phoneticPr fontId="7"/>
  </si>
  <si>
    <t>生販在計画表</t>
  </si>
  <si>
    <t>生産</t>
    <rPh sb="0" eb="2">
      <t>セイサン</t>
    </rPh>
    <phoneticPr fontId="7"/>
  </si>
  <si>
    <t>生販在計画表における、生産量</t>
    <rPh sb="11" eb="14">
      <t>セイサンリョウ</t>
    </rPh>
    <phoneticPr fontId="7"/>
  </si>
  <si>
    <t>販売</t>
    <rPh sb="0" eb="2">
      <t>ハンバイ</t>
    </rPh>
    <phoneticPr fontId="7"/>
  </si>
  <si>
    <r>
      <t>生販在計画表における、</t>
    </r>
    <r>
      <rPr>
        <sz val="10"/>
        <color rgb="FFFF0000"/>
        <rFont val="Meiryo UI"/>
        <family val="3"/>
        <charset val="128"/>
      </rPr>
      <t>販売量</t>
    </r>
    <rPh sb="11" eb="14">
      <t>ハンバイリョウ</t>
    </rPh>
    <phoneticPr fontId="7"/>
  </si>
  <si>
    <t>・何を基準として”販売”と、みなしているのか（出荷？どこ向け？）要確認</t>
    <rPh sb="1" eb="2">
      <t>ナニ</t>
    </rPh>
    <rPh sb="3" eb="5">
      <t>キジュン</t>
    </rPh>
    <rPh sb="9" eb="11">
      <t>ハンバイ</t>
    </rPh>
    <rPh sb="23" eb="25">
      <t>シュッカ</t>
    </rPh>
    <rPh sb="28" eb="29">
      <t>ム</t>
    </rPh>
    <rPh sb="32" eb="35">
      <t>ヨウカクニン</t>
    </rPh>
    <phoneticPr fontId="7"/>
  </si>
  <si>
    <t>生販在計画表（キャンディ等の内作・外注区分管理）</t>
    <phoneticPr fontId="7"/>
  </si>
  <si>
    <t>月末キャン</t>
  </si>
  <si>
    <t>月末キャン</t>
    <phoneticPr fontId="7"/>
  </si>
  <si>
    <t>生販在計画表における、在庫量</t>
    <rPh sb="11" eb="14">
      <t>ザイコリョウ</t>
    </rPh>
    <phoneticPr fontId="7"/>
  </si>
  <si>
    <t>・不良在庫も含むのか？在庫としてカウントする範囲を要確認</t>
    <rPh sb="1" eb="5">
      <t>フリョウザイコ</t>
    </rPh>
    <rPh sb="6" eb="7">
      <t>フク</t>
    </rPh>
    <rPh sb="11" eb="13">
      <t>ザイコ</t>
    </rPh>
    <rPh sb="22" eb="24">
      <t>ハンイ</t>
    </rPh>
    <rPh sb="25" eb="28">
      <t>ヨウカクニン</t>
    </rPh>
    <phoneticPr fontId="7"/>
  </si>
  <si>
    <t>支払報告需給, SCM会議, 第3回SCM議事録, 第2回SCM議事録, SCM本部会議全体、月末会議ビス</t>
    <rPh sb="47" eb="51">
      <t>ゲツマツカイギ</t>
    </rPh>
    <phoneticPr fontId="7"/>
  </si>
  <si>
    <t>累計</t>
    <phoneticPr fontId="7"/>
  </si>
  <si>
    <t>期初からの累計ベースで計算した在庫。</t>
    <phoneticPr fontId="7"/>
  </si>
  <si>
    <t>CS</t>
    <phoneticPr fontId="7"/>
  </si>
  <si>
    <t>月末会議ビス</t>
    <rPh sb="0" eb="4">
      <t>ゲツマツカイギ</t>
    </rPh>
    <phoneticPr fontId="7"/>
  </si>
  <si>
    <t>生販会議</t>
    <rPh sb="0" eb="1">
      <t>ショウ</t>
    </rPh>
    <rPh sb="1" eb="2">
      <t>ハン</t>
    </rPh>
    <rPh sb="2" eb="4">
      <t>カイギ</t>
    </rPh>
    <phoneticPr fontId="7"/>
  </si>
  <si>
    <t>商品コード</t>
  </si>
  <si>
    <t>商品を識別する社内管理コード。外部品番・内部品番と併用される。</t>
  </si>
  <si>
    <t>直接（人員）</t>
  </si>
  <si>
    <t>生産ラインに直接従事する作業人員数。</t>
  </si>
  <si>
    <t>間接人員</t>
  </si>
  <si>
    <t>生産を支援する間接部門（品質・設備・物流等）の人員数。</t>
  </si>
  <si>
    <t>予備（人員）</t>
  </si>
  <si>
    <t>予備人員</t>
  </si>
  <si>
    <t>欠員・急な増産等に対応するために確保する予備人員数。</t>
  </si>
  <si>
    <t>計画人員</t>
  </si>
  <si>
    <t>直接・間接・予備の合計人員数。工場全体の稼働に必要な計画上の人員。</t>
  </si>
  <si>
    <t>直接 ＋ 間接 ＋ 予備</t>
  </si>
  <si>
    <t>在籍人員</t>
  </si>
  <si>
    <t>当月時点で工場に在籍する正社員・嘱託等の人員数。</t>
  </si>
  <si>
    <t>不足人員を補うために必要な補充人数。1日7.75時間換算で算出する。</t>
  </si>
  <si>
    <t>固定人員（派遣）</t>
  </si>
  <si>
    <t>固定派遣人員</t>
  </si>
  <si>
    <t>毎月固定で確保している派遣社員の人数。</t>
  </si>
  <si>
    <t>派遣社員必要人数</t>
  </si>
  <si>
    <t>固定派遣以外に追加で必要な派遣社員の人数。</t>
  </si>
  <si>
    <t>補充人員 − 固定派遣人員</t>
  </si>
  <si>
    <t>派遣社員過不足人数</t>
  </si>
  <si>
    <t>計画に対する派遣社員の余剰・不足人数。プラスが余剰、マイナスが不足。</t>
  </si>
  <si>
    <t>直パート</t>
  </si>
  <si>
    <t>直接部門に従事するパートタイム従業員。</t>
  </si>
  <si>
    <t>期間従業員</t>
  </si>
  <si>
    <t>有期契約で雇用される従業員。繁忙期等に補充人員として活用される。</t>
  </si>
  <si>
    <t>再雇用者</t>
  </si>
  <si>
    <t>定年退職後に再雇用された従業員。</t>
  </si>
  <si>
    <t>５Hパート</t>
  </si>
  <si>
    <t>1日5時間勤務のパートタイム従業員。</t>
  </si>
  <si>
    <t>人</t>
    <rPh sb="0" eb="1">
      <t>ニン</t>
    </rPh>
    <phoneticPr fontId="7"/>
  </si>
  <si>
    <t>工程九州菓子.工程狭山</t>
    <rPh sb="7" eb="11">
      <t>コウテイサヤマ</t>
    </rPh>
    <phoneticPr fontId="7"/>
  </si>
  <si>
    <t>生産人員計画（工場別詳細）</t>
    <rPh sb="0" eb="6">
      <t>セイサンジンインケイカク</t>
    </rPh>
    <rPh sb="7" eb="12">
      <t>コウジョウベツショウサイ</t>
    </rPh>
    <phoneticPr fontId="7"/>
  </si>
  <si>
    <t>ボール実績（B実績）</t>
    <phoneticPr fontId="7"/>
  </si>
  <si>
    <t>関東信越地方へ出荷するプラント</t>
    <rPh sb="0" eb="2">
      <t>カントウ</t>
    </rPh>
    <rPh sb="2" eb="4">
      <t>シンエツ</t>
    </rPh>
    <rPh sb="4" eb="6">
      <t>チホウ</t>
    </rPh>
    <rPh sb="7" eb="9">
      <t>シュッカ</t>
    </rPh>
    <phoneticPr fontId="7"/>
  </si>
  <si>
    <t>近畿地方へ出荷するプラント</t>
    <rPh sb="0" eb="2">
      <t>キンキ</t>
    </rPh>
    <rPh sb="2" eb="4">
      <t>チホウ</t>
    </rPh>
    <rPh sb="5" eb="7">
      <t>シュッカ</t>
    </rPh>
    <phoneticPr fontId="7"/>
  </si>
  <si>
    <t>九州地方へ出荷するプラント</t>
    <rPh sb="0" eb="2">
      <t>キュウシュウ</t>
    </rPh>
    <rPh sb="2" eb="4">
      <t>チホウ</t>
    </rPh>
    <rPh sb="5" eb="7">
      <t>シュッカ</t>
    </rPh>
    <phoneticPr fontId="7"/>
  </si>
  <si>
    <t>北海道へ出荷するプラント</t>
    <rPh sb="0" eb="3">
      <t>ホッカイドウ</t>
    </rPh>
    <rPh sb="4" eb="6">
      <t>シュッカ</t>
    </rPh>
    <phoneticPr fontId="7"/>
  </si>
  <si>
    <t>東北地方へ出荷するプラント</t>
    <rPh sb="0" eb="2">
      <t>トウホク</t>
    </rPh>
    <rPh sb="2" eb="4">
      <t>チホウ</t>
    </rPh>
    <phoneticPr fontId="7"/>
  </si>
  <si>
    <t>中部地方へ出荷するプラント</t>
    <rPh sb="0" eb="2">
      <t>チュウブ</t>
    </rPh>
    <rPh sb="2" eb="4">
      <t>チホウ</t>
    </rPh>
    <phoneticPr fontId="7"/>
  </si>
  <si>
    <t>中四国地方へ出荷するプラント</t>
    <rPh sb="0" eb="1">
      <t>チュウ</t>
    </rPh>
    <rPh sb="1" eb="3">
      <t>シコク</t>
    </rPh>
    <rPh sb="3" eb="5">
      <t>チホウ</t>
    </rPh>
    <phoneticPr fontId="7"/>
  </si>
  <si>
    <t>首都圏へ出荷するプラント</t>
    <rPh sb="0" eb="3">
      <t>シュトケン</t>
    </rPh>
    <phoneticPr fontId="7"/>
  </si>
  <si>
    <t>首都圏へ出荷するプラント</t>
    <rPh sb="0" eb="3">
      <t>シュトケン</t>
    </rPh>
    <rPh sb="4" eb="6">
      <t>シュッカ</t>
    </rPh>
    <phoneticPr fontId="7"/>
  </si>
  <si>
    <t>SCM会議, 第3回SCM議事録、中長期計画共有</t>
    <phoneticPr fontId="7"/>
  </si>
  <si>
    <t>2号ボトルライン</t>
    <rPh sb="1" eb="2">
      <t>ゴウ</t>
    </rPh>
    <phoneticPr fontId="7"/>
  </si>
  <si>
    <t>スリムボトルライン</t>
    <phoneticPr fontId="7"/>
  </si>
  <si>
    <t>ー</t>
    <phoneticPr fontId="7"/>
  </si>
  <si>
    <t>歯につきにくい＜レモン＞、キシリグレープ、キシリ7種デザイン、キシリ7種＜ドリンク＞の総称</t>
    <rPh sb="0" eb="1">
      <t>ハ</t>
    </rPh>
    <rPh sb="25" eb="26">
      <t>シュ</t>
    </rPh>
    <rPh sb="35" eb="36">
      <t>シュ</t>
    </rPh>
    <rPh sb="43" eb="45">
      <t>ソウショウ</t>
    </rPh>
    <phoneticPr fontId="7"/>
  </si>
  <si>
    <t>ACUOグリーンミントSB、SCUOクリアブルーSB、オーラテクト＜クリア＞SB、オーラテクト＜シトラス＞SB、フッ素ペパーミントSB、マイニチケア血圧SBの総称</t>
    <rPh sb="58" eb="59">
      <t>ソ</t>
    </rPh>
    <rPh sb="74" eb="76">
      <t>ケツアツ</t>
    </rPh>
    <rPh sb="79" eb="81">
      <t>ソウショウ</t>
    </rPh>
    <phoneticPr fontId="7"/>
  </si>
  <si>
    <t>生産計画</t>
    <rPh sb="0" eb="2">
      <t>セイサン</t>
    </rPh>
    <rPh sb="2" eb="4">
      <t>ケイカク</t>
    </rPh>
    <phoneticPr fontId="7"/>
  </si>
  <si>
    <t>月次市況</t>
    <rPh sb="0" eb="2">
      <t>ゲツジ</t>
    </rPh>
    <rPh sb="2" eb="4">
      <t>シキョウ</t>
    </rPh>
    <phoneticPr fontId="7"/>
  </si>
  <si>
    <t>月次市況3月</t>
    <phoneticPr fontId="7"/>
  </si>
  <si>
    <t>月次市況</t>
    <phoneticPr fontId="7"/>
  </si>
  <si>
    <t>DRUG</t>
    <phoneticPr fontId="7"/>
  </si>
  <si>
    <t xml:space="preserve">ドラッグストア、DgS </t>
    <phoneticPr fontId="7"/>
  </si>
  <si>
    <r>
      <t>控除を行っていない売上の合計額。</t>
    </r>
    <r>
      <rPr>
        <sz val="10"/>
        <color rgb="FFFF0000"/>
        <rFont val="Meiryo UI"/>
        <family val="3"/>
        <charset val="128"/>
      </rPr>
      <t>ロッテの場合は仕切り価格販売の積み上げ</t>
    </r>
    <rPh sb="0" eb="2">
      <t>コウジョ</t>
    </rPh>
    <rPh sb="3" eb="4">
      <t>オコナ</t>
    </rPh>
    <rPh sb="9" eb="11">
      <t>ウリアゲ</t>
    </rPh>
    <rPh sb="12" eb="14">
      <t>ゴウケイ</t>
    </rPh>
    <rPh sb="14" eb="15">
      <t>ガク</t>
    </rPh>
    <rPh sb="20" eb="22">
      <t>バアイ</t>
    </rPh>
    <rPh sb="23" eb="25">
      <t>シキ</t>
    </rPh>
    <rPh sb="26" eb="28">
      <t>カカク</t>
    </rPh>
    <rPh sb="28" eb="30">
      <t>ハンバイ</t>
    </rPh>
    <rPh sb="31" eb="32">
      <t>ツ</t>
    </rPh>
    <rPh sb="33" eb="34">
      <t>ア</t>
    </rPh>
    <phoneticPr fontId="7"/>
  </si>
  <si>
    <r>
      <t>販売数量×単価</t>
    </r>
    <r>
      <rPr>
        <sz val="10"/>
        <color rgb="FFFF0000"/>
        <rFont val="Meiryo UI"/>
        <family val="3"/>
        <charset val="128"/>
      </rPr>
      <t>（仕切価格）</t>
    </r>
    <rPh sb="0" eb="2">
      <t>ハンバイ</t>
    </rPh>
    <rPh sb="2" eb="4">
      <t>スウリョウ</t>
    </rPh>
    <rPh sb="5" eb="7">
      <t>タンカ</t>
    </rPh>
    <rPh sb="8" eb="10">
      <t>シキ</t>
    </rPh>
    <rPh sb="10" eb="12">
      <t>カカク</t>
    </rPh>
    <phoneticPr fontId="7"/>
  </si>
  <si>
    <t>商品規格適正化検討、ロッテ業績</t>
    <rPh sb="0" eb="2">
      <t>ショウヒン</t>
    </rPh>
    <rPh sb="2" eb="4">
      <t>キカク</t>
    </rPh>
    <rPh sb="4" eb="7">
      <t>テキセイカ</t>
    </rPh>
    <rPh sb="7" eb="9">
      <t>ケントウ</t>
    </rPh>
    <rPh sb="13" eb="15">
      <t>ギョウセキ</t>
    </rPh>
    <phoneticPr fontId="7"/>
  </si>
  <si>
    <t>SCM会議、ロッテ業績簡易版</t>
    <rPh sb="3" eb="5">
      <t>カイギ</t>
    </rPh>
    <rPh sb="9" eb="11">
      <t>ギョウセキ</t>
    </rPh>
    <rPh sb="11" eb="14">
      <t>カンイバン</t>
    </rPh>
    <phoneticPr fontId="7"/>
  </si>
  <si>
    <t>総売上から返品・値引等を控除した売上。営業利益の率計算の分母として使用される。</t>
    <rPh sb="10" eb="11">
      <t>ナド</t>
    </rPh>
    <phoneticPr fontId="7"/>
  </si>
  <si>
    <t>純売上高から売上原価（製造にかかる原材料費や工場の人件費など）を差し引いた利益。いわゆる「粗利」。</t>
    <rPh sb="11" eb="13">
      <t>セイゾウ</t>
    </rPh>
    <rPh sb="17" eb="20">
      <t>ゲンザイリョウ</t>
    </rPh>
    <rPh sb="20" eb="21">
      <t>ヒ</t>
    </rPh>
    <rPh sb="22" eb="24">
      <t>コウジョウ</t>
    </rPh>
    <rPh sb="25" eb="28">
      <t>ジンケンヒ</t>
    </rPh>
    <phoneticPr fontId="7"/>
  </si>
  <si>
    <t>ロッテ業績超簡易版</t>
    <phoneticPr fontId="7"/>
  </si>
  <si>
    <t>ロッテ業績超簡易版</t>
    <phoneticPr fontId="7"/>
  </si>
  <si>
    <t>営業利益</t>
    <rPh sb="0" eb="2">
      <t>エイギョウ</t>
    </rPh>
    <rPh sb="2" eb="4">
      <t>リエキ</t>
    </rPh>
    <phoneticPr fontId="7"/>
  </si>
  <si>
    <t>売上総利益から物流費・人件費（工場以外）・広告宣伝費・その他一般管理費を引いた金額</t>
    <rPh sb="0" eb="2">
      <t>ウリアゲ</t>
    </rPh>
    <rPh sb="2" eb="5">
      <t>ソウリエキ</t>
    </rPh>
    <rPh sb="7" eb="9">
      <t>ブツリュウ</t>
    </rPh>
    <rPh sb="9" eb="10">
      <t>ヒ</t>
    </rPh>
    <rPh sb="11" eb="14">
      <t>ジンケンヒ</t>
    </rPh>
    <rPh sb="15" eb="17">
      <t>コウジョウ</t>
    </rPh>
    <rPh sb="17" eb="19">
      <t>イガイ</t>
    </rPh>
    <rPh sb="21" eb="23">
      <t>コウコク</t>
    </rPh>
    <rPh sb="23" eb="26">
      <t>センデンヒ</t>
    </rPh>
    <rPh sb="29" eb="30">
      <t>タ</t>
    </rPh>
    <rPh sb="30" eb="32">
      <t>イッパン</t>
    </rPh>
    <rPh sb="32" eb="35">
      <t>カンリヒ</t>
    </rPh>
    <rPh sb="36" eb="37">
      <t>ヒ</t>
    </rPh>
    <rPh sb="39" eb="41">
      <t>キンガク</t>
    </rPh>
    <phoneticPr fontId="7"/>
  </si>
  <si>
    <t xml:space="preserve">売上総利益　－　（物流費＋人件費（工場以外）＋広告宣伝費＋その他一般経費）
</t>
    <rPh sb="0" eb="2">
      <t>ウリアゲ</t>
    </rPh>
    <rPh sb="2" eb="5">
      <t>ソウリエキ</t>
    </rPh>
    <rPh sb="9" eb="11">
      <t>ブツリュウ</t>
    </rPh>
    <rPh sb="11" eb="12">
      <t>ヒ</t>
    </rPh>
    <rPh sb="13" eb="16">
      <t>ジンケンヒ</t>
    </rPh>
    <rPh sb="17" eb="19">
      <t>コウジョウ</t>
    </rPh>
    <rPh sb="19" eb="21">
      <t>イガイ</t>
    </rPh>
    <rPh sb="23" eb="25">
      <t>コウコク</t>
    </rPh>
    <rPh sb="25" eb="28">
      <t>センデンヒ</t>
    </rPh>
    <rPh sb="31" eb="32">
      <t>タ</t>
    </rPh>
    <rPh sb="32" eb="34">
      <t>イッパン</t>
    </rPh>
    <rPh sb="34" eb="36">
      <t>ケイヒ</t>
    </rPh>
    <phoneticPr fontId="7"/>
  </si>
  <si>
    <t>円</t>
    <rPh sb="0" eb="1">
      <t>エン</t>
    </rPh>
    <phoneticPr fontId="7"/>
  </si>
  <si>
    <t>ロッテ業績超簡易版</t>
    <rPh sb="3" eb="5">
      <t>ギョウセキ</t>
    </rPh>
    <rPh sb="5" eb="6">
      <t>チョウ</t>
    </rPh>
    <rPh sb="6" eb="9">
      <t>カンイバン</t>
    </rPh>
    <phoneticPr fontId="7"/>
  </si>
  <si>
    <t>中長期計画共有, SCM企画課MT,0422MTGメモ, パレタイズ調査</t>
    <phoneticPr fontId="7"/>
  </si>
  <si>
    <t>中長期計画共有（オーバーハング商品の現状把握・梱包変更検討）, SCM企画課MT,パレタイズ管理・物流コスト管理</t>
    <phoneticPr fontId="7"/>
  </si>
  <si>
    <t>中長期計画共有（積載率向上・オーバーハング改善）,
SCM会議（物流効率化法対応・積載効率改善）</t>
    <phoneticPr fontId="7"/>
  </si>
  <si>
    <t>SCM会議, 第3回SCM議事録, 中長期計画共有</t>
    <rPh sb="18" eb="21">
      <t>チュウチョウキ</t>
    </rPh>
    <rPh sb="21" eb="23">
      <t>ケイカク</t>
    </rPh>
    <rPh sb="23" eb="25">
      <t>キョウユウ</t>
    </rPh>
    <phoneticPr fontId="7"/>
  </si>
  <si>
    <t>帰り荷</t>
    <phoneticPr fontId="7"/>
  </si>
  <si>
    <t>バラ</t>
    <phoneticPr fontId="7"/>
  </si>
  <si>
    <t>輸配送管理・物流コスト管理・中長期計画</t>
    <rPh sb="14" eb="17">
      <t>チュウチョウキ</t>
    </rPh>
    <rPh sb="17" eb="19">
      <t>ケイカク</t>
    </rPh>
    <phoneticPr fontId="7"/>
  </si>
  <si>
    <t>0422MTGメモ, 中長期計画共有</t>
    <rPh sb="11" eb="14">
      <t>チュウチョウキ</t>
    </rPh>
    <rPh sb="14" eb="16">
      <t>ケイカク</t>
    </rPh>
    <rPh sb="16" eb="18">
      <t>キョウユウ</t>
    </rPh>
    <phoneticPr fontId="7"/>
  </si>
  <si>
    <t>棚貸し在庫補充</t>
    <rPh sb="3" eb="5">
      <t>ザイコ</t>
    </rPh>
    <rPh sb="5" eb="7">
      <t>ホジュウ</t>
    </rPh>
    <phoneticPr fontId="7"/>
  </si>
  <si>
    <t>卸・小売の倉庫スペースをロッテが借り受け（棚貸し）、在庫を補充・管理する方式。棚貸しへの移管数量決定・配車依頼・STS登録等の業務が発生する。</t>
    <rPh sb="39" eb="40">
      <t>タナ</t>
    </rPh>
    <rPh sb="40" eb="41">
      <t>カ</t>
    </rPh>
    <phoneticPr fontId="7"/>
  </si>
  <si>
    <t>第一倉庫冷蔵</t>
    <phoneticPr fontId="7"/>
  </si>
  <si>
    <t>合通カシロジ 大堀</t>
    <phoneticPr fontId="7"/>
  </si>
  <si>
    <t>宗像陸運</t>
    <phoneticPr fontId="7"/>
  </si>
  <si>
    <t>ライフサポートエガワ戸田</t>
    <phoneticPr fontId="7"/>
  </si>
  <si>
    <t>ライフサポートエガワ川口</t>
    <phoneticPr fontId="7"/>
  </si>
  <si>
    <t>岡山土地倉庫</t>
    <phoneticPr fontId="7"/>
  </si>
  <si>
    <t>合通カシロジ 一宮</t>
    <phoneticPr fontId="7"/>
  </si>
  <si>
    <t>中京倉庫</t>
    <phoneticPr fontId="7"/>
  </si>
  <si>
    <t>ライフサポートエガワ東北</t>
    <phoneticPr fontId="7"/>
  </si>
  <si>
    <t>札幌通運</t>
    <phoneticPr fontId="7"/>
  </si>
  <si>
    <t>純売ベース、純売</t>
    <phoneticPr fontId="7"/>
  </si>
  <si>
    <t>純売上高</t>
    <phoneticPr fontId="7"/>
  </si>
  <si>
    <t>倉入</t>
    <phoneticPr fontId="7"/>
  </si>
  <si>
    <t>中長期計画ver1</t>
    <phoneticPr fontId="7"/>
  </si>
  <si>
    <t>中長期計画書試作版</t>
    <rPh sb="0" eb="6">
      <t>チュウチョウキケイカクショ</t>
    </rPh>
    <rPh sb="6" eb="9">
      <t>シサクバン</t>
    </rPh>
    <phoneticPr fontId="7"/>
  </si>
  <si>
    <t>荷待ち荷役時時間状況</t>
    <rPh sb="0" eb="2">
      <t>ニマ</t>
    </rPh>
    <rPh sb="3" eb="5">
      <t>ニエキ</t>
    </rPh>
    <rPh sb="5" eb="6">
      <t>ジ</t>
    </rPh>
    <rPh sb="6" eb="8">
      <t>ジカン</t>
    </rPh>
    <rPh sb="8" eb="10">
      <t>ジョウキョウ</t>
    </rPh>
    <phoneticPr fontId="7"/>
  </si>
  <si>
    <t>トラック簿</t>
    <rPh sb="4" eb="5">
      <t>ボ</t>
    </rPh>
    <phoneticPr fontId="7"/>
  </si>
  <si>
    <t>ハコベル社のシステムであり、自社4工場に導入済み。本システムに登録されたデータをベースに、荷待ち・荷役時間の分析を実施する</t>
    <rPh sb="4" eb="5">
      <t>シャ</t>
    </rPh>
    <rPh sb="14" eb="16">
      <t>ジシャ</t>
    </rPh>
    <rPh sb="17" eb="19">
      <t>コウジョウ</t>
    </rPh>
    <rPh sb="20" eb="22">
      <t>ドウニュウ</t>
    </rPh>
    <rPh sb="22" eb="23">
      <t>ズ</t>
    </rPh>
    <rPh sb="25" eb="26">
      <t>ホン</t>
    </rPh>
    <rPh sb="31" eb="33">
      <t>トウロク</t>
    </rPh>
    <rPh sb="45" eb="47">
      <t>ニマ</t>
    </rPh>
    <rPh sb="49" eb="53">
      <t>ニエキジカン</t>
    </rPh>
    <rPh sb="54" eb="56">
      <t>ブンセキ</t>
    </rPh>
    <rPh sb="57" eb="59">
      <t>ジッシ</t>
    </rPh>
    <phoneticPr fontId="7"/>
  </si>
  <si>
    <t>荷待ち・荷役時間</t>
    <rPh sb="0" eb="2">
      <t>ニマ</t>
    </rPh>
    <rPh sb="4" eb="6">
      <t>ニエキ</t>
    </rPh>
    <rPh sb="6" eb="8">
      <t>ジカン</t>
    </rPh>
    <phoneticPr fontId="7"/>
  </si>
  <si>
    <t>待機+作業2時間超の台数</t>
    <rPh sb="0" eb="2">
      <t>タイキ</t>
    </rPh>
    <rPh sb="3" eb="5">
      <t>サギョウ</t>
    </rPh>
    <rPh sb="6" eb="8">
      <t>ジカン</t>
    </rPh>
    <rPh sb="8" eb="9">
      <t>チョウ</t>
    </rPh>
    <rPh sb="10" eb="12">
      <t>ダイスウ</t>
    </rPh>
    <phoneticPr fontId="7"/>
  </si>
  <si>
    <t>遅延車両数</t>
    <rPh sb="0" eb="2">
      <t>チエン</t>
    </rPh>
    <rPh sb="2" eb="4">
      <t>シャリョウ</t>
    </rPh>
    <rPh sb="4" eb="5">
      <t>スウ</t>
    </rPh>
    <phoneticPr fontId="7"/>
  </si>
  <si>
    <t>待機+作業平均時間</t>
    <rPh sb="0" eb="2">
      <t>タイキ</t>
    </rPh>
    <rPh sb="3" eb="5">
      <t>サギョウ</t>
    </rPh>
    <rPh sb="5" eb="7">
      <t>ヘイキン</t>
    </rPh>
    <rPh sb="7" eb="9">
      <t>ジカン</t>
    </rPh>
    <phoneticPr fontId="7"/>
  </si>
  <si>
    <t>hh:mm</t>
    <phoneticPr fontId="7"/>
  </si>
  <si>
    <t>台</t>
    <rPh sb="0" eb="1">
      <t>ダイ</t>
    </rPh>
    <phoneticPr fontId="7"/>
  </si>
  <si>
    <t>平均待機時間+平均作業時間が2時間を超える台数。工場に対して、要因把握と改善要望・提案を実施する必要がある</t>
    <rPh sb="0" eb="4">
      <t>ヘイキンタイキ</t>
    </rPh>
    <rPh sb="4" eb="6">
      <t>ジカン</t>
    </rPh>
    <rPh sb="7" eb="11">
      <t>ヘイキンサギョウ</t>
    </rPh>
    <rPh sb="11" eb="13">
      <t>ジカン</t>
    </rPh>
    <rPh sb="15" eb="17">
      <t>ジカン</t>
    </rPh>
    <rPh sb="18" eb="19">
      <t>コ</t>
    </rPh>
    <rPh sb="21" eb="23">
      <t>ダイスウ</t>
    </rPh>
    <rPh sb="24" eb="26">
      <t>コウジョウ</t>
    </rPh>
    <rPh sb="27" eb="28">
      <t>タイ</t>
    </rPh>
    <rPh sb="31" eb="35">
      <t>ヨウインハアク</t>
    </rPh>
    <rPh sb="36" eb="40">
      <t>カイゼンヨウボウ</t>
    </rPh>
    <rPh sb="41" eb="43">
      <t>テイアン</t>
    </rPh>
    <rPh sb="44" eb="46">
      <t>ジッシ</t>
    </rPh>
    <rPh sb="48" eb="50">
      <t>ヒツヨウ</t>
    </rPh>
    <phoneticPr fontId="7"/>
  </si>
  <si>
    <t>【中京倉庫株式会社 御中】荷待ち荷役時間まとめ</t>
    <phoneticPr fontId="7"/>
  </si>
  <si>
    <t>【予約システム】浦和工場</t>
    <phoneticPr fontId="7"/>
  </si>
  <si>
    <t>入庫チェック表</t>
    <phoneticPr fontId="7"/>
  </si>
  <si>
    <t>受付日報(1月分)</t>
    <phoneticPr fontId="7"/>
  </si>
  <si>
    <t>荷待ち荷役時時間状況、【予約システム】浦和工場</t>
    <rPh sb="0" eb="2">
      <t>ニマ</t>
    </rPh>
    <rPh sb="3" eb="5">
      <t>ニエキ</t>
    </rPh>
    <rPh sb="5" eb="6">
      <t>ジ</t>
    </rPh>
    <rPh sb="6" eb="8">
      <t>ジカン</t>
    </rPh>
    <rPh sb="8" eb="10">
      <t>ジョウキョウ</t>
    </rPh>
    <phoneticPr fontId="7"/>
  </si>
  <si>
    <t>待機時間</t>
    <rPh sb="0" eb="4">
      <t>タイキジカン</t>
    </rPh>
    <phoneticPr fontId="7"/>
  </si>
  <si>
    <t>作業時間</t>
    <rPh sb="0" eb="4">
      <t>サギョウジカン</t>
    </rPh>
    <phoneticPr fontId="7"/>
  </si>
  <si>
    <t>（0:00込）平均待機時間</t>
    <rPh sb="5" eb="6">
      <t>コ</t>
    </rPh>
    <rPh sb="7" eb="9">
      <t>ヘイキン</t>
    </rPh>
    <rPh sb="9" eb="13">
      <t>タイキジカン</t>
    </rPh>
    <phoneticPr fontId="7"/>
  </si>
  <si>
    <t>（0:00抜）平均待機時間</t>
    <rPh sb="5" eb="6">
      <t>ヌ</t>
    </rPh>
    <rPh sb="7" eb="9">
      <t>ヘイキン</t>
    </rPh>
    <rPh sb="9" eb="13">
      <t>タイキジカン</t>
    </rPh>
    <phoneticPr fontId="7"/>
  </si>
  <si>
    <t>待機時間0分の車両も込みで算出した平均時間。平均待機時間が短く算出される</t>
    <rPh sb="0" eb="4">
      <t>タイキジカン</t>
    </rPh>
    <rPh sb="5" eb="6">
      <t>フン</t>
    </rPh>
    <rPh sb="7" eb="9">
      <t>シャリョウ</t>
    </rPh>
    <rPh sb="10" eb="11">
      <t>コ</t>
    </rPh>
    <rPh sb="13" eb="15">
      <t>サンシュツ</t>
    </rPh>
    <rPh sb="17" eb="21">
      <t>ヘイキンジカン</t>
    </rPh>
    <rPh sb="22" eb="28">
      <t>ヘイキンタイキジカン</t>
    </rPh>
    <rPh sb="29" eb="30">
      <t>ミジカ</t>
    </rPh>
    <rPh sb="31" eb="33">
      <t>サンシュツ</t>
    </rPh>
    <phoneticPr fontId="7"/>
  </si>
  <si>
    <t>待機時間0分の車両は抜きで算出した平均時間。平均待機時間が長く算出される</t>
    <rPh sb="0" eb="4">
      <t>タイキジカン</t>
    </rPh>
    <rPh sb="5" eb="6">
      <t>フン</t>
    </rPh>
    <rPh sb="7" eb="9">
      <t>シャリョウ</t>
    </rPh>
    <rPh sb="10" eb="11">
      <t>ヌ</t>
    </rPh>
    <rPh sb="13" eb="15">
      <t>サンシュツ</t>
    </rPh>
    <rPh sb="17" eb="21">
      <t>ヘイキンジカン</t>
    </rPh>
    <rPh sb="22" eb="24">
      <t>ヘイキン</t>
    </rPh>
    <rPh sb="24" eb="28">
      <t>タイキジカン</t>
    </rPh>
    <rPh sb="29" eb="30">
      <t>ナガ</t>
    </rPh>
    <rPh sb="31" eb="33">
      <t>サンシュツ</t>
    </rPh>
    <phoneticPr fontId="7"/>
  </si>
  <si>
    <t>予約台数</t>
    <rPh sb="0" eb="4">
      <t>ヨヤクダイスウ</t>
    </rPh>
    <phoneticPr fontId="7"/>
  </si>
  <si>
    <t>受付済台数</t>
    <rPh sb="0" eb="3">
      <t>ウケツケズ</t>
    </rPh>
    <rPh sb="3" eb="5">
      <t>ダイスウ</t>
    </rPh>
    <phoneticPr fontId="7"/>
  </si>
  <si>
    <t>ドライバーが受付した時間をもとにした、時間帯別の台数</t>
    <rPh sb="6" eb="8">
      <t>ウケツケ</t>
    </rPh>
    <rPh sb="10" eb="12">
      <t>ジカン</t>
    </rPh>
    <rPh sb="19" eb="23">
      <t>ジカンタイベツ</t>
    </rPh>
    <rPh sb="24" eb="26">
      <t>ダイスウ</t>
    </rPh>
    <phoneticPr fontId="7"/>
  </si>
  <si>
    <t>確定時予約開始日時をもとにした、時間帯別の台数</t>
    <rPh sb="0" eb="3">
      <t>カクテイジ</t>
    </rPh>
    <rPh sb="3" eb="9">
      <t>ヨヤクカイシニチジ</t>
    </rPh>
    <rPh sb="16" eb="20">
      <t>ジカンタイベツ</t>
    </rPh>
    <rPh sb="21" eb="23">
      <t>ダイスウ</t>
    </rPh>
    <phoneticPr fontId="7"/>
  </si>
  <si>
    <t>台数差（絶対値）</t>
    <rPh sb="0" eb="2">
      <t>ダイスウ</t>
    </rPh>
    <rPh sb="2" eb="3">
      <t>サ</t>
    </rPh>
    <rPh sb="4" eb="6">
      <t>ゼッタイ</t>
    </rPh>
    <rPh sb="6" eb="7">
      <t>チ</t>
    </rPh>
    <phoneticPr fontId="7"/>
  </si>
  <si>
    <t>対象のバースを全バースの利用回数で割り返し算出</t>
    <rPh sb="0" eb="2">
      <t>タイショウ</t>
    </rPh>
    <rPh sb="7" eb="8">
      <t>ゼン</t>
    </rPh>
    <rPh sb="12" eb="14">
      <t>リヨウ</t>
    </rPh>
    <rPh sb="14" eb="16">
      <t>カイスウ</t>
    </rPh>
    <rPh sb="17" eb="18">
      <t>ワ</t>
    </rPh>
    <rPh sb="19" eb="20">
      <t>カエ</t>
    </rPh>
    <rPh sb="21" eb="23">
      <t>サンシュツ</t>
    </rPh>
    <phoneticPr fontId="7"/>
  </si>
  <si>
    <t>対象バースの利用回数÷全バースの利用回数</t>
    <rPh sb="0" eb="2">
      <t>タイショウ</t>
    </rPh>
    <rPh sb="6" eb="8">
      <t>リヨウ</t>
    </rPh>
    <rPh sb="8" eb="10">
      <t>カイスウ</t>
    </rPh>
    <rPh sb="11" eb="12">
      <t>ゼン</t>
    </rPh>
    <rPh sb="16" eb="18">
      <t>リヨウ</t>
    </rPh>
    <rPh sb="18" eb="20">
      <t>カイスウ</t>
    </rPh>
    <phoneticPr fontId="7"/>
  </si>
  <si>
    <t>予約よりも早い場合は、予約時間から作業開始までの時間を指す。予約よりも遅い場合は、受付時間から作業開始までの時間を指す</t>
    <rPh sb="0" eb="2">
      <t>ヨヤク</t>
    </rPh>
    <rPh sb="5" eb="6">
      <t>ハヤ</t>
    </rPh>
    <rPh sb="7" eb="9">
      <t>バアイ</t>
    </rPh>
    <rPh sb="11" eb="15">
      <t>ヨヤクジカン</t>
    </rPh>
    <rPh sb="17" eb="19">
      <t>サギョウ</t>
    </rPh>
    <rPh sb="19" eb="21">
      <t>カイシ</t>
    </rPh>
    <rPh sb="24" eb="26">
      <t>ジカン</t>
    </rPh>
    <rPh sb="27" eb="28">
      <t>サ</t>
    </rPh>
    <rPh sb="30" eb="32">
      <t>ヨヤク</t>
    </rPh>
    <rPh sb="35" eb="36">
      <t>オソ</t>
    </rPh>
    <rPh sb="37" eb="39">
      <t>バアイ</t>
    </rPh>
    <rPh sb="41" eb="43">
      <t>ウケツケ</t>
    </rPh>
    <rPh sb="43" eb="45">
      <t>ジカン</t>
    </rPh>
    <rPh sb="47" eb="49">
      <t>サギョウ</t>
    </rPh>
    <rPh sb="49" eb="51">
      <t>カイシ</t>
    </rPh>
    <rPh sb="54" eb="56">
      <t>ジカン</t>
    </rPh>
    <rPh sb="57" eb="58">
      <t>サ</t>
    </rPh>
    <phoneticPr fontId="7"/>
  </si>
  <si>
    <t>作業開始から作業終了までの時間</t>
    <rPh sb="0" eb="2">
      <t>サギョウ</t>
    </rPh>
    <rPh sb="2" eb="4">
      <t>カイシ</t>
    </rPh>
    <rPh sb="6" eb="10">
      <t>サギョウシュウリョウ</t>
    </rPh>
    <rPh sb="13" eb="15">
      <t>ジカン</t>
    </rPh>
    <phoneticPr fontId="7"/>
  </si>
  <si>
    <t>待機時間合計÷車両台数</t>
    <rPh sb="0" eb="4">
      <t>タイキジカン</t>
    </rPh>
    <rPh sb="4" eb="6">
      <t>ゴウケイ</t>
    </rPh>
    <rPh sb="7" eb="11">
      <t>シャリョウダイスウ</t>
    </rPh>
    <phoneticPr fontId="7"/>
  </si>
  <si>
    <t>予約時間より早い車両の平均時間</t>
    <rPh sb="0" eb="4">
      <t>ヨヤクジカン</t>
    </rPh>
    <rPh sb="6" eb="7">
      <t>ハヤ</t>
    </rPh>
    <rPh sb="8" eb="10">
      <t>シャリョウ</t>
    </rPh>
    <rPh sb="11" eb="13">
      <t>ヘイキン</t>
    </rPh>
    <rPh sb="13" eb="15">
      <t>ジカン</t>
    </rPh>
    <phoneticPr fontId="7"/>
  </si>
  <si>
    <t>予約時間より遅い車両の平均時間</t>
    <rPh sb="0" eb="4">
      <t>ヨヤクジカン</t>
    </rPh>
    <rPh sb="6" eb="7">
      <t>オソ</t>
    </rPh>
    <rPh sb="8" eb="10">
      <t>シャリョウ</t>
    </rPh>
    <rPh sb="11" eb="13">
      <t>ヘイキン</t>
    </rPh>
    <rPh sb="13" eb="15">
      <t>ジカン</t>
    </rPh>
    <phoneticPr fontId="7"/>
  </si>
  <si>
    <t>パルク</t>
    <phoneticPr fontId="7"/>
  </si>
  <si>
    <t>CS</t>
    <phoneticPr fontId="7"/>
  </si>
  <si>
    <t>業務用アイスの生販在計画表における分類区分の一つ。飲食店・給食施設等の業務用途向けに大容量で提供されるアイス製品群の合計。ベーシック・バラエティ・フルーツソルベ・匠のジェラート・留型バルクの5品目で構成される。</t>
    <phoneticPr fontId="7"/>
  </si>
  <si>
    <t>ベーシック + バラエティ + フルーツソルベ + 匠のジェラート + 留型バルク</t>
    <phoneticPr fontId="7"/>
  </si>
  <si>
    <t>業務用アイス生販在計画表</t>
  </si>
  <si>
    <t>業務用アイス生販在計画表</t>
    <phoneticPr fontId="7"/>
  </si>
  <si>
    <t>業務用アイスの生販在計画表における最大集計区分。外食産業・給食施設等の業務用チャネル向けアイス製品全体の合計。バルク計・その他計・幹旋品の3区分で構成される。</t>
    <phoneticPr fontId="7"/>
  </si>
  <si>
    <t>業務用</t>
    <phoneticPr fontId="7"/>
  </si>
  <si>
    <t>バルク計 + その他計 + 幹旋品</t>
    <phoneticPr fontId="7"/>
  </si>
  <si>
    <t>幹旋品</t>
  </si>
  <si>
    <t>斡旋品</t>
    <phoneticPr fontId="7"/>
  </si>
  <si>
    <t>業務用アイスの生販在計画表における分類区分の一つ。外食・給食チャネル向けに、ロッテが取引先（卸・代理店等）を介して斡旋・仲介販売する形態の製品群。バルク計・その他計とは別管理。</t>
    <phoneticPr fontId="7"/>
  </si>
  <si>
    <t>入数</t>
    <phoneticPr fontId="7"/>
  </si>
  <si>
    <t>1ケース（CS）あたりに入る商品の個数。生販在計画表において、商品マスタ情報として品目行ごとに固定値で記載される。CS単位の生産・在庫数量を個数に換算する際の基準値として使用される。</t>
    <phoneticPr fontId="7"/>
  </si>
  <si>
    <t>個数 ÷ CS数（マスタ値として固定）</t>
    <phoneticPr fontId="7"/>
  </si>
  <si>
    <t>個/CS</t>
  </si>
  <si>
    <t>現行</t>
    <phoneticPr fontId="7"/>
  </si>
  <si>
    <t>生販在計画表において、直近の確定済み在庫数量を示す列計画の起点となる実績ベースの在庫数。以降の生産・販売計画の算出基準として参照される。</t>
    <phoneticPr fontId="7"/>
  </si>
  <si>
    <t>新</t>
    <phoneticPr fontId="7"/>
  </si>
  <si>
    <t>生販在計画表において、当該月末調整会議での修正・更新後の計画在庫数量を示す列。「現行」に対して、生産・販売計画の見直しを反映した最新計画値。「現行」との差分が調整量となる。</t>
    <phoneticPr fontId="7"/>
  </si>
  <si>
    <t>・単位要確認</t>
    <rPh sb="1" eb="3">
      <t>タンイ</t>
    </rPh>
    <rPh sb="3" eb="6">
      <t>ヨウカクニン</t>
    </rPh>
    <phoneticPr fontId="7"/>
  </si>
  <si>
    <t>・「現行」より「新」の期日の方が昔であり、定義は要確認</t>
    <rPh sb="2" eb="4">
      <t>ゲンコウ</t>
    </rPh>
    <rPh sb="8" eb="9">
      <t>シン</t>
    </rPh>
    <rPh sb="11" eb="13">
      <t>キジツ</t>
    </rPh>
    <rPh sb="14" eb="15">
      <t>ホウ</t>
    </rPh>
    <rPh sb="16" eb="17">
      <t>ムカシ</t>
    </rPh>
    <rPh sb="21" eb="23">
      <t>テイギ</t>
    </rPh>
    <rPh sb="24" eb="27">
      <t>ヨウカクニン</t>
    </rPh>
    <phoneticPr fontId="7"/>
  </si>
  <si>
    <t>月末事前アイス業,月末事前アイス市</t>
    <rPh sb="16" eb="17">
      <t>イチ</t>
    </rPh>
    <phoneticPr fontId="7"/>
  </si>
  <si>
    <t>市販用</t>
    <rPh sb="0" eb="2">
      <t>シハン</t>
    </rPh>
    <rPh sb="2" eb="3">
      <t>ヨウ</t>
    </rPh>
    <phoneticPr fontId="7"/>
  </si>
  <si>
    <t>市販用アイスの生販在計画表における最大集計区分。スーパー・CVS・ドラッグストア等の小売チャネル向けアイス製品全体の合計。主要ブランド計とその他計の2区分で構成される。業務用計とは別帳票・別予算で管理される。</t>
    <phoneticPr fontId="7"/>
  </si>
  <si>
    <t>主要ブランド計 + その他計</t>
    <phoneticPr fontId="7"/>
  </si>
  <si>
    <t>SCM費</t>
    <rPh sb="3" eb="4">
      <t>ヒ</t>
    </rPh>
    <phoneticPr fontId="7"/>
  </si>
  <si>
    <r>
      <t xml:space="preserve">倉庫での保管費および入出庫の荷役作業費。SCM費の構成項目の一つ。総売比で管理し、アイスは保管量が季節変動するため比率が大きくなる。
</t>
    </r>
    <r>
      <rPr>
        <b/>
        <sz val="10"/>
        <color rgb="FFFF0000"/>
        <rFont val="Meiryo UI"/>
        <family val="3"/>
        <charset val="128"/>
      </rPr>
      <t>→運賃保管料とは何が違う？</t>
    </r>
    <rPh sb="68" eb="70">
      <t>ウンチン</t>
    </rPh>
    <rPh sb="70" eb="73">
      <t>ホカンリョウ</t>
    </rPh>
    <rPh sb="75" eb="76">
      <t>ナニ</t>
    </rPh>
    <rPh sb="77" eb="78">
      <t>チガ</t>
    </rPh>
    <phoneticPr fontId="7"/>
  </si>
  <si>
    <t>在庫日数</t>
    <phoneticPr fontId="7"/>
  </si>
  <si>
    <t>SCM費、物流費</t>
    <rPh sb="3" eb="4">
      <t>ヒ</t>
    </rPh>
    <rPh sb="5" eb="8">
      <t>ブツリュウヒ</t>
    </rPh>
    <phoneticPr fontId="7"/>
  </si>
  <si>
    <t>01_売上</t>
    <rPh sb="3" eb="5">
      <t>ウリアゲ</t>
    </rPh>
    <phoneticPr fontId="7"/>
  </si>
  <si>
    <t>02_原価</t>
    <rPh sb="3" eb="5">
      <t>ゲンカ</t>
    </rPh>
    <phoneticPr fontId="7"/>
  </si>
  <si>
    <t>04_利益・損失</t>
    <rPh sb="3" eb="5">
      <t>リエキ</t>
    </rPh>
    <rPh sb="6" eb="8">
      <t>ソンシツ</t>
    </rPh>
    <phoneticPr fontId="7"/>
  </si>
  <si>
    <t>03_販管費</t>
    <rPh sb="3" eb="6">
      <t>ハンカンヒ</t>
    </rPh>
    <phoneticPr fontId="7"/>
  </si>
  <si>
    <t>05_資産・負債</t>
    <rPh sb="3" eb="5">
      <t>シサン</t>
    </rPh>
    <rPh sb="6" eb="8">
      <t>フサイ</t>
    </rPh>
    <phoneticPr fontId="7"/>
  </si>
  <si>
    <t>06_生産</t>
    <rPh sb="3" eb="5">
      <t>セイサン</t>
    </rPh>
    <phoneticPr fontId="7"/>
  </si>
  <si>
    <t>07_販売</t>
    <rPh sb="3" eb="5">
      <t>ハンバイ</t>
    </rPh>
    <phoneticPr fontId="7"/>
  </si>
  <si>
    <t>08_SCM</t>
    <phoneticPr fontId="7"/>
  </si>
  <si>
    <t>09_商品名・ブランド</t>
    <rPh sb="3" eb="6">
      <t>ショウヒンメイ</t>
    </rPh>
    <phoneticPr fontId="7"/>
  </si>
  <si>
    <t>10_システム</t>
    <phoneticPr fontId="7"/>
  </si>
  <si>
    <t>11_組織</t>
    <rPh sb="3" eb="5">
      <t>ソシキ</t>
    </rPh>
    <phoneticPr fontId="7"/>
  </si>
  <si>
    <t>12_人材</t>
    <rPh sb="3" eb="5">
      <t>ジンザイ</t>
    </rPh>
    <phoneticPr fontId="7"/>
  </si>
  <si>
    <t>13_業務・プロジェクト</t>
    <rPh sb="3" eb="5">
      <t>ギョウム</t>
    </rPh>
    <phoneticPr fontId="7"/>
  </si>
  <si>
    <t>14_その他</t>
    <rPh sb="5" eb="6">
      <t>タ</t>
    </rPh>
    <phoneticPr fontId="7"/>
  </si>
  <si>
    <t>生販会議（確認値）</t>
    <rPh sb="0" eb="1">
      <t>ショウ</t>
    </rPh>
    <rPh sb="1" eb="2">
      <t>ハン</t>
    </rPh>
    <rPh sb="2" eb="4">
      <t>カイギ</t>
    </rPh>
    <rPh sb="5" eb="7">
      <t>カクニン</t>
    </rPh>
    <rPh sb="7" eb="8">
      <t>チ</t>
    </rPh>
    <phoneticPr fontId="7"/>
  </si>
  <si>
    <t>生産計画と販売計画をすり合わせるためにSCM需給部が主催する月次定例会議。前月の販売振り返りと翌月以降の販売見込みをカテゴリごとに確認し、生産計画へ反映する。</t>
    <phoneticPr fontId="7"/>
  </si>
  <si>
    <r>
      <t>整版会議において使用される、生産・販売・在庫の見込と実績の金額。</t>
    </r>
    <r>
      <rPr>
        <b/>
        <sz val="10"/>
        <color rgb="FFFF0000"/>
        <rFont val="Meiryo UI"/>
        <family val="3"/>
        <charset val="128"/>
      </rPr>
      <t>国内営業数字に新領域、グローバルを含んだもの</t>
    </r>
    <rPh sb="0" eb="4">
      <t>セイハンカイギ</t>
    </rPh>
    <rPh sb="8" eb="10">
      <t>シヨウ</t>
    </rPh>
    <rPh sb="14" eb="16">
      <t>セイサン</t>
    </rPh>
    <rPh sb="17" eb="19">
      <t>ハンバイ</t>
    </rPh>
    <rPh sb="20" eb="22">
      <t>ザイコ</t>
    </rPh>
    <rPh sb="23" eb="25">
      <t>ミコミ</t>
    </rPh>
    <rPh sb="26" eb="28">
      <t>ジッセキ</t>
    </rPh>
    <rPh sb="29" eb="31">
      <t>キンガク</t>
    </rPh>
    <rPh sb="32" eb="36">
      <t>コクナイエイギョウ</t>
    </rPh>
    <rPh sb="36" eb="38">
      <t>スウジ</t>
    </rPh>
    <rPh sb="39" eb="42">
      <t>シンリョウイキ</t>
    </rPh>
    <rPh sb="49" eb="50">
      <t>フク</t>
    </rPh>
    <phoneticPr fontId="7"/>
  </si>
  <si>
    <t>SCM本部会議（生販会議の振り返り）</t>
    <rPh sb="3" eb="5">
      <t>ホンブ</t>
    </rPh>
    <rPh sb="5" eb="7">
      <t>カイギ</t>
    </rPh>
    <rPh sb="8" eb="9">
      <t>ショウ</t>
    </rPh>
    <rPh sb="9" eb="10">
      <t>ハン</t>
    </rPh>
    <rPh sb="10" eb="12">
      <t>カイギ</t>
    </rPh>
    <rPh sb="13" eb="14">
      <t>フ</t>
    </rPh>
    <rPh sb="15" eb="16">
      <t>カエ</t>
    </rPh>
    <phoneticPr fontId="7"/>
  </si>
  <si>
    <t>生販会議, SCM本部会議全体</t>
    <phoneticPr fontId="7"/>
  </si>
  <si>
    <t>SCM本部会議全体</t>
    <phoneticPr fontId="7"/>
  </si>
  <si>
    <t>パレット数</t>
    <rPh sb="4" eb="5">
      <t>スウ</t>
    </rPh>
    <phoneticPr fontId="7"/>
  </si>
  <si>
    <t>月次工程表（業務用アイスバルク）において、当該日に生産される全品目の生産量をパレット単位に換算した合計数。日ごとに計画値・実績値が管理され、工場の生産能力・出荷スペースの把握に使用される。</t>
    <phoneticPr fontId="7"/>
  </si>
  <si>
    <t>各品目の生産CS数 ÷ 1パレットあたり積載CS数 の合計</t>
    <phoneticPr fontId="7"/>
  </si>
  <si>
    <t>パレット（枚）</t>
    <phoneticPr fontId="7"/>
  </si>
  <si>
    <t>月次工程表</t>
    <phoneticPr fontId="7"/>
  </si>
  <si>
    <t>月次工程表において、当該日に実施するアイス製品の充填作業（容器への充填・成型）に要する時間。品目ごとの充填速度と生産CS数をもとに算出され、日別の充填ライン稼働計画の基準となる。</t>
    <phoneticPr fontId="7"/>
  </si>
  <si>
    <t>各品目の生産CS数 ÷ 充填速度（CS/時） の合計</t>
    <phoneticPr fontId="7"/>
  </si>
  <si>
    <t>時間（h）</t>
    <phoneticPr fontId="7"/>
  </si>
  <si>
    <t>08_SCM</t>
  </si>
  <si>
    <t>生産時間</t>
    <rPh sb="0" eb="2">
      <t>セイサン</t>
    </rPh>
    <rPh sb="2" eb="4">
      <t>ジカン</t>
    </rPh>
    <phoneticPr fontId="7"/>
  </si>
  <si>
    <t>月次工程表において、充填時間に段取り・洗浄・切替え等の付帯作業時間を加えた、当該日の生産ライン全体の所要時間。充填時間と異なりマイナス値（▲）が生じる場合があり、これは休日・非稼働日または前後日への生産振替を示す</t>
    <phoneticPr fontId="7"/>
  </si>
  <si>
    <t>充填時間 + 段取り・洗浄・切替え等の付帯時間</t>
    <phoneticPr fontId="7"/>
  </si>
  <si>
    <t>直接人員、ライン人員</t>
    <rPh sb="8" eb="10">
      <t>ジンイン</t>
    </rPh>
    <phoneticPr fontId="7"/>
  </si>
  <si>
    <t>工程浦和アイス市</t>
    <phoneticPr fontId="7"/>
  </si>
  <si>
    <t>工程九州菓子.工程狭山、工程浦和アイス市</t>
    <rPh sb="7" eb="11">
      <t>コウテイサヤマ</t>
    </rPh>
    <phoneticPr fontId="7"/>
  </si>
  <si>
    <t>ライン数（夜勤）</t>
    <phoneticPr fontId="7"/>
  </si>
  <si>
    <t>本</t>
    <rPh sb="0" eb="1">
      <t>ホン</t>
    </rPh>
    <phoneticPr fontId="7"/>
  </si>
  <si>
    <t>月次工程表</t>
    <rPh sb="0" eb="5">
      <t>ゲツジコウテイヒョウ</t>
    </rPh>
    <phoneticPr fontId="7"/>
  </si>
  <si>
    <t>夜勤人員</t>
    <phoneticPr fontId="7"/>
  </si>
  <si>
    <t>当該日の夜勤帯に生産ラインに従事する人員数。ライン人員のうち夜勤シフトに配置された人数を示す。</t>
    <phoneticPr fontId="7"/>
  </si>
  <si>
    <t>直人員必要</t>
    <phoneticPr fontId="7"/>
  </si>
  <si>
    <t>当該日の生産計画を遂行するために必要な直接作業人員の合計数。ライン人員と夜勤人員を合算した、計画上必要となる最低限の従事者数。</t>
    <phoneticPr fontId="7"/>
  </si>
  <si>
    <t>共通人員</t>
    <phoneticPr fontId="7"/>
  </si>
  <si>
    <t>特定のラインに紐づかず、複数ライン・工程にまたがって共通的に配置される人員数。品質管理・資材搬送・設備保全等の間接支援業務を担う。日によらず固定値で計上されることが多い。</t>
    <phoneticPr fontId="7"/>
  </si>
  <si>
    <t>欠勤要員</t>
    <phoneticPr fontId="7"/>
  </si>
  <si>
    <t>当該日に欠勤・休暇等により実際には出勤しなかった人員数。在籍人員から合計（直換算）を差し引く際の控除項目として使用される。</t>
    <phoneticPr fontId="7"/>
  </si>
  <si>
    <t>合計（直換算）</t>
    <phoneticPr fontId="7"/>
  </si>
  <si>
    <t>当該日に実際に稼働した全人員を昼勤（直）換算で合算した人員数。ライン人員・夜勤人員・共通人員を直換算係数で統一し合計したもの。夜勤は昼勤の0.5直等として換算される場合がある。</t>
    <phoneticPr fontId="7"/>
  </si>
  <si>
    <t>ライン人員 + 夜勤人員（直換算） + 共通人員</t>
    <phoneticPr fontId="7"/>
  </si>
  <si>
    <t>在籍（直換算）</t>
    <phoneticPr fontId="7"/>
  </si>
  <si>
    <t>工場に在籍する全従業員を直換算で表した人員数。欠勤・休暇等を含む登録上の総人員であり、合計（直換算）との差分が過不足の算出基準となる。月を通じて固定値で計上される。</t>
    <rPh sb="0" eb="2">
      <t>コウジョウ</t>
    </rPh>
    <phoneticPr fontId="7"/>
  </si>
  <si>
    <t>過不足（直換算）</t>
    <phoneticPr fontId="7"/>
  </si>
  <si>
    <t>12H換算</t>
    <phoneticPr fontId="7"/>
  </si>
  <si>
    <t>過不足（直換算）を12時間勤務ベースに換算した人員数。1直（通常8時間）を基準とした直換算値を12時間シフト基準に変換することで、長時間シフト体制での実質的な人員過不足を示す。マイナス値は12Hシフトベースでの人員不足を意味する。</t>
    <phoneticPr fontId="7"/>
  </si>
  <si>
    <t>過不足（直換算）÷２</t>
    <phoneticPr fontId="7"/>
  </si>
  <si>
    <t>工程九州アイス,工程浦和アイス業</t>
    <phoneticPr fontId="7"/>
  </si>
  <si>
    <t>ケース数</t>
    <rPh sb="3" eb="4">
      <t>スウ</t>
    </rPh>
    <phoneticPr fontId="7"/>
  </si>
  <si>
    <t>生産計画書において、当該品目の月間生産量をケース（CS）単位で表した数量。日別の生産予定数の月次合計値として右端列に集計される。金額と並んで月間生産実績・計画の最終確認指標として使用される</t>
    <phoneticPr fontId="7"/>
  </si>
  <si>
    <t>CS</t>
    <phoneticPr fontId="7"/>
  </si>
  <si>
    <t>日別生産CS数の月次合計</t>
    <phoneticPr fontId="7"/>
  </si>
  <si>
    <t>菓子アイス月間</t>
    <rPh sb="0" eb="2">
      <t>カシ</t>
    </rPh>
    <rPh sb="5" eb="7">
      <t>ゲッカン</t>
    </rPh>
    <phoneticPr fontId="7"/>
  </si>
  <si>
    <t>菓子アイス月間</t>
    <rPh sb="0" eb="2">
      <t>カシ</t>
    </rPh>
    <rPh sb="5" eb="7">
      <t>ゲッカン</t>
    </rPh>
    <phoneticPr fontId="7"/>
  </si>
  <si>
    <t>生産計画</t>
    <rPh sb="0" eb="2">
      <t>セイサン</t>
    </rPh>
    <rPh sb="2" eb="4">
      <t>ケイカク</t>
    </rPh>
    <phoneticPr fontId="7"/>
  </si>
  <si>
    <t>2直予定数</t>
  </si>
  <si>
    <t>生産計画書において、当該品目の2直（第2シフト・夜勤帯）での生産予定数量。1直（昼勤帯）の生産予定数とは別行で管理され、日別セルに記載される。2直稼働が予定されない日はブランクまたは「-」となる。</t>
    <phoneticPr fontId="7"/>
  </si>
  <si>
    <t>前月繰越</t>
    <phoneticPr fontId="7"/>
  </si>
  <si>
    <t>生産計画書において、前月末時点で使用されずに繰り越された半製品の在庫量。当月の使用可能数量を把握するための起点値として管理される。</t>
    <phoneticPr fontId="7"/>
  </si>
  <si>
    <t>㎏</t>
    <phoneticPr fontId="7"/>
  </si>
  <si>
    <t>使用</t>
  </si>
  <si>
    <t>生産計画書において、当月の生産に実際に投入・消費された半製品の数量。前月繰越と翌月繰越の差分として算出され、当月の実消費量を示す。</t>
    <phoneticPr fontId="7"/>
  </si>
  <si>
    <t>前月繰越 − 翌月繰越</t>
    <phoneticPr fontId="7"/>
  </si>
  <si>
    <t>翌月繰越</t>
    <phoneticPr fontId="7"/>
  </si>
  <si>
    <t>生産計画書において、当月末時点で未使用のまま翌月へ繰り越される原材料・半製品の在庫量。翌月の前月繰越値として引き継がれる。マイナス値（▲）の場合は在庫不足・過消費を示す。</t>
    <phoneticPr fontId="7"/>
  </si>
  <si>
    <t>前月繰越 − 使用</t>
    <phoneticPr fontId="7"/>
  </si>
  <si>
    <t>末在庫</t>
    <rPh sb="0" eb="3">
      <t>マツザイコ</t>
    </rPh>
    <phoneticPr fontId="7"/>
  </si>
  <si>
    <t>生販在計画表における、月末在庫量</t>
    <rPh sb="11" eb="13">
      <t>ゲツマツ</t>
    </rPh>
    <rPh sb="13" eb="16">
      <t>ザイコリョウ</t>
    </rPh>
    <phoneticPr fontId="7"/>
  </si>
  <si>
    <t>ガーナミルク</t>
  </si>
  <si>
    <t>ガーナブラック</t>
  </si>
  <si>
    <t>ガーナロースト</t>
  </si>
  <si>
    <t>B1</t>
  </si>
  <si>
    <t>ガーナホワイト</t>
  </si>
  <si>
    <t>ガーナ抹茶</t>
  </si>
  <si>
    <t>ダークミルク</t>
  </si>
  <si>
    <t>キャラメルミルク</t>
  </si>
  <si>
    <t>ガーナピンク</t>
  </si>
  <si>
    <t>クランキー</t>
  </si>
  <si>
    <t>クランキー2nd</t>
  </si>
  <si>
    <t>クランキー留型</t>
  </si>
  <si>
    <t>B2</t>
  </si>
  <si>
    <t>S-10春①</t>
  </si>
  <si>
    <t>S-10春②</t>
  </si>
  <si>
    <t>S-10スポット</t>
  </si>
  <si>
    <t>S-10秋①</t>
  </si>
  <si>
    <t>S-10秋②</t>
  </si>
  <si>
    <t>S-10セレクション</t>
  </si>
  <si>
    <t>SEJプレミアム</t>
  </si>
  <si>
    <t>シェル10</t>
  </si>
  <si>
    <t>ガーナミルクEX</t>
  </si>
  <si>
    <t>ガーナローストミルクEX</t>
  </si>
  <si>
    <t>ガーナブラックEX</t>
  </si>
  <si>
    <t>クランキーEX</t>
  </si>
  <si>
    <t>エクセレント(B-5,S-6)</t>
  </si>
  <si>
    <t>紗々</t>
  </si>
  <si>
    <t>紗々いちご</t>
  </si>
  <si>
    <t>紗々味</t>
  </si>
  <si>
    <t>M</t>
  </si>
  <si>
    <t>コアラのマーチSP</t>
  </si>
  <si>
    <t>コアラミニパック</t>
  </si>
  <si>
    <t>パイの実</t>
  </si>
  <si>
    <t>韓国パイの実</t>
  </si>
  <si>
    <t>留型パイの実</t>
  </si>
  <si>
    <t>パイ（浦和）</t>
  </si>
  <si>
    <t>カカオの恵み箱</t>
  </si>
  <si>
    <t>ガーナリップル</t>
  </si>
  <si>
    <t>GP</t>
  </si>
  <si>
    <t>21963 2袋トッポ</t>
  </si>
  <si>
    <t>トッポ味通年</t>
  </si>
  <si>
    <t>トッポ味変</t>
  </si>
  <si>
    <t>CR（滋賀除く）</t>
  </si>
  <si>
    <t>トッポ（滋賀含む）</t>
  </si>
  <si>
    <t>バッカス</t>
  </si>
  <si>
    <t>Lライン洋酒2nd</t>
  </si>
  <si>
    <t>ヨイヨ</t>
  </si>
  <si>
    <t>ラミー</t>
  </si>
  <si>
    <t>Rライン洋酒2nd</t>
  </si>
  <si>
    <t>マカダミア</t>
  </si>
  <si>
    <t>オオツブガーナ</t>
  </si>
  <si>
    <t>シェル8</t>
  </si>
  <si>
    <t>S-9春①</t>
  </si>
  <si>
    <t>S-9春②</t>
  </si>
  <si>
    <t>S-9秋①</t>
  </si>
  <si>
    <t>S-9秋②</t>
  </si>
  <si>
    <t>S-9スポット</t>
  </si>
  <si>
    <t>S-9PP</t>
  </si>
  <si>
    <t>シェル9</t>
  </si>
  <si>
    <t>ガナクラSP</t>
  </si>
  <si>
    <t>ガーナ中袋</t>
  </si>
  <si>
    <t>アーモンド</t>
  </si>
  <si>
    <t>アーモンドクリスプ</t>
  </si>
  <si>
    <t>22351クランキービッツ</t>
  </si>
  <si>
    <t>ガーナミルク母の日 ＋ ガーナミルク'25 ＋ ガーナミルク'26母の日 ＋ ガーナミルク'26賞味 ＋ ガーナミルク10箱入</t>
  </si>
  <si>
    <t>ガーナミルク ＋ ガーナブラック ＋ ガーナロースト</t>
  </si>
  <si>
    <t>クランキー留型各品</t>
  </si>
  <si>
    <t>ガーナホワイト ＋ ガーナ抹茶 ＋ ダークミルク ＋ キャラメルミルク ＋ ガーナピンク ＋ クランキー ＋ クランキー2nd ＋ クランキー留型</t>
  </si>
  <si>
    <t>S-10春① ＋ S-10春② ＋ S-10スポット ＋ S-10秋① ＋ S-10秋② ＋ S-10セレクション ＋ SEJプレミアム</t>
  </si>
  <si>
    <t>B-5・S-6ラインで製造するエクセレントシリーズ全品を集計したシート内最上位集計行。</t>
  </si>
  <si>
    <t>ガーナミルクEX ＋ ガーナローストミルクEX ＋ ガーナブラックEX ＋ クランキーEX</t>
  </si>
  <si>
    <t>紗々ブランド全品を集計したMグループのシート内最上位集計行。</t>
  </si>
  <si>
    <t>紗々 ＋ 紗々いちご ＋ 紗々味</t>
  </si>
  <si>
    <t>留型パイの実各品</t>
  </si>
  <si>
    <t>パイの実 ＋ 韓国パイの実 ＋ 留型パイの実（浦和工場分）</t>
  </si>
  <si>
    <t>トッポCRグループのうち滋賀工場分を除いた浦和工場生産分の集計行。</t>
  </si>
  <si>
    <t>21963 2袋トッポ ＋ トッポ味通年 ＋ トッポ味変（浦和工場分）</t>
  </si>
  <si>
    <t>Lラインで製造する洋酒チョコレート2ndシリーズ全品の集計行。</t>
  </si>
  <si>
    <t>Rラインで製造する洋酒チョコレート2ndシリーズ全品の集計行。</t>
  </si>
  <si>
    <t>マカダミア ＋ オオツブガーナ</t>
  </si>
  <si>
    <t>シェル9ブランド全品を集計したシート内最上位集計行。</t>
  </si>
  <si>
    <t>S-9春① ＋ S-9春② ＋ S-9秋① ＋ S-9秋② ＋ S-9スポット ＋ S-9PP</t>
  </si>
  <si>
    <t xml:space="preserve">☆【0420】チョコレート長期数表生販在表（26年4月月末生販会議前）.xlsx
さ☆【0420】チョコレート長期数表生販在表（26年4月月末生販会議前）.xlsx
</t>
    <phoneticPr fontId="7"/>
  </si>
  <si>
    <t>協力チョコ</t>
    <rPh sb="0" eb="2">
      <t>キョウリョク</t>
    </rPh>
    <phoneticPr fontId="7"/>
  </si>
  <si>
    <t>滋賀チョコ</t>
    <rPh sb="0" eb="2">
      <t>シガ</t>
    </rPh>
    <phoneticPr fontId="7"/>
  </si>
  <si>
    <t>KYチョコ</t>
  </si>
  <si>
    <t>滋賀菓子工程</t>
    <rPh sb="0" eb="4">
      <t>シガカシ</t>
    </rPh>
    <rPh sb="4" eb="6">
      <t>コウテイ</t>
    </rPh>
    <phoneticPr fontId="7"/>
  </si>
  <si>
    <t>SCM</t>
    <phoneticPr fontId="7"/>
  </si>
  <si>
    <t>持ち戻り直近リスト</t>
    <rPh sb="0" eb="1">
      <t>モ</t>
    </rPh>
    <rPh sb="2" eb="3">
      <t>モド</t>
    </rPh>
    <rPh sb="4" eb="6">
      <t>チョッキン</t>
    </rPh>
    <phoneticPr fontId="7"/>
  </si>
  <si>
    <t>営業起因持ち帰り</t>
    <rPh sb="0" eb="2">
      <t>エイギョウ</t>
    </rPh>
    <rPh sb="2" eb="4">
      <t>キイン</t>
    </rPh>
    <rPh sb="4" eb="5">
      <t>モ</t>
    </rPh>
    <rPh sb="6" eb="7">
      <t>カエ</t>
    </rPh>
    <phoneticPr fontId="7"/>
  </si>
  <si>
    <t>持ち戻りグラフ</t>
    <phoneticPr fontId="7"/>
  </si>
  <si>
    <t>持ち戻り時系列リスト</t>
    <rPh sb="0" eb="1">
      <t>モ</t>
    </rPh>
    <rPh sb="2" eb="3">
      <t>モド</t>
    </rPh>
    <rPh sb="4" eb="7">
      <t>ジケイレツ</t>
    </rPh>
    <phoneticPr fontId="7"/>
  </si>
  <si>
    <t>受注管理部KPI, 持ち戻り削減取組報告, 営業起因持ち戻り, 持ち戻りグラフ</t>
    <rPh sb="22" eb="26">
      <t>エイギョウキイン</t>
    </rPh>
    <rPh sb="26" eb="27">
      <t>モ</t>
    </rPh>
    <rPh sb="28" eb="29">
      <t>モド</t>
    </rPh>
    <phoneticPr fontId="7"/>
  </si>
  <si>
    <t>35Gガーナミルク</t>
  </si>
  <si>
    <t>B3</t>
  </si>
  <si>
    <t>B4</t>
  </si>
  <si>
    <t>HAPPY HAPPY</t>
  </si>
  <si>
    <t>LATTE MILK</t>
  </si>
  <si>
    <t>SEJ PB・留型</t>
  </si>
  <si>
    <t>YOIYO</t>
  </si>
  <si>
    <t>アーモンドSP</t>
  </si>
  <si>
    <t>アーモンドカリっと香ばしPJ</t>
  </si>
  <si>
    <t>アーモンドビターPJ</t>
  </si>
  <si>
    <t>いちごつみ</t>
  </si>
  <si>
    <t>ガーナPJ</t>
  </si>
  <si>
    <t>ガーナザクほろPJ</t>
  </si>
  <si>
    <t>ガーナスリムパック</t>
  </si>
  <si>
    <t>ガーナミルクトットプチ</t>
  </si>
  <si>
    <t>ガーナミルクボトル</t>
  </si>
  <si>
    <t>ガーナミントパウチ</t>
  </si>
  <si>
    <t>カカオの恵み×ゼロ袋</t>
  </si>
  <si>
    <t>カカオの恵み×ゼロ大容量</t>
  </si>
  <si>
    <t>カカオの恵みSP</t>
  </si>
  <si>
    <t>カプッチョ</t>
  </si>
  <si>
    <t>クラガナSP</t>
  </si>
  <si>
    <t>クランキーBIGパウチ</t>
  </si>
  <si>
    <t>クランキーBIGパウチ2nd</t>
  </si>
  <si>
    <t>クランキーBIGパウチ3rd</t>
  </si>
  <si>
    <t>クランキーPJ</t>
  </si>
  <si>
    <t>クランキーPJクッキー</t>
  </si>
  <si>
    <t>クランキーPJストロ</t>
  </si>
  <si>
    <t>クランキーアーモンドプチ</t>
  </si>
  <si>
    <t>クランキーウエハース</t>
  </si>
  <si>
    <t>クランキーキッズ</t>
  </si>
  <si>
    <t>クランキースリムパック</t>
  </si>
  <si>
    <t>クランキー中袋</t>
  </si>
  <si>
    <t>コアラのマーチ3rd</t>
  </si>
  <si>
    <t>コンテンツウエハース</t>
  </si>
  <si>
    <t>ザクザククランキーPP</t>
  </si>
  <si>
    <t>ザクザククランキーSP</t>
  </si>
  <si>
    <t>ザクザククランキーSP2nd</t>
  </si>
  <si>
    <t>ゼロ</t>
  </si>
  <si>
    <t>ゼロカカオ70%</t>
  </si>
  <si>
    <t>ゼロくちどけショコラ</t>
  </si>
  <si>
    <t>ゼログラノラバー</t>
  </si>
  <si>
    <t>ゼロシュガーチョコ</t>
  </si>
  <si>
    <t>ゼロプロテインバー</t>
  </si>
  <si>
    <t>ゼロ袋</t>
  </si>
  <si>
    <t>ゼロ大容量</t>
  </si>
  <si>
    <t>トッポ8→7袋</t>
  </si>
  <si>
    <t>トッポザショコラ</t>
  </si>
  <si>
    <t>トリュフ</t>
  </si>
  <si>
    <t>パイの実SP</t>
  </si>
  <si>
    <t>パイの実SP ショコラ</t>
  </si>
  <si>
    <t>パイの実SP催事</t>
  </si>
  <si>
    <t>パイの実SP味</t>
  </si>
  <si>
    <t>パイの実味</t>
  </si>
  <si>
    <t>ビックリマン</t>
  </si>
  <si>
    <t>ポケモンウエハース</t>
  </si>
  <si>
    <t>マカダミアPJ</t>
  </si>
  <si>
    <t>ラミーテリーヌ</t>
  </si>
  <si>
    <t>英語のコアラ4連</t>
  </si>
  <si>
    <t>業務用ガーナ</t>
  </si>
  <si>
    <t>滋賀②ウエハース</t>
  </si>
  <si>
    <t>深みパイの実</t>
  </si>
  <si>
    <t>大きなパイの実</t>
  </si>
  <si>
    <t>大粒トリュフ</t>
  </si>
  <si>
    <t>糖質オフSP</t>
  </si>
  <si>
    <t>特殊コアラのマーチ</t>
  </si>
  <si>
    <t>内作コアラ</t>
  </si>
  <si>
    <t>味クランキーPJ</t>
  </si>
  <si>
    <t>留型 その他</t>
  </si>
  <si>
    <t>留型ウエハース</t>
  </si>
  <si>
    <t>良品計画 PB</t>
  </si>
  <si>
    <t>トッポ（各品）</t>
  </si>
  <si>
    <t>クランキービッツ ＋ クランキービッツ'26</t>
  </si>
  <si>
    <t>ガーナブランドの基本板チョコ3品群の合算集計行。シート内上位集計。</t>
  </si>
  <si>
    <t>ガーナ派生品・クランキー全品のB2グループ合算集計行。シート内上位集計。</t>
  </si>
  <si>
    <t>B3グループ品目のシート内最上位集計行。</t>
  </si>
  <si>
    <t>ガナクラSP ＋ ガーナ中袋 ＋ クランキー中袋 ＋ クラガナSP</t>
  </si>
  <si>
    <t>B4グループ品目のシート内最上位集計行。</t>
  </si>
  <si>
    <t>カカオの恵みSP ＋ LATTE MILK</t>
  </si>
  <si>
    <t>GPグループのシート内最上位集計行。</t>
  </si>
  <si>
    <t>HAPPY HAPPY SP</t>
  </si>
  <si>
    <t>LATTE MILK ＋ LATTE MILK（ポケモン） ＋ LATTE MILK'26（外装変更） ＋ LATTE MILK'26減量 ＋ LATTE MILK大容量</t>
  </si>
  <si>
    <t>洋酒薫る大人のスイーツティラミス ＋ プレミアムバッカス ＋ バッカス春夏仕立て ＋ 洋酒薫る大人のスイーツホワイトティラミス ＋ カルヴァドス ＋ ラッカス ＋ 洋酒薫る大人のスイーツ深夜のショコラノワール</t>
  </si>
  <si>
    <t>洋酒薫る大人のスイーツモンブラン ＋ 洋酒薫る大人のスイーツラム＆レーズン ＋ ラミー春夏仕立て</t>
  </si>
  <si>
    <t>フルーツショコラ＜サティーヌ＞ ＋ プレミアムガーナモンブラン ＋ プレミアムガーナ＜アンフィニマンフレーズ＞ ＋ プレミアムガーナモンブラン'26</t>
  </si>
  <si>
    <t>ショコラセレクション ＋ ホイップセレクション ＋ Pガーナショコラセレクション ＋ Pガーナホイップセレクション26春</t>
  </si>
  <si>
    <t>Pガーナクレームショコラ＜ロイヤルミルクティー＞8か月賞味</t>
  </si>
  <si>
    <t>巨峰 ＋ Pガーナフルーツショコラ＜巨峰＞8か月賞味</t>
  </si>
  <si>
    <t>ミルク＆バニラ9ヶ月賞味 ＋ Pガーナショコラホイップ＜ザ・バニラ＞</t>
  </si>
  <si>
    <t>苺＆フランボワーズ ＋ Pガーナショコラホイップ＜ザ・ベリー＞</t>
  </si>
  <si>
    <t>芳醇ミルクPP</t>
  </si>
  <si>
    <t>プレミアムガーナアンフィニマンヴァニーユ</t>
  </si>
  <si>
    <t>Pガーナショコラカレ 芳醇カカオ ＋ Pガーナ濃厚生チョコ 芳醇カカオ</t>
  </si>
  <si>
    <t>Pガーナショコラカレ 芳醇ミルク ＋ Pガーナ濃厚生チョコ 芳醇ミルク</t>
  </si>
  <si>
    <t>Pガーナショコラカレ 華やぐシチリアレモン ＋ Pガーナショコラカレ 華やぐシチリアレモン'26</t>
  </si>
  <si>
    <t>Pガーナショコラカレ 香るティーラテ ＋ Pガーナショコラカレ 香るティーラテ'26</t>
  </si>
  <si>
    <t>7Pピーカンナッツショコラ ＋ 7Pヘーゼルナッツショコラ ＋ 7Pピーカンナッツショコラ＜キャラメル＞ ＋ ガーナシュトーレン ＋ ガーナキャラメリゼシューケット ＋ 7Pアイスみたいなチョコ クッキークリーム（他）</t>
  </si>
  <si>
    <t>7Pとろ生食感ショコラ</t>
  </si>
  <si>
    <t>グリーンガーナブランドの全品目を集計した生販在計画のシート内集計行。</t>
  </si>
  <si>
    <t>グリーンガーナ＜オーツミルク＞包材切り替え9/17 ＋ グリーンガーナ＜糖質30%オフ＞包材切り替え</t>
  </si>
  <si>
    <t>YOIYO酒ガナッシュ＜黒龍酒造＞貴醸酒 ＋ YOIYO酒ガナッシュ＜厚岸＞立秋</t>
  </si>
  <si>
    <t>アーモンドチョコレートブランド全品（浦和・九州工場合算）の最上位集計行。</t>
  </si>
  <si>
    <t>アーモンド ＋ アーモンド準チョコ化25/9 ＋ アーモンド'26（浦和分＋九州分）</t>
  </si>
  <si>
    <t>アーモンドSP VD ＋ アーモンドSP通常 ＋ アーモンドSP準チョコ化25/9 ＋ アーモンドSP'26</t>
  </si>
  <si>
    <t>カリっとPJ増量 ＋ カリっとPJ通常 ＋ カリっと香ばしアーモンドPJ準チョコ化 ＋ カリっと香ばしアーモンドPJ'26</t>
  </si>
  <si>
    <t>アーモンドクリスプブランド全品（浦和・九州工場合算）の最上位集計行。</t>
  </si>
  <si>
    <t>アーモンドクリスプ ＋ アーモンドクリスプ準チョコ化25/9 ＋ アーモンドクリスプ'26（浦和分＋九州分）</t>
  </si>
  <si>
    <t>とろける旨チョコ仕立て ＋ ザクザクとまらんアーモンドPJ ＋ リッチアーモンドチョコレートポップジョイ9か月 ＋ リッチアーモンドチョコレートポップジョイ'26 ＋ リッチアーモンドチョコレートPJ'26秋</t>
  </si>
  <si>
    <t>大粒ガーナ'25 ＋ 大粒ガーナ'26外品変更 ＋ 大粒ガーナ'26配合変更</t>
  </si>
  <si>
    <t>ガーナPJ周年 ＋ ガーナPJ ＋ ガーナPJ'26</t>
  </si>
  <si>
    <t>ガーナザクほろココアシュー＆クッキーポップジョイ ＋ ガーナザクほろシュー＆クッキー＜塩ミルク＞ポップジョイ ＋ ガーナザクほろ発酵バターシューPJ</t>
  </si>
  <si>
    <t>ガーナスリムパック'25</t>
  </si>
  <si>
    <t>ガーナピンク（各品）</t>
  </si>
  <si>
    <t>ガーナブラック母の日 ＋ ガーナブラック'25 ＋ ガーナブラック'26母の日 ＋ ガーナブラック'26賞味</t>
  </si>
  <si>
    <t>ガーナブラックEX'25 ＋ ガーナブラックEX'26</t>
  </si>
  <si>
    <t>ガーナホワイト母の日 ＋ ガーナホワイト'25 ＋ ガーナホワイト'26母の日 ＋ ガーナホワイト'26賞味</t>
  </si>
  <si>
    <t>ガーナミルクEX'25</t>
  </si>
  <si>
    <t>ガーナミルクトットプチ ＋ ガーナミルクトットプチ'26</t>
  </si>
  <si>
    <t>ガーナチョコミント（各品）</t>
  </si>
  <si>
    <t>ガーナリップル冷やして ＋ ガーナリップル通常25/7</t>
  </si>
  <si>
    <t>ガーナロースト通常 ＋ ガーナロースト母の日</t>
  </si>
  <si>
    <t>ガーナローストミルクEX'25 ＋ ガーナローストミルクEX'26</t>
  </si>
  <si>
    <t>ガーナミルク袋通常</t>
  </si>
  <si>
    <t>ガーナ抹茶（下期定番化） ＋ ガーナ抹茶'26母の日 ＋ ガーナ抹茶'26秋</t>
  </si>
  <si>
    <t>カカオの恵み＜糖類ゼロ＞袋</t>
  </si>
  <si>
    <t>カカオの恵み＜糖類ゼロ＞大容量</t>
  </si>
  <si>
    <t>カカオの恵みSP値上げ減量 ＋ カカオの恵みSP品質変更（カカオ産地） ＋ カカオの恵みSP'26JAN変</t>
  </si>
  <si>
    <t>カカオの恵み72%箱'26</t>
  </si>
  <si>
    <t>ガナクラSP ＋ ガナクラSP減量JAN変 ＋ ガナクラSP'26</t>
  </si>
  <si>
    <t>カプッチョ ＋ カプッチョ'26</t>
  </si>
  <si>
    <t>ガーナキャラメルミルク ＋ ガーナキャラメルミルク'26塩+母の日</t>
  </si>
  <si>
    <t>クラガナSP各品</t>
  </si>
  <si>
    <t>クランキー'25 ＋ クランキー'26</t>
  </si>
  <si>
    <t>クランキーバースデーケーキ味 ＋ クランキーあまずっぱ苺 ＋ クランキー塩バニラ ＋ クランキー香ばしキャラメル ＋ ザクザクやみつきクランキー板</t>
  </si>
  <si>
    <t>クランキーBIGパウチ ＋ クランキーBIGパウチ'26</t>
  </si>
  <si>
    <t>ナッツトリュフパウチ ＋ クランキーBIGパウチセカンド ＋ ザクザクやみつきクランキーBIGパウチ</t>
  </si>
  <si>
    <t>クランキーBIGパウチ3rd各品</t>
  </si>
  <si>
    <t>クランキーEX原原対応 ＋ クランキーEX'26</t>
  </si>
  <si>
    <t>クランキーPJ ＋ クランキーPJ'26</t>
  </si>
  <si>
    <t>クランキーPJクッキー&amp;クリーム ＋ クランキーPJクッキー&amp;クリーム'26</t>
  </si>
  <si>
    <t>クランキーPJストロ ＋ クランキーPJストロ'26</t>
  </si>
  <si>
    <t>クランキーアーモンドプチ ＋ クランキーアーモンドプチ'26</t>
  </si>
  <si>
    <t>クランキーウエハース（各品）</t>
  </si>
  <si>
    <t>クランキーキッズM ＋ クランキーキッズM'26</t>
  </si>
  <si>
    <t>クランキースリムパック'25 ＋ クランキースリムパック'26</t>
  </si>
  <si>
    <t>クランキーミニ中袋 ＋ クランキー＜無限サクサクパック＞ ＋ クランキー3種アソートパック</t>
  </si>
  <si>
    <t>コアラのマーチSP'25 ＋ コアラのマーチSP'25冬名前入り ＋ コアラのマーチSP'26 ＋ コアラのマーチSP'26裏面</t>
  </si>
  <si>
    <t>コアラのマーチSP ハローキティデザイン ＋ コアラのマーチSP 大阪・関西万博デザイン ＋ コアラのマーチSP まるごとカカオ豆(5/27)</t>
  </si>
  <si>
    <t>にじさんじマンチョコ２ ＋ 鬼滅無限城 ＋ スターウォーズビックリマン</t>
  </si>
  <si>
    <t>ザクザククランキーPP値上げ ＋ ザクザククランキーPP ＋ ザクザククランキーPPコストダウン配合 ＋ 留型ザクザクやみつきクランキープチパック</t>
  </si>
  <si>
    <t>ザクザククランキーSP食品ヒット大賞ロゴ削除 ＋ ザクザククランキーSPコストダウン配合 ＋ ザクザククランキーSP RF(JAN変) ＋ ザクザククランキーSP'26</t>
  </si>
  <si>
    <t>ザクザククランキースナックインSP（各品）</t>
  </si>
  <si>
    <t>シェル10ブランド全品を集計したシート内最上位集計行。</t>
  </si>
  <si>
    <t>シェル8ライン製造品のシート内最上位集計行。</t>
  </si>
  <si>
    <t>ゼロ ＋ ゼロ「カカオマス」原材料標記25/3～ ＋ ゼロ'26</t>
  </si>
  <si>
    <t>ゼロカカオ70 ＋ ゼロカカオ70「カカオマス」原材料標記25/3～ ＋ ゼロカカオ70'26</t>
  </si>
  <si>
    <t>ゼロくちどけショコラ'25</t>
  </si>
  <si>
    <t>ゼログラノーラチョコバー9ヶ月 ＋ ゼログラノーラチョコバー'26</t>
  </si>
  <si>
    <t>ゼロシュガーフリーパウチ ＋ ゼロシュガーフリーパウチ「カカオマス」原材料標記25/3～ ＋ ゼロシュガーフリーパウチ'26 ＋ ゼロシュガーフリーパウチ'26秋</t>
  </si>
  <si>
    <t>ゼロプロテインチョコバー12か月賞味 ＋ ゼロプロテインチョコバー'26</t>
  </si>
  <si>
    <t>ゼロ袋 ＋ ゼロ袋「カカオマス」原材料標記25/3～ ＋ ゼロ袋'26秋</t>
  </si>
  <si>
    <t>ゼロチョコレート大容量</t>
  </si>
  <si>
    <t>ダークミルク塩なし ＋ ダークミルク春夏塩あり ＋ ダークミルク'25 ＋ ダークミルク'26塩+母の日</t>
  </si>
  <si>
    <t>CR（滋賀除く） ＋ 滋賀工場生産トッポ分</t>
  </si>
  <si>
    <t>VDトッポ7袋 ＋ トッポ袋 ＋ トッポ7袋</t>
  </si>
  <si>
    <t>トッポザショコラ通常 ＋ トッポザショコラ品質変更（カカオ産地） ＋ トッポザショコラオーバーハング25/6生産～</t>
  </si>
  <si>
    <t>トッポ冬の濃厚ホワイト ＋ トッポピスタチオ＆ベリー ＋ トッポ＜ザ・ストロベリー＞</t>
  </si>
  <si>
    <t>トッポナッツのキャラメリゼ ＋ トッポ厳選香る抹茶 ＋ トッポロイヤルミルクティー</t>
  </si>
  <si>
    <t>アーモンド＆ヘーゼルプラリネ ＋ イスパハン ＋ サブレショコラ＜ソルティバター＞ ＋ Pガーナトリュフ(キャラメルマリアージュ) ＋ Pガーナトリュフ(アンフィニマンピスターシュ) ＋ Pガーナサブレショコラ＜深み抹茶＞（Wドラジェ）</t>
  </si>
  <si>
    <t>パイの実品質R ＋ パイの実新デザ2面付 ＋ パイの実新包材10月店頭 ＋ パイの実※春夏デザイン ＋ パイの実'26秋冬</t>
  </si>
  <si>
    <t>パイの実SP ＋ パイの実SP新デザイン10月店頭 ＋ パイの実シェアパック※春夏デザイン ＋ パイの実シェアパック'26秋冬</t>
  </si>
  <si>
    <t>パイの実SPショコラVD ＋ パイの実SPショコラ新デザイン ＋ パイの実SPショコラ新デザイン10月店頭 ＋ パイの実SP＜深みショコラ＞※春夏デザイン ＋ パイの実SP＜深みショコラ＞'26秋冬</t>
  </si>
  <si>
    <t>パイの実SP大阪・関西万博デザイン ＋ パイの実SPハロウィン ＋ パイの実SPハロウィン26</t>
  </si>
  <si>
    <t>パイの実SPキャラメルショコラ ＋ パイの実SP抹茶 ＋ 冬のパイの実SP＜Wキャラメル＞</t>
  </si>
  <si>
    <t>パイの実ピスタチオ＆ストロベリー ＋ パイの実贅沢とちおとめタルト ＋ パイの実レアチーズケーキベリー仕立て ＋ パイの実メープルバターサンド</t>
  </si>
  <si>
    <t>バッカス ＋ バッカス'26</t>
  </si>
  <si>
    <t>ポケピースウエハース ＋ ビックリマン ミャクミャクマン ＋ ビックリマン悪魔VS天使40thスペシャルエディション ＋ ビックリマンヘッドだらけ ＋ ビックリマンご当地東日本編 ＋ ビックリマンご当地西日本編 ＋ 浮世（各品）</t>
  </si>
  <si>
    <t>ポケモンウエハース（各品）</t>
  </si>
  <si>
    <t>マカダミア ＋ マカダミア準チョコ化25/9 ＋ マカダミア'26 ＋ マカダミア'26秋</t>
  </si>
  <si>
    <t>マカダミアPJカラメリゼ ＋ マカダミアPJカラメリゼ準チョコ化25/9 ＋ マカダミアPJカラメリゼ'26</t>
  </si>
  <si>
    <t>YOIYO厚岸＜立秋＞ ＋ YOIYO＜抹茶ミルクカクテル＞</t>
  </si>
  <si>
    <t>ラミー ＋ ラミー'26（各品）</t>
  </si>
  <si>
    <t>プレミアムガーナショコラコレクション＜2026＞ ＋ ラミーテリーヌ ＋ 洋酒薫るスペシャリテテリーヌ＜贅沢チーズ＞ ＋ ラミープレミアムテリーヌ</t>
  </si>
  <si>
    <t>英語のコアラ4連 インクル順番・Na値変更 ＋ 英語のコアラ4連'26→26/9終売</t>
  </si>
  <si>
    <t>業務用ガーナミルク10kg ＋ 業務用ガーナブラック10kg ＋ 業務用ガーナホワイトブロック19kg</t>
  </si>
  <si>
    <t>滋賀②シートのウエハース全品を集計した生販在計画の最上位集計行。</t>
  </si>
  <si>
    <t>ポケモンウエハース ＋ ビックリマン ＋ コンテンツウエハース ＋ 留型ウエハース</t>
  </si>
  <si>
    <t>紗々通常 ＋ 紗々「冷やしてパリッと」25/3～ ＋ 紗々周年パッケージ ＋ 紗々アンダートレー変更 ＋ 紗々'26（周年外し）</t>
  </si>
  <si>
    <t>紗々いちご通常 ＋ 紗々いちご「冷やしてパリッと」25/3～ ＋ 紗々いちご周年パッケージ ＋ 紗々いちごアンダートレー変更 ＋ 紗々いちご'26（周年外し）</t>
  </si>
  <si>
    <t>紗々ブランドのフレーバー展開品を集計した小計行。</t>
  </si>
  <si>
    <t>紗々甘欲のはちみつ蜜芋 ＋ 紗々＜芳醇抹茶＞ ＋ 紗々華やぐ柚子キャラメル ＋ 紗々＜芳醇抹茶＞'26 ＋ 紗々＜芳醇抹茶＞SP</t>
  </si>
  <si>
    <t>パイの実深みショコラ（各デザイン） ＋ パイの実＜深みショコラ＞※春夏デザイン</t>
  </si>
  <si>
    <t>大きなパイの実JALUX原宿クレープ味 ＋ 大きなパイの実沖縄限定＜沖縄紅いもタルト＞ ＋ おおきなパイの実＜コーンポタージュ＞個売り ＋ おおきなパイの実＜沖縄紅いもタルト＞</t>
  </si>
  <si>
    <t>大粒トリュフ（ヘーゼルナッツ＆アーモンド） ＋ 大粒トリュフ（サブレ＆フィアンティーヌ） ＋ CVSレール限定 ＋ Pガーナ大粒トリュフ＜2種のナッツ＞ ＋ Pガーナ大粒トリュフ＜サブレ＞</t>
  </si>
  <si>
    <t>糖質オフSP段ボールサイズ変更 ＋ 糖質オフSPマカダミアペースト抜き</t>
  </si>
  <si>
    <t>お土産コアラ東京ばな奈6袋 ＋ お土産コアラ東京ばな奈12袋 ＋ コアラ＜渋谷ハニーバター＞6袋入 ＋ コアラ＜渋谷ハニーバター＞12袋入</t>
  </si>
  <si>
    <t>内作コアラ各品（狭山工場内製分）</t>
  </si>
  <si>
    <t>シャンメリー(26から変更) ＋ やみつきポテト ＋ クランキーPJやみつき塩キャラメル ＋ クランキーPJやみつきポテト'26</t>
  </si>
  <si>
    <t>FMクランキー苺パウチカービィコラボ ＋ のんあるラミー ＋ ラミーガトーショコラ ＋ シャトーノーブル（貴腐ワインチョコ） ＋ コストコ用ゼロ袋 ＋ チョコの実 ＋ ガーナ特濃ガトーショコラ</t>
  </si>
  <si>
    <t>SEJ留型ウエハース ＋ イオン留型ウエハースFree! ＋ LAW留型ウエハースアイマス ＋ FM留型ウエハース忍たま ＋ ieonハイキュー!!ウエハース ＋ SEJサンリオマンチョコ ＋ ドンペンマンチョコ</t>
  </si>
  <si>
    <t>良品計画PB各品</t>
  </si>
  <si>
    <t>月末事前チョコ, 協力チョコ, 滋賀チョコ, KYチョコ</t>
  </si>
  <si>
    <t>持ち戻り件数を総出荷件数で割った比率。地区別・累計・単月で管理される。前年比での改善目標を設定。</t>
    <phoneticPr fontId="7"/>
  </si>
  <si>
    <t>持ち戻り発生の原因区分。自社起因・得意先様起因・物流パートナー様起因の3区分で分析する。</t>
    <phoneticPr fontId="7"/>
  </si>
  <si>
    <t>チョコレート生産計画表</t>
    <rPh sb="6" eb="11">
      <t>セイサンケイカクヒョウ</t>
    </rPh>
    <phoneticPr fontId="7"/>
  </si>
  <si>
    <t>受注処理における誤入力・誤発注・誤出荷等のミス。</t>
    <phoneticPr fontId="7"/>
  </si>
  <si>
    <t>5品目</t>
    <phoneticPr fontId="7"/>
  </si>
  <si>
    <t>アジア</t>
    <phoneticPr fontId="7"/>
  </si>
  <si>
    <t>EDI化</t>
    <rPh sb="3" eb="4">
      <t>カ</t>
    </rPh>
    <phoneticPr fontId="7"/>
  </si>
  <si>
    <t>育成ブランド</t>
    <rPh sb="0" eb="2">
      <t>イクセイ</t>
    </rPh>
    <phoneticPr fontId="7"/>
  </si>
  <si>
    <t>ウェデル</t>
    <phoneticPr fontId="7"/>
  </si>
  <si>
    <t>ー</t>
  </si>
  <si>
    <t>得意先との受発注データを電子的に自動交換する仕組みであるEDIを用いた発注の件数割合</t>
    <rPh sb="32" eb="33">
      <t>モチ</t>
    </rPh>
    <rPh sb="35" eb="37">
      <t>ハッチュウ</t>
    </rPh>
    <rPh sb="38" eb="40">
      <t>ケンスウ</t>
    </rPh>
    <rPh sb="40" eb="42">
      <t>ワリアイ</t>
    </rPh>
    <phoneticPr fontId="7"/>
  </si>
  <si>
    <t>菓子</t>
    <rPh sb="0" eb="2">
      <t>カシ</t>
    </rPh>
    <phoneticPr fontId="7"/>
  </si>
  <si>
    <t>重点ブランド</t>
    <rPh sb="0" eb="2">
      <t>ジュウテン</t>
    </rPh>
    <phoneticPr fontId="7"/>
  </si>
  <si>
    <t>主力ブランド</t>
    <rPh sb="0" eb="2">
      <t>シュリョク</t>
    </rPh>
    <phoneticPr fontId="7"/>
  </si>
  <si>
    <t>持ち戻り件数 ÷ 総配送件数または配車数 × 100</t>
    <rPh sb="9" eb="10">
      <t>ソウ</t>
    </rPh>
    <rPh sb="10" eb="12">
      <t>ハイソウ</t>
    </rPh>
    <rPh sb="12" eb="14">
      <t>ケンスウ</t>
    </rPh>
    <rPh sb="17" eb="19">
      <t>ハイシャ</t>
    </rPh>
    <rPh sb="19" eb="20">
      <t>スウ</t>
    </rPh>
    <phoneticPr fontId="7"/>
  </si>
  <si>
    <t>販売伝票発行件数に占める受注ミスの件数。</t>
    <rPh sb="0" eb="2">
      <t>ハンバイ</t>
    </rPh>
    <rPh sb="2" eb="4">
      <t>デンピョウ</t>
    </rPh>
    <rPh sb="4" eb="6">
      <t>ハッコウ</t>
    </rPh>
    <rPh sb="6" eb="8">
      <t>ケンスウ</t>
    </rPh>
    <rPh sb="9" eb="10">
      <t>シ</t>
    </rPh>
    <rPh sb="12" eb="14">
      <t>ジュチュウ</t>
    </rPh>
    <rPh sb="17" eb="19">
      <t>ケンスウ</t>
    </rPh>
    <phoneticPr fontId="7"/>
  </si>
  <si>
    <t>受注ミス件数　÷　販売伝票発行件数</t>
    <rPh sb="0" eb="2">
      <t>ジュチュウ</t>
    </rPh>
    <rPh sb="4" eb="6">
      <t>ケンスウ</t>
    </rPh>
    <rPh sb="9" eb="11">
      <t>ハンバイ</t>
    </rPh>
    <rPh sb="11" eb="13">
      <t>デンピョウ</t>
    </rPh>
    <rPh sb="13" eb="15">
      <t>ハッコウ</t>
    </rPh>
    <rPh sb="15" eb="17">
      <t>ケンスウ</t>
    </rPh>
    <phoneticPr fontId="7"/>
  </si>
  <si>
    <t>受注本編</t>
    <phoneticPr fontId="7"/>
  </si>
  <si>
    <t>受注ミス率</t>
    <phoneticPr fontId="7"/>
  </si>
  <si>
    <t>-</t>
    <phoneticPr fontId="7"/>
  </si>
  <si>
    <t>容積</t>
    <rPh sb="0" eb="2">
      <t>ヨウセキ</t>
    </rPh>
    <phoneticPr fontId="7"/>
  </si>
  <si>
    <t>転送費集計表において、当該月・エリアで転送した荷物の総体積。商品を輸送する際に使用したトラック・コンテナ等の積載空間を立方メートル（m3）単位で計測した値。金額（千円）・数量（ケース）とあわせて転送効率を把握するための指標。</t>
    <phoneticPr fontId="7"/>
  </si>
  <si>
    <t>m3</t>
    <phoneticPr fontId="7"/>
  </si>
  <si>
    <t>D+2データ取得率</t>
    <rPh sb="6" eb="8">
      <t>シュトク</t>
    </rPh>
    <rPh sb="8" eb="9">
      <t>リツ</t>
    </rPh>
    <phoneticPr fontId="7"/>
  </si>
  <si>
    <t>物流コスト分析</t>
    <rPh sb="0" eb="2">
      <t>ブツリュウ</t>
    </rPh>
    <rPh sb="5" eb="7">
      <t>ブンセキ</t>
    </rPh>
    <phoneticPr fontId="7"/>
  </si>
  <si>
    <t>受注本編</t>
    <rPh sb="0" eb="2">
      <t>ジュチュウ</t>
    </rPh>
    <rPh sb="2" eb="4">
      <t>ホンペン</t>
    </rPh>
    <phoneticPr fontId="7"/>
  </si>
  <si>
    <t>SCM</t>
    <phoneticPr fontId="7"/>
  </si>
  <si>
    <t>月次在庫・業務報告（D+2締め率KPI）, 受注本編パート</t>
    <phoneticPr fontId="7"/>
  </si>
  <si>
    <t>受注本編パート</t>
    <rPh sb="0" eb="2">
      <t>ジュチュウ</t>
    </rPh>
    <rPh sb="2" eb="4">
      <t>ホンペン</t>
    </rPh>
    <phoneticPr fontId="7"/>
  </si>
  <si>
    <t>D+2データ締め率</t>
    <rPh sb="6" eb="7">
      <t>シ</t>
    </rPh>
    <rPh sb="8" eb="9">
      <t>リツ</t>
    </rPh>
    <phoneticPr fontId="7"/>
  </si>
  <si>
    <t>注文日（D）の翌々日（+2）までに出荷を完了させる配送サービスの基準に対し、SCM受注管理部が管理するKPI</t>
    <rPh sb="35" eb="36">
      <t>タイ</t>
    </rPh>
    <phoneticPr fontId="7"/>
  </si>
  <si>
    <t>D＋2受注件数　÷　D＋2以上受注件数　×100</t>
    <rPh sb="3" eb="5">
      <t>ジュチュウ</t>
    </rPh>
    <rPh sb="5" eb="7">
      <t>ケンスウ</t>
    </rPh>
    <rPh sb="13" eb="15">
      <t>イジョウ</t>
    </rPh>
    <rPh sb="15" eb="17">
      <t>ジュチュウ</t>
    </rPh>
    <rPh sb="17" eb="19">
      <t>ケンスウ</t>
    </rPh>
    <phoneticPr fontId="7"/>
  </si>
  <si>
    <t>D+2受注件数　÷　全受注件数　× 100</t>
    <rPh sb="3" eb="5">
      <t>ジュチュウ</t>
    </rPh>
    <rPh sb="5" eb="7">
      <t>ケンスウ</t>
    </rPh>
    <rPh sb="10" eb="11">
      <t>ゼン</t>
    </rPh>
    <rPh sb="11" eb="13">
      <t>ジュチュウ</t>
    </rPh>
    <rPh sb="13" eb="15">
      <t>ケンスウ</t>
    </rPh>
    <phoneticPr fontId="7"/>
  </si>
  <si>
    <t>軒先数</t>
    <rPh sb="0" eb="2">
      <t>ノキサキ</t>
    </rPh>
    <rPh sb="2" eb="3">
      <t>スウ</t>
    </rPh>
    <phoneticPr fontId="7"/>
  </si>
  <si>
    <t>TANOMU進捗率</t>
  </si>
  <si>
    <t>口座</t>
    <rPh sb="0" eb="2">
      <t>コウザ</t>
    </rPh>
    <phoneticPr fontId="7"/>
  </si>
  <si>
    <t>プロテイン質問</t>
    <phoneticPr fontId="7"/>
  </si>
  <si>
    <t>アイスエンカレ</t>
    <phoneticPr fontId="7"/>
  </si>
  <si>
    <t>メーカー別売上、販売額</t>
    <rPh sb="4" eb="5">
      <t>ベツ</t>
    </rPh>
    <rPh sb="5" eb="7">
      <t>ウリアゲ</t>
    </rPh>
    <rPh sb="8" eb="11">
      <t>ハンバイガク</t>
    </rPh>
    <phoneticPr fontId="7"/>
  </si>
  <si>
    <t>メーカー別の推定売上高。海外売上および内部取引を控除した国内市販用の販売金額。各月の着地（実績確定）ベースで集計され、月次および年度累計（4月〜3月）で管理される。</t>
    <phoneticPr fontId="7"/>
  </si>
  <si>
    <t>得意先（卸・小売）から誤発注・品番違い・破損などの理由で返品された出荷物のこと。発生件数を要因別（自社/得意先/物流パートナー様）・卸先別・地区別・月別などで管理される。</t>
    <rPh sb="11" eb="12">
      <t>ゴ</t>
    </rPh>
    <rPh sb="12" eb="14">
      <t>ハッチュウ</t>
    </rPh>
    <rPh sb="15" eb="17">
      <t>ヒンバン</t>
    </rPh>
    <rPh sb="17" eb="18">
      <t>チガ</t>
    </rPh>
    <rPh sb="20" eb="22">
      <t>ハソン</t>
    </rPh>
    <rPh sb="25" eb="27">
      <t>リユウ</t>
    </rPh>
    <rPh sb="66" eb="67">
      <t>オロシ</t>
    </rPh>
    <rPh sb="67" eb="68">
      <t>サキ</t>
    </rPh>
    <rPh sb="68" eb="69">
      <t>ベツ</t>
    </rPh>
    <rPh sb="70" eb="72">
      <t>チク</t>
    </rPh>
    <rPh sb="72" eb="73">
      <t>ベツ</t>
    </rPh>
    <rPh sb="74" eb="76">
      <t>ツキベツ</t>
    </rPh>
    <phoneticPr fontId="7"/>
  </si>
  <si>
    <t>推定売上高 − 海外売上 − 内部取引額</t>
    <phoneticPr fontId="7"/>
  </si>
  <si>
    <t>マーケットシェア分析</t>
    <phoneticPr fontId="7"/>
  </si>
  <si>
    <t>出荷実績</t>
    <rPh sb="0" eb="4">
      <t>シュッカジッセキ</t>
    </rPh>
    <phoneticPr fontId="7"/>
  </si>
  <si>
    <t>当該年度累計における製品の出荷金額の確定値。予算・前年実績と対比する形で管理され、カテゴリ（ガム・チョコレート・キャンディ・ビスケット・市販用アイス・業務用アイス）別および菓子計・アイス計・菓子アイス計の集計単位で把握される。</t>
    <phoneticPr fontId="7"/>
  </si>
  <si>
    <t>・売上との違い要確認</t>
    <rPh sb="1" eb="3">
      <t>ウリアゲ</t>
    </rPh>
    <rPh sb="5" eb="6">
      <t>チガ</t>
    </rPh>
    <rPh sb="7" eb="10">
      <t>ヨウカクニン</t>
    </rPh>
    <phoneticPr fontId="7"/>
  </si>
  <si>
    <t>生販物流KO</t>
    <phoneticPr fontId="7"/>
  </si>
  <si>
    <t>営業利益増減分析</t>
    <rPh sb="0" eb="4">
      <t>エイギョウリエキ</t>
    </rPh>
    <rPh sb="4" eb="8">
      <t>ゾウゲンブンセキ</t>
    </rPh>
    <phoneticPr fontId="7"/>
  </si>
  <si>
    <t>海外（例：GPN社）からの輸入商品の発注〜日本倉庫納品までの所要期間。</t>
    <phoneticPr fontId="7"/>
  </si>
  <si>
    <t>損益概況</t>
    <rPh sb="0" eb="4">
      <t>ソンエキガイキョウ</t>
    </rPh>
    <phoneticPr fontId="7"/>
  </si>
  <si>
    <t>マーケットサイズ</t>
    <phoneticPr fontId="7"/>
  </si>
  <si>
    <t>当該商品が販売されているチャネル（SM・CVS）における、該当カテゴリの市場全体の販売金額。自社商品だけでなく競合他社を含む当該棚・カテゴリ全体の売上規模を示す。新商品検証において、既存比較商品との市場規模の差異を把握するために使用される。</t>
    <phoneticPr fontId="7"/>
  </si>
  <si>
    <t>平均販売単価</t>
    <phoneticPr fontId="7"/>
  </si>
  <si>
    <t>当該商品が実際に消費者に販売された価格の平均値。メーカー希望小売価格ではなく、各店舗での実売価格（値引き・特売を含む）を販売数量で加重平均した値。定価に対する値引き状況や店頭での価格競争力を把握するために使用される</t>
    <phoneticPr fontId="7"/>
  </si>
  <si>
    <t>推計販売規模</t>
    <rPh sb="0" eb="6">
      <t>スイケイハンバイキボ</t>
    </rPh>
    <phoneticPr fontId="7"/>
  </si>
  <si>
    <t>新商品マーケット分析</t>
    <rPh sb="0" eb="3">
      <t>シンショウヒン</t>
    </rPh>
    <rPh sb="8" eb="10">
      <t>ブンセキ</t>
    </rPh>
    <phoneticPr fontId="7"/>
  </si>
  <si>
    <t>アジア恋POSデータ,アジア恋ナレッジ</t>
    <phoneticPr fontId="7"/>
  </si>
  <si>
    <t>POSデータ分析・SEJランキング管理,新商品分析</t>
    <rPh sb="20" eb="23">
      <t>シンショウヒン</t>
    </rPh>
    <rPh sb="23" eb="25">
      <t>ブンセキ</t>
    </rPh>
    <phoneticPr fontId="7"/>
  </si>
  <si>
    <t>20260316SCM会議資料.pptx</t>
    <phoneticPr fontId="7"/>
  </si>
  <si>
    <t>同名のpdfも同一資料</t>
    <rPh sb="0" eb="1">
      <t>ドウ</t>
    </rPh>
    <rPh sb="1" eb="2">
      <t>メイ</t>
    </rPh>
    <rPh sb="7" eb="9">
      <t>ドウイツ</t>
    </rPh>
    <rPh sb="9" eb="11">
      <t>シリョウ</t>
    </rPh>
    <phoneticPr fontId="7"/>
  </si>
  <si>
    <t>BillOne</t>
    <phoneticPr fontId="7"/>
  </si>
  <si>
    <t>プランニング実績,損益共有MTG</t>
    <rPh sb="9" eb="11">
      <t>ソンエキ</t>
    </rPh>
    <rPh sb="11" eb="13">
      <t>キョウユウ</t>
    </rPh>
    <phoneticPr fontId="7"/>
  </si>
  <si>
    <t>損益共有MTG</t>
    <phoneticPr fontId="7"/>
  </si>
  <si>
    <t>損益概況</t>
    <rPh sb="0" eb="2">
      <t>ソンエキ</t>
    </rPh>
    <rPh sb="2" eb="4">
      <t>ガイキョウ</t>
    </rPh>
    <phoneticPr fontId="7"/>
  </si>
  <si>
    <t>減価償却費</t>
    <rPh sb="0" eb="5">
      <t>ゲンカショウキャクヒ</t>
    </rPh>
    <phoneticPr fontId="7"/>
  </si>
  <si>
    <t>宣伝費媒体</t>
    <rPh sb="0" eb="3">
      <t>センデンヒ</t>
    </rPh>
    <rPh sb="3" eb="5">
      <t>バイタイ</t>
    </rPh>
    <phoneticPr fontId="7"/>
  </si>
  <si>
    <t>有形固定資産（製造設備・機械・建物等）および無形固定資産の取得原価を耐用年数にわたって費用配分した金額。キャッシュの支出を伴わない非現金費用であり、PLツリー上では固定費の構成要素として原価関連・販管費に計上される。</t>
    <phoneticPr fontId="7"/>
  </si>
  <si>
    <t>テレビ・デジタル・新聞・雑誌等の広告媒体に出稿するための費用。宣伝費全体のうち、制作費（クリエイティブ制作コスト）を除いた媒体掲載・放映に要するコスト。PLツリー上では販売関連費の構成要素として計上される。</t>
    <phoneticPr fontId="7"/>
  </si>
  <si>
    <t>プランニング実績,損益共有MTG,マーケ生販会議</t>
    <rPh sb="9" eb="11">
      <t>ソンエキ</t>
    </rPh>
    <rPh sb="11" eb="13">
      <t>キョウユウ</t>
    </rPh>
    <rPh sb="20" eb="21">
      <t>ショウ</t>
    </rPh>
    <rPh sb="21" eb="22">
      <t>ハン</t>
    </rPh>
    <rPh sb="22" eb="24">
      <t>カイギ</t>
    </rPh>
    <phoneticPr fontId="7"/>
  </si>
  <si>
    <t>生販価格</t>
    <rPh sb="0" eb="1">
      <t>ショウ</t>
    </rPh>
    <rPh sb="1" eb="2">
      <t>ハン</t>
    </rPh>
    <rPh sb="2" eb="4">
      <t>カカク</t>
    </rPh>
    <phoneticPr fontId="7"/>
  </si>
  <si>
    <t>メーカー（ロッテ）が卸・小売業者等の取引先に対して設定する1個あたりの販売価格。消費者への小売価格（店頭価格）ではなく、メーカーから流通への出荷段階における単価。新アイス新製品・リフレッシュ開発計画表において、新商品・リニューアル商品の採算・販売金額試算の基準値として使用される</t>
    <phoneticPr fontId="7"/>
  </si>
  <si>
    <t>新商品上市</t>
    <rPh sb="0" eb="3">
      <t>シンショウヒン</t>
    </rPh>
    <rPh sb="3" eb="5">
      <t>ジョウシ</t>
    </rPh>
    <phoneticPr fontId="7"/>
  </si>
  <si>
    <t>・定義要確認</t>
    <rPh sb="1" eb="3">
      <t>テイギ</t>
    </rPh>
    <rPh sb="3" eb="6">
      <t>ヨウカクニン</t>
    </rPh>
    <phoneticPr fontId="7"/>
  </si>
  <si>
    <t>社内上代</t>
    <rPh sb="0" eb="2">
      <t>シャナイ</t>
    </rPh>
    <rPh sb="2" eb="4">
      <t>ジョウダイ</t>
    </rPh>
    <phoneticPr fontId="7"/>
  </si>
  <si>
    <t>SKU整理</t>
    <rPh sb="3" eb="5">
      <t>セイリ</t>
    </rPh>
    <phoneticPr fontId="7"/>
  </si>
  <si>
    <t>26年4月度SCM会議資料（物流企画一課）.pptx</t>
    <phoneticPr fontId="7"/>
  </si>
  <si>
    <r>
      <rPr>
        <b/>
        <sz val="10"/>
        <color rgb="FFFF0000"/>
        <rFont val="Meiryo UI"/>
        <family val="3"/>
        <charset val="128"/>
      </rPr>
      <t>総売上</t>
    </r>
    <r>
      <rPr>
        <sz val="10"/>
        <color theme="1"/>
        <rFont val="Meiryo UI"/>
        <family val="3"/>
        <charset val="128"/>
      </rPr>
      <t>に対する物流費の比率。物流コスト効率の主要KPI。菓子・アイス・合計の3区分で管理される。</t>
    </r>
    <rPh sb="0" eb="2">
      <t>ソウウ</t>
    </rPh>
    <rPh sb="2" eb="3">
      <t>ア</t>
    </rPh>
    <phoneticPr fontId="7"/>
  </si>
  <si>
    <t>物流費=一次配送+二次配送+保管料+荷役料+その他</t>
    <rPh sb="0" eb="3">
      <t>ブツリュウヒ</t>
    </rPh>
    <rPh sb="4" eb="6">
      <t>イチジ</t>
    </rPh>
    <rPh sb="6" eb="8">
      <t>ハイソウ</t>
    </rPh>
    <rPh sb="9" eb="13">
      <t>ニジハイソウ</t>
    </rPh>
    <rPh sb="14" eb="16">
      <t>ホカン</t>
    </rPh>
    <rPh sb="16" eb="17">
      <t>リョウ</t>
    </rPh>
    <rPh sb="18" eb="20">
      <t>ニエキ</t>
    </rPh>
    <rPh sb="20" eb="21">
      <t>リョウ</t>
    </rPh>
    <rPh sb="24" eb="25">
      <t>タ</t>
    </rPh>
    <phoneticPr fontId="7"/>
  </si>
  <si>
    <t>24年問題対策費</t>
    <rPh sb="2" eb="3">
      <t>ネン</t>
    </rPh>
    <rPh sb="3" eb="5">
      <t>モンダイ</t>
    </rPh>
    <rPh sb="5" eb="8">
      <t>タイサクヒ</t>
    </rPh>
    <phoneticPr fontId="7"/>
  </si>
  <si>
    <t>物流2024年問題対策に関する費用は切り出して管理</t>
    <rPh sb="0" eb="2">
      <t>ブツリュウ</t>
    </rPh>
    <rPh sb="6" eb="7">
      <t>ネン</t>
    </rPh>
    <rPh sb="7" eb="9">
      <t>モンダイ</t>
    </rPh>
    <rPh sb="9" eb="11">
      <t>タイサク</t>
    </rPh>
    <rPh sb="12" eb="13">
      <t>カン</t>
    </rPh>
    <rPh sb="15" eb="17">
      <t>ヒヨウ</t>
    </rPh>
    <rPh sb="18" eb="19">
      <t>キ</t>
    </rPh>
    <rPh sb="20" eb="21">
      <t>ダ</t>
    </rPh>
    <rPh sb="23" eb="25">
      <t>カンリ</t>
    </rPh>
    <phoneticPr fontId="7"/>
  </si>
  <si>
    <t>要確認</t>
    <rPh sb="0" eb="3">
      <t>ヨウカクニン</t>
    </rPh>
    <phoneticPr fontId="7"/>
  </si>
  <si>
    <t>物流費報告</t>
    <rPh sb="0" eb="3">
      <t>ブツリュウヒ</t>
    </rPh>
    <rPh sb="3" eb="5">
      <t>ホウコク</t>
    </rPh>
    <phoneticPr fontId="7"/>
  </si>
  <si>
    <t>物流企画一課, 物流企画二課</t>
    <phoneticPr fontId="7"/>
  </si>
  <si>
    <t>物流企画一課</t>
    <phoneticPr fontId="7"/>
  </si>
  <si>
    <t>支払い報告　　　_エグゼクティブサマリ2026.04.27.pptx</t>
    <phoneticPr fontId="7"/>
  </si>
  <si>
    <t>支払い報告サマリ</t>
    <rPh sb="0" eb="2">
      <t>シハラ</t>
    </rPh>
    <rPh sb="3" eb="5">
      <t>ホウコク</t>
    </rPh>
    <phoneticPr fontId="7"/>
  </si>
  <si>
    <t>限界利益</t>
    <phoneticPr fontId="7"/>
  </si>
  <si>
    <t>SCM会議（商品別限界利益率分析・VC改革検討）</t>
    <phoneticPr fontId="7"/>
  </si>
  <si>
    <t>第1回SCM議事録</t>
    <rPh sb="0" eb="1">
      <t>ダイ</t>
    </rPh>
    <rPh sb="2" eb="3">
      <t>カイ</t>
    </rPh>
    <rPh sb="6" eb="9">
      <t>ギジロク</t>
    </rPh>
    <phoneticPr fontId="7"/>
  </si>
  <si>
    <t>4月SCM需給、SCM大会、SCM会議, 第2回SCM会議</t>
    <rPh sb="17" eb="19">
      <t>カイギ</t>
    </rPh>
    <rPh sb="21" eb="22">
      <t>ダイ</t>
    </rPh>
    <rPh sb="23" eb="24">
      <t>カイ</t>
    </rPh>
    <rPh sb="27" eb="29">
      <t>カイギ</t>
    </rPh>
    <phoneticPr fontId="7"/>
  </si>
  <si>
    <t>売上に対する特売費の比率。営業利益管理の主要KPI。</t>
    <phoneticPr fontId="7"/>
  </si>
  <si>
    <t>第2回SCM議事録</t>
    <rPh sb="0" eb="1">
      <t>ダイ</t>
    </rPh>
    <rPh sb="2" eb="3">
      <t>カイ</t>
    </rPh>
    <rPh sb="6" eb="9">
      <t>ギジロク</t>
    </rPh>
    <phoneticPr fontId="7"/>
  </si>
  <si>
    <t>滞貨</t>
    <phoneticPr fontId="7"/>
  </si>
  <si>
    <t>通常の計画外に残存する過剰在庫を指し、別途消化管理の対象となる。キャンディの生販在計画で確認。生販在計画表において「●滞貨」と表示される商品行。</t>
    <phoneticPr fontId="7"/>
  </si>
  <si>
    <t>SCM会議（物流効率化法改正対応・中長期計画策定）</t>
    <phoneticPr fontId="7"/>
  </si>
  <si>
    <t>中長期計画共有,　SCM会議（物流効率化法改正対応）</t>
    <rPh sb="12" eb="14">
      <t>カイギ</t>
    </rPh>
    <rPh sb="15" eb="17">
      <t>ブツリュウ</t>
    </rPh>
    <rPh sb="17" eb="20">
      <t>コウリツカ</t>
    </rPh>
    <rPh sb="20" eb="21">
      <t>ホウ</t>
    </rPh>
    <rPh sb="21" eb="23">
      <t>カイセイ</t>
    </rPh>
    <rPh sb="23" eb="25">
      <t>タイオウ</t>
    </rPh>
    <phoneticPr fontId="7"/>
  </si>
  <si>
    <t>中長期計画共有, 第3回SCM議事録</t>
    <rPh sb="9" eb="10">
      <t>ダイ</t>
    </rPh>
    <rPh sb="11" eb="12">
      <t>カイ</t>
    </rPh>
    <rPh sb="15" eb="18">
      <t>ギジロク</t>
    </rPh>
    <phoneticPr fontId="7"/>
  </si>
  <si>
    <t>第3回SCM議事録</t>
    <phoneticPr fontId="7"/>
  </si>
  <si>
    <t>SCM会議（物流効率化法改正対応）</t>
    <phoneticPr fontId="7"/>
  </si>
  <si>
    <t>第二種荷主</t>
    <rPh sb="1" eb="2">
      <t>ニ</t>
    </rPh>
    <phoneticPr fontId="7"/>
  </si>
  <si>
    <t>廃棄焼却申請【仕切価格】</t>
    <rPh sb="7" eb="9">
      <t>シキ</t>
    </rPh>
    <rPh sb="9" eb="11">
      <t>カカク</t>
    </rPh>
    <phoneticPr fontId="7"/>
  </si>
  <si>
    <t>廃棄焼却申請【標準原価】</t>
    <rPh sb="7" eb="11">
      <t>ヒョウジュンゲンカ</t>
    </rPh>
    <phoneticPr fontId="7"/>
  </si>
  <si>
    <t>賞味期限超過や過剰在庫等により出荷見込みのない商品の廃棄処理を申請する手続き。SCM本部物流部が月次で申請・報告する。仕切価格ベースで金額を管理。フードバンク寄付が可能な場合は別途計上。</t>
    <phoneticPr fontId="7"/>
  </si>
  <si>
    <t>賞味期限超過や過剰在庫等により出荷見込みのない商品の廃棄処理を申請する手続き。SCM本部物流部が月次で申請・報告する。標準原価ベースで金額を管理。フードバンク寄付が可能な場合は別途計上。</t>
    <rPh sb="59" eb="63">
      <t>ヒョウジュンゲンカ</t>
    </rPh>
    <phoneticPr fontId="7"/>
  </si>
  <si>
    <t>他社ドライバー（白ナンバー含む）から貨物を受け取る、または引き渡す側（主に着荷主）。ただし引取物流では着荷主が運送契約主体となる場合、発荷側が第二種荷主となる。</t>
    <rPh sb="21" eb="22">
      <t>ウ</t>
    </rPh>
    <rPh sb="23" eb="24">
      <t>ト</t>
    </rPh>
    <rPh sb="29" eb="30">
      <t>ヒ</t>
    </rPh>
    <rPh sb="31" eb="32">
      <t>ワタ</t>
    </rPh>
    <rPh sb="51" eb="53">
      <t>チャクニ</t>
    </rPh>
    <rPh sb="53" eb="54">
      <t>ヌシ</t>
    </rPh>
    <rPh sb="55" eb="57">
      <t>ウンソウ</t>
    </rPh>
    <rPh sb="57" eb="59">
      <t>ケイヤク</t>
    </rPh>
    <rPh sb="59" eb="61">
      <t>シュタイ</t>
    </rPh>
    <rPh sb="64" eb="66">
      <t>バアイ</t>
    </rPh>
    <rPh sb="67" eb="68">
      <t>ハツ</t>
    </rPh>
    <rPh sb="68" eb="69">
      <t>ニ</t>
    </rPh>
    <rPh sb="69" eb="70">
      <t>ガワ</t>
    </rPh>
    <rPh sb="71" eb="72">
      <t>ダイ</t>
    </rPh>
    <rPh sb="72" eb="74">
      <t>ニシュ</t>
    </rPh>
    <rPh sb="74" eb="76">
      <t>ニヌシ</t>
    </rPh>
    <phoneticPr fontId="7"/>
  </si>
  <si>
    <t>運送契約を締結して輸送を委託する側（主に発荷主）。ただし引取物流では着荷主が契約主体となる場合、着荷主が第一種荷主となる。</t>
    <rPh sb="0" eb="2">
      <t>ウンソウ</t>
    </rPh>
    <rPh sb="2" eb="4">
      <t>ケイヤク</t>
    </rPh>
    <rPh sb="5" eb="7">
      <t>テイケツ</t>
    </rPh>
    <rPh sb="9" eb="11">
      <t>ユソウ</t>
    </rPh>
    <rPh sb="12" eb="14">
      <t>イタク</t>
    </rPh>
    <rPh sb="16" eb="17">
      <t>ガワ</t>
    </rPh>
    <rPh sb="18" eb="19">
      <t>オモ</t>
    </rPh>
    <rPh sb="20" eb="21">
      <t>ハツ</t>
    </rPh>
    <rPh sb="21" eb="23">
      <t>ニヌシ</t>
    </rPh>
    <rPh sb="28" eb="30">
      <t>ヒキトリ</t>
    </rPh>
    <rPh sb="30" eb="32">
      <t>ブツリュウ</t>
    </rPh>
    <rPh sb="34" eb="35">
      <t>キ</t>
    </rPh>
    <rPh sb="35" eb="37">
      <t>ニヌシ</t>
    </rPh>
    <rPh sb="38" eb="40">
      <t>ケイヤク</t>
    </rPh>
    <rPh sb="40" eb="42">
      <t>シュタイ</t>
    </rPh>
    <rPh sb="45" eb="47">
      <t>バアイ</t>
    </rPh>
    <rPh sb="48" eb="49">
      <t>キ</t>
    </rPh>
    <rPh sb="49" eb="51">
      <t>ニヌシ</t>
    </rPh>
    <rPh sb="52" eb="53">
      <t>ダイ</t>
    </rPh>
    <rPh sb="53" eb="55">
      <t>イッシュ</t>
    </rPh>
    <rPh sb="55" eb="57">
      <t>ニヌシ</t>
    </rPh>
    <phoneticPr fontId="7"/>
  </si>
  <si>
    <t>物流効率化法（改正物流総合効率化法）において、年間取扱貨物量が9万トン以上となる荷主事業者。</t>
    <phoneticPr fontId="7"/>
  </si>
  <si>
    <t>NB</t>
    <phoneticPr fontId="7"/>
  </si>
  <si>
    <t>PB</t>
    <phoneticPr fontId="7"/>
  </si>
  <si>
    <t>NB＝National Brand（メーカーブランド）。</t>
    <phoneticPr fontId="7"/>
  </si>
  <si>
    <t>PB＝Private Brand（小売業固有商品）。</t>
    <phoneticPr fontId="7"/>
  </si>
  <si>
    <t>VC改革</t>
    <rPh sb="2" eb="4">
      <t>カイカク</t>
    </rPh>
    <phoneticPr fontId="7"/>
  </si>
  <si>
    <t>第3回SCM会議</t>
    <rPh sb="0" eb="1">
      <t>ダイ</t>
    </rPh>
    <rPh sb="2" eb="3">
      <t>カイ</t>
    </rPh>
    <rPh sb="6" eb="8">
      <t>カイギ</t>
    </rPh>
    <phoneticPr fontId="7"/>
  </si>
  <si>
    <t>時間・分</t>
    <rPh sb="3" eb="4">
      <t>フン</t>
    </rPh>
    <phoneticPr fontId="7"/>
  </si>
  <si>
    <t>中長期計画共有, SCM企画課MT, SCM会議</t>
    <rPh sb="22" eb="24">
      <t>カイギ</t>
    </rPh>
    <phoneticPr fontId="7"/>
  </si>
  <si>
    <t>中長期計画共有（荷役時間の可視化・パレット化推進）, SCM会議（物流効率化法改正）</t>
    <rPh sb="30" eb="32">
      <t>カイギ</t>
    </rPh>
    <rPh sb="33" eb="35">
      <t>ブツリュウ</t>
    </rPh>
    <rPh sb="35" eb="38">
      <t>コウリツカ</t>
    </rPh>
    <rPh sb="38" eb="39">
      <t>ホウ</t>
    </rPh>
    <rPh sb="39" eb="41">
      <t>カイセイ</t>
    </rPh>
    <phoneticPr fontId="7"/>
  </si>
  <si>
    <t>生販会議, 振返アイス, 振返ガム, 振返キャン, 振返チョコ, 振返ビス, SCM本部会議全体, SCM会議</t>
    <rPh sb="53" eb="55">
      <t>カイギ</t>
    </rPh>
    <phoneticPr fontId="7"/>
  </si>
  <si>
    <t>限界利益領域</t>
    <rPh sb="0" eb="2">
      <t>ゲンカイ</t>
    </rPh>
    <rPh sb="2" eb="4">
      <t>リエキ</t>
    </rPh>
    <rPh sb="4" eb="6">
      <t>リョウイキ</t>
    </rPh>
    <phoneticPr fontId="7"/>
  </si>
  <si>
    <t>総売上・変動費に関する指標の総称。具体的には、単価・個数、特売費、原材料費、運賃、保管料を指す。SCM会議での重点議論対象費目</t>
    <rPh sb="0" eb="1">
      <t>ソウ</t>
    </rPh>
    <rPh sb="1" eb="3">
      <t>ウリアゲ</t>
    </rPh>
    <rPh sb="4" eb="6">
      <t>ヘンドウ</t>
    </rPh>
    <rPh sb="6" eb="7">
      <t>ヒ</t>
    </rPh>
    <rPh sb="8" eb="9">
      <t>カン</t>
    </rPh>
    <rPh sb="11" eb="13">
      <t>シヒョウ</t>
    </rPh>
    <rPh sb="14" eb="16">
      <t>ソウショウ</t>
    </rPh>
    <rPh sb="17" eb="20">
      <t>グタイテキ</t>
    </rPh>
    <rPh sb="23" eb="25">
      <t>タンカ</t>
    </rPh>
    <rPh sb="26" eb="28">
      <t>コスウ</t>
    </rPh>
    <rPh sb="29" eb="31">
      <t>トクバイ</t>
    </rPh>
    <rPh sb="31" eb="32">
      <t>ヒ</t>
    </rPh>
    <rPh sb="33" eb="36">
      <t>ゲンザイリョウ</t>
    </rPh>
    <rPh sb="36" eb="37">
      <t>ヒ</t>
    </rPh>
    <rPh sb="38" eb="40">
      <t>ウンチン</t>
    </rPh>
    <rPh sb="41" eb="43">
      <t>ホカン</t>
    </rPh>
    <rPh sb="43" eb="44">
      <t>リョウ</t>
    </rPh>
    <rPh sb="45" eb="46">
      <t>サ</t>
    </rPh>
    <rPh sb="51" eb="53">
      <t>カイギ</t>
    </rPh>
    <rPh sb="55" eb="57">
      <t>ジュウテン</t>
    </rPh>
    <rPh sb="57" eb="59">
      <t>ギロン</t>
    </rPh>
    <rPh sb="59" eb="61">
      <t>タイショウ</t>
    </rPh>
    <rPh sb="61" eb="63">
      <t>ヒモク</t>
    </rPh>
    <phoneticPr fontId="7"/>
  </si>
  <si>
    <t>SCM会議（KPI）</t>
    <phoneticPr fontId="7"/>
  </si>
  <si>
    <t>SCM会議</t>
    <phoneticPr fontId="7"/>
  </si>
  <si>
    <t>一次輸送費</t>
    <rPh sb="4" eb="5">
      <t>ヒ</t>
    </rPh>
    <phoneticPr fontId="7"/>
  </si>
  <si>
    <t>一次配送費</t>
    <rPh sb="0" eb="4">
      <t>イチジハイソウ</t>
    </rPh>
    <rPh sb="4" eb="5">
      <t>ヒ</t>
    </rPh>
    <phoneticPr fontId="7"/>
  </si>
  <si>
    <t>物流費報告, SCM本部会議全体, 物流企画一課, 物流企画二課, SCM会議</t>
    <rPh sb="37" eb="39">
      <t>カイギ</t>
    </rPh>
    <phoneticPr fontId="7"/>
  </si>
  <si>
    <t>工場（または物流センター）から物流センター（または直接大型卸の拠点）への輸送を指し、物流費の内訳の一つ。長距離・大量輸送が主体で、消費地に先に運ぶ政策（前送り政策）の影響を受けやすい。</t>
    <rPh sb="6" eb="8">
      <t>ブツリュウ</t>
    </rPh>
    <rPh sb="39" eb="40">
      <t>サ</t>
    </rPh>
    <phoneticPr fontId="7"/>
  </si>
  <si>
    <t>ロッテ様_S&amp;OP事例紹介資料_v1.0.pdf</t>
    <phoneticPr fontId="7"/>
  </si>
  <si>
    <t>小売金額</t>
    <rPh sb="0" eb="4">
      <t>コウリキンガク</t>
    </rPh>
    <phoneticPr fontId="7"/>
  </si>
  <si>
    <t>スーパー・CVS・ドラッグストア等の小売店舗において、消費者が実際に購入した際の販売金額の合計。メーカーの出荷金額や卸売金額ではなく、最終消費者への販売段階での金額。日本菓子協会統計資料をもとに集計され、菓子市場全体の規模把握・カテゴリ別構成比分析に使用される</t>
    <phoneticPr fontId="7"/>
  </si>
  <si>
    <t>二次配送費</t>
    <rPh sb="4" eb="5">
      <t>ヒ</t>
    </rPh>
    <phoneticPr fontId="7"/>
  </si>
  <si>
    <t>菓子市場動向分析</t>
    <phoneticPr fontId="7"/>
  </si>
  <si>
    <t>二次輸送費</t>
    <rPh sb="0" eb="2">
      <t>ニジ</t>
    </rPh>
    <rPh sb="2" eb="4">
      <t>ユソウ</t>
    </rPh>
    <rPh sb="4" eb="5">
      <t>ヒ</t>
    </rPh>
    <phoneticPr fontId="7"/>
  </si>
  <si>
    <t>物流センターから地域内の卸店・小売店への近距離・小口配送。運賃保管料の内訳の一つ。</t>
    <rPh sb="8" eb="10">
      <t>チイキ</t>
    </rPh>
    <rPh sb="10" eb="11">
      <t>ナイ</t>
    </rPh>
    <rPh sb="20" eb="23">
      <t>キンキョリ</t>
    </rPh>
    <rPh sb="24" eb="26">
      <t>コグチ</t>
    </rPh>
    <rPh sb="29" eb="33">
      <t>ウンチンホカン</t>
    </rPh>
    <rPh sb="33" eb="34">
      <t>リョウ</t>
    </rPh>
    <phoneticPr fontId="7"/>
  </si>
  <si>
    <t>物流費報告, SCM本部会議全体, 物流企画一課, 物流企画二課、SCM会議</t>
    <rPh sb="36" eb="38">
      <t>カイギ</t>
    </rPh>
    <phoneticPr fontId="7"/>
  </si>
  <si>
    <t>徳用</t>
  </si>
  <si>
    <t>無垢</t>
  </si>
  <si>
    <t>センター</t>
  </si>
  <si>
    <t>チョコスナック</t>
  </si>
  <si>
    <t>子供菓子</t>
  </si>
  <si>
    <t>ナッツ</t>
  </si>
  <si>
    <t>スティック</t>
  </si>
  <si>
    <t>チョコレート市場の機能別分類の一つ。チョコレート以外の混ぜ物がない商品（二層構造のものを含む）。</t>
  </si>
  <si>
    <t>チョコレート市場の機能別分類の一つ。クリーム・洋酒・細かく砕いたクランチ・キャラメル・スナック等がチョコレートの中に入っている商品。クリーム・洋酒・ジュレなどの中に乾燥フルーツが入ったものも含む。</t>
  </si>
  <si>
    <t>チョコレート市場の機能別分類の一つ。スナック（ビスケット・プレッツェル・クッキー等）が主体的なチョコレート商品。チョコレートの中にそのままの果実が入ったものも含む。</t>
  </si>
  <si>
    <t>チョコレート市場の機能別分類の一つ。子供向けのキャラクターもの・玩具付き商品が該当する。アニメ・ゲームのキャラクターを使用した商品およびスポーツ応援系商品を含む。</t>
  </si>
  <si>
    <t>チョコレート市場の機能別分類の一つ。チョコレートの中にアーモンド・ピーナッツ等のナッツ類が入っている商品。木の実・栗・クルミ・大豆を含む。</t>
  </si>
  <si>
    <t>チョコレート市場の機能別分類の一つ。形状がスティック状（細長い棒状）のチョコレート商品。他分類でスティック形状のものは形状属性として本分類に含まれる場合がある。</t>
  </si>
  <si>
    <t>チョコレートサブカテゴリ別市場分析</t>
    <phoneticPr fontId="7"/>
  </si>
  <si>
    <t>ガムサブカテゴリ別市場分析</t>
    <phoneticPr fontId="7"/>
  </si>
  <si>
    <r>
      <t>商品の工場出荷から消費地までの輸送・保管・荷役にかかる費用の総称。一次輸送・二次配送・保管荷役料・その他に分類される。</t>
    </r>
    <r>
      <rPr>
        <b/>
        <sz val="10"/>
        <color rgb="FFFF0000"/>
        <rFont val="Meiryo UI"/>
        <family val="3"/>
        <charset val="128"/>
      </rPr>
      <t>SCM本部物流はその他を除く3費目を管理し、純</t>
    </r>
    <r>
      <rPr>
        <sz val="10"/>
        <color theme="1"/>
        <rFont val="Meiryo UI"/>
        <family val="3"/>
        <charset val="128"/>
      </rPr>
      <t>売上に対する経費率（物流費率）で評価される。</t>
    </r>
    <rPh sb="69" eb="70">
      <t>タ</t>
    </rPh>
    <rPh sb="71" eb="72">
      <t>ノゾ</t>
    </rPh>
    <rPh sb="74" eb="76">
      <t>ヒモク</t>
    </rPh>
    <rPh sb="77" eb="79">
      <t>カンリ</t>
    </rPh>
    <rPh sb="81" eb="82">
      <t>ジュン</t>
    </rPh>
    <phoneticPr fontId="7"/>
  </si>
  <si>
    <t>物流費報告, SCM会議, 第3回SCM議事録, SCM本部会議全体, 物流企画一課, 物流企画二課, SCM大会</t>
    <rPh sb="55" eb="57">
      <t>タイカイ</t>
    </rPh>
    <phoneticPr fontId="7"/>
  </si>
  <si>
    <t>デンタル</t>
  </si>
  <si>
    <t>エチケット</t>
  </si>
  <si>
    <t>眠気すっきり</t>
  </si>
  <si>
    <t>味を楽しむ</t>
  </si>
  <si>
    <t>キッズ・キャラクター</t>
  </si>
  <si>
    <t>ガム市場のサブカテゴリの一つ。歯の健康・口腔ケアを主な訴求軸とするガム商品。虫歯予防・歯を白くする・歯周病ケア等の機能性を前面に打ち出した商品群。市場構成比最大（45.1%）のカテゴリ。</t>
  </si>
  <si>
    <t>ガム市場のサブカテゴリの一つ。口臭予防・口内爽快感など、エチケット（対人配慮）を主な訴求軸とするガム商品。ミント・メントール系の清涼感を特徴とする商品群。市場構成比第2位（36.1%）のカテゴリ。</t>
  </si>
  <si>
    <t>ガム市場のサブカテゴリの一つ。眠気を覚ます・集中力を高める等の覚醒・リフレッシュ効果を主な訴求軸とするガム商品。カフェイン配合やメントール高配合等の機能性商品が中心。</t>
  </si>
  <si>
    <t>ガム市場のサブカテゴリの一つ。健康機能よりも味わいや風味を楽しむことを主な訴求軸とするガム商品。フルーツ系・コーラ系・グミ食感等、バラエティ豊かなフレーバー展開が特徴。</t>
  </si>
  <si>
    <t>ガム市場のサブカテゴリの一つ。子供を主なターゲットとしたガム商品。アニメ・ゲーム等のキャラクターIPを使用したパッケージや、子供向けに設計された味・形状の商品が該当する。</t>
  </si>
  <si>
    <t>チョコレート市場の機能別分類の一つ。大袋に入った徳用タイプおよびファミリーサイズのチョコレート商品。複数人での共有・まとめ買いを主目的とした大容量品が該当する。</t>
  </si>
  <si>
    <t>滞貨金額</t>
    <rPh sb="2" eb="4">
      <t>キンガク</t>
    </rPh>
    <phoneticPr fontId="7"/>
  </si>
  <si>
    <t>実在庫 − 標準在庫水準</t>
    <phoneticPr fontId="7"/>
  </si>
  <si>
    <t>Biz, 値引書, 約定外値引対応、菓初</t>
    <rPh sb="18" eb="19">
      <t>カ</t>
    </rPh>
    <rPh sb="19" eb="20">
      <t>ハツ</t>
    </rPh>
    <phoneticPr fontId="7"/>
  </si>
  <si>
    <t>生販在計画表（キャンディ等）における過剰在庫の別管理, SCM会議（在庫適正化）,滞貨帳票管理、振り返りMTG参照, SCM本部会議（滞貨帳票・不動在庫確認）, 需給部月次管理（滞貨実績管理）</t>
    <rPh sb="31" eb="33">
      <t>カイギ</t>
    </rPh>
    <rPh sb="34" eb="36">
      <t>ザイコ</t>
    </rPh>
    <rPh sb="36" eb="39">
      <t>テキセイカ</t>
    </rPh>
    <phoneticPr fontId="7"/>
  </si>
  <si>
    <t>営業推進業務（滞貨在庫消化）</t>
    <phoneticPr fontId="7"/>
  </si>
  <si>
    <t>月末事前キャン, 第2回SCM議事録、振返アイス, 振返ガム, 振返チョコ, 振返ビス, 振返キャン, SCM本部会議全体, 4月SCM需給, SCM大会</t>
    <rPh sb="9" eb="10">
      <t>ダイ</t>
    </rPh>
    <rPh sb="11" eb="12">
      <t>カイ</t>
    </rPh>
    <rPh sb="15" eb="18">
      <t>ギジロク</t>
    </rPh>
    <rPh sb="75" eb="77">
      <t>タイカイ</t>
    </rPh>
    <phoneticPr fontId="7"/>
  </si>
  <si>
    <t>SCM大会（KPI）</t>
    <rPh sb="3" eb="5">
      <t>タイカイ</t>
    </rPh>
    <phoneticPr fontId="7"/>
  </si>
  <si>
    <t>10_システム</t>
  </si>
  <si>
    <t>SCM大会</t>
    <rPh sb="3" eb="5">
      <t>タイカイ</t>
    </rPh>
    <phoneticPr fontId="7"/>
  </si>
  <si>
    <t>滞貨在庫の金額</t>
    <rPh sb="0" eb="2">
      <t>タイカ</t>
    </rPh>
    <rPh sb="2" eb="4">
      <t>ザイコ</t>
    </rPh>
    <rPh sb="5" eb="7">
      <t>キンガク</t>
    </rPh>
    <phoneticPr fontId="7"/>
  </si>
  <si>
    <t>滞貨在庫数量　×　1つあたり原価</t>
    <rPh sb="0" eb="2">
      <t>タイカ</t>
    </rPh>
    <rPh sb="2" eb="4">
      <t>ザイコ</t>
    </rPh>
    <rPh sb="4" eb="6">
      <t>スウリョウ</t>
    </rPh>
    <rPh sb="14" eb="16">
      <t>ゲンカ</t>
    </rPh>
    <phoneticPr fontId="7"/>
  </si>
  <si>
    <t>廃棄金額（原価）</t>
    <rPh sb="0" eb="2">
      <t>ハイキ</t>
    </rPh>
    <rPh sb="2" eb="4">
      <t>キンガク</t>
    </rPh>
    <rPh sb="5" eb="7">
      <t>ゲンカ</t>
    </rPh>
    <phoneticPr fontId="7"/>
  </si>
  <si>
    <t>最終NET</t>
    <phoneticPr fontId="7"/>
  </si>
  <si>
    <t>卸店がロッテから商品を仕入れる実質的な価格。仕切りからフィ（卸店の販売フィ）と値差補填を差し引いた金額。卸店にとっての実質的な仕入れコストを示す。</t>
    <phoneticPr fontId="7"/>
  </si>
  <si>
    <t>廃棄金額（仕切）</t>
    <rPh sb="0" eb="2">
      <t>ハイキ</t>
    </rPh>
    <rPh sb="2" eb="4">
      <t>キンガク</t>
    </rPh>
    <rPh sb="5" eb="7">
      <t>シキ</t>
    </rPh>
    <phoneticPr fontId="7"/>
  </si>
  <si>
    <t>仕切り −（フィ ＋ 値差補填）</t>
    <phoneticPr fontId="7"/>
  </si>
  <si>
    <t>価格決定</t>
    <rPh sb="0" eb="2">
      <t>カカク</t>
    </rPh>
    <rPh sb="2" eb="4">
      <t>ケッテイ</t>
    </rPh>
    <phoneticPr fontId="7"/>
  </si>
  <si>
    <t>菓初</t>
    <rPh sb="0" eb="1">
      <t>カ</t>
    </rPh>
    <rPh sb="1" eb="2">
      <t>ハツ</t>
    </rPh>
    <phoneticPr fontId="7"/>
  </si>
  <si>
    <t>倉庫キャパ率</t>
    <phoneticPr fontId="7"/>
  </si>
  <si>
    <t>キャパ率, キャパシティ率</t>
    <phoneticPr fontId="7"/>
  </si>
  <si>
    <t>倉庫の保管容量に対する実在庫数量の比率。倉庫の過負荷・余裕度を管理する指標。地場倉庫・地区倉庫別に管理。</t>
    <phoneticPr fontId="7"/>
  </si>
  <si>
    <t>菓子倉庫別キャパシティ管理（物流企画一課）, SCM大会（物流ネットワーク適正化）</t>
    <rPh sb="26" eb="28">
      <t>タイカイ</t>
    </rPh>
    <rPh sb="29" eb="31">
      <t>ブツリュウ</t>
    </rPh>
    <rPh sb="37" eb="40">
      <t>テキセイカ</t>
    </rPh>
    <phoneticPr fontId="7"/>
  </si>
  <si>
    <t>物流企画一課, SCM大会</t>
    <rPh sb="11" eb="13">
      <t>タイカイ</t>
    </rPh>
    <phoneticPr fontId="7"/>
  </si>
  <si>
    <t>EDI</t>
    <phoneticPr fontId="7"/>
  </si>
  <si>
    <t>EDIからの発注率　/　紙FAX発注件数</t>
    <rPh sb="6" eb="8">
      <t>ハッチュウ</t>
    </rPh>
    <rPh sb="8" eb="9">
      <t>リツ</t>
    </rPh>
    <rPh sb="12" eb="13">
      <t>カミ</t>
    </rPh>
    <rPh sb="16" eb="18">
      <t>ハッチュウ</t>
    </rPh>
    <rPh sb="18" eb="20">
      <t>ケンスウ</t>
    </rPh>
    <phoneticPr fontId="7"/>
  </si>
  <si>
    <t>受注本編, SCM大会</t>
    <rPh sb="9" eb="11">
      <t>タイカイ</t>
    </rPh>
    <phoneticPr fontId="7"/>
  </si>
  <si>
    <t>受注管理部KPI, web-EDI展開, SCM大会</t>
    <rPh sb="24" eb="26">
      <t>タイカイ</t>
    </rPh>
    <phoneticPr fontId="7"/>
  </si>
  <si>
    <t>月次報（締め時間実績管理）, 受注管理部KPI</t>
    <rPh sb="15" eb="17">
      <t>ジュチュウ</t>
    </rPh>
    <rPh sb="17" eb="19">
      <t>カンリ</t>
    </rPh>
    <rPh sb="19" eb="20">
      <t>ブ</t>
    </rPh>
    <phoneticPr fontId="7"/>
  </si>
  <si>
    <t>月次報, SCM大会、受注本編</t>
    <rPh sb="8" eb="10">
      <t>タイカイ</t>
    </rPh>
    <phoneticPr fontId="7"/>
  </si>
  <si>
    <t xml:space="preserve">持ち戻りPPT, 受注本編, アイス持ち戻り時系列, 営業起因持ち戻り, 持ち戻りグラフ, SCMTAIKAI </t>
    <rPh sb="27" eb="29">
      <t>エイギョウ</t>
    </rPh>
    <rPh sb="29" eb="31">
      <t>キイン</t>
    </rPh>
    <rPh sb="31" eb="32">
      <t>モ</t>
    </rPh>
    <rPh sb="33" eb="34">
      <t>モド</t>
    </rPh>
    <rPh sb="37" eb="38">
      <t>モ</t>
    </rPh>
    <rPh sb="39" eb="40">
      <t>モド</t>
    </rPh>
    <phoneticPr fontId="7"/>
  </si>
  <si>
    <t>コアラのマーチ＜チョコ＞名前第二弾 ＋ コアラのマーチ＜チョコ＞ ＋ コアラのマーチ＜チョコ＞'26 ＋ コアラのマーチ＜チョコ＞'26夏 ＋ コアラのマーチ＜いちご＞ ＋ コアラのマーチ＜いちご＞名前第二弾 ＋ コアラのマーチ＜いちご＞新</t>
    <phoneticPr fontId="7"/>
  </si>
  <si>
    <t>納価</t>
    <phoneticPr fontId="7"/>
  </si>
  <si>
    <t>卸店が小売店（スーパー等）に商品を納める際の価格。定番時はロッテが設定した定番納価、特売時は「定番納価 − 値差補填」で算出される。納価から最終NETを差し引いた金額が卸店の粗利額となる。</t>
    <phoneticPr fontId="7"/>
  </si>
  <si>
    <t>【定番】ロッテ設定の定番納価 
【特売】定番納価 − 値差補填</t>
    <phoneticPr fontId="7"/>
  </si>
  <si>
    <t>売価</t>
  </si>
  <si>
    <t>小売店（スーパー等）が消費者に販売する際の店頭価格。売価から納価を差し引いた金額が小売店の粗利額となる。定番時は希望小売価格に近い水準、特売時は値ごろ感のある価格に設定される。</t>
    <phoneticPr fontId="7"/>
  </si>
  <si>
    <t>小売店年契-基本</t>
    <rPh sb="0" eb="2">
      <t>コウリ</t>
    </rPh>
    <rPh sb="2" eb="3">
      <t>テン</t>
    </rPh>
    <rPh sb="3" eb="4">
      <t>ネン</t>
    </rPh>
    <rPh sb="4" eb="5">
      <t>ケイ</t>
    </rPh>
    <rPh sb="6" eb="8">
      <t>キホン</t>
    </rPh>
    <phoneticPr fontId="7"/>
  </si>
  <si>
    <t>小売店年契-達成</t>
    <rPh sb="0" eb="2">
      <t>コウリ</t>
    </rPh>
    <rPh sb="2" eb="3">
      <t>テン</t>
    </rPh>
    <rPh sb="3" eb="4">
      <t>ネン</t>
    </rPh>
    <rPh sb="4" eb="5">
      <t>ケイ</t>
    </rPh>
    <rPh sb="6" eb="8">
      <t>タッセイ</t>
    </rPh>
    <phoneticPr fontId="7"/>
  </si>
  <si>
    <t>本部協賛-本部戻</t>
    <rPh sb="0" eb="2">
      <t>ホンブ</t>
    </rPh>
    <rPh sb="2" eb="4">
      <t>キョウサン</t>
    </rPh>
    <rPh sb="5" eb="7">
      <t>ホンブ</t>
    </rPh>
    <rPh sb="7" eb="8">
      <t>モド</t>
    </rPh>
    <phoneticPr fontId="7"/>
  </si>
  <si>
    <t>本部協賛-ポイント戻</t>
    <rPh sb="0" eb="2">
      <t>ホンブ</t>
    </rPh>
    <rPh sb="2" eb="4">
      <t>キョウサン</t>
    </rPh>
    <rPh sb="9" eb="10">
      <t>モド</t>
    </rPh>
    <phoneticPr fontId="7"/>
  </si>
  <si>
    <t>本部協賛-チラシ・POP代</t>
    <rPh sb="0" eb="2">
      <t>ホンブ</t>
    </rPh>
    <rPh sb="2" eb="4">
      <t>キョウサン</t>
    </rPh>
    <rPh sb="12" eb="13">
      <t>ダイ</t>
    </rPh>
    <phoneticPr fontId="7"/>
  </si>
  <si>
    <t>本部協賛-その他</t>
    <rPh sb="0" eb="2">
      <t>ホンブ</t>
    </rPh>
    <rPh sb="2" eb="4">
      <t>キョウサン</t>
    </rPh>
    <rPh sb="7" eb="8">
      <t>タ</t>
    </rPh>
    <phoneticPr fontId="7"/>
  </si>
  <si>
    <t>センターフィ</t>
    <phoneticPr fontId="7"/>
  </si>
  <si>
    <t>実販対策</t>
    <rPh sb="0" eb="1">
      <t>ミノル</t>
    </rPh>
    <rPh sb="1" eb="2">
      <t>ハン</t>
    </rPh>
    <rPh sb="2" eb="4">
      <t>タイサク</t>
    </rPh>
    <phoneticPr fontId="7"/>
  </si>
  <si>
    <t>滞貨品消化</t>
    <rPh sb="0" eb="2">
      <t>タイカ</t>
    </rPh>
    <rPh sb="2" eb="3">
      <t>ヒン</t>
    </rPh>
    <rPh sb="3" eb="5">
      <t>ショウカ</t>
    </rPh>
    <phoneticPr fontId="7"/>
  </si>
  <si>
    <t>資材</t>
    <rPh sb="0" eb="2">
      <t>シザイ</t>
    </rPh>
    <phoneticPr fontId="7"/>
  </si>
  <si>
    <t>SCM会議（特売費適正化）</t>
    <rPh sb="3" eb="5">
      <t>カイギ</t>
    </rPh>
    <rPh sb="6" eb="8">
      <t>トクバイ</t>
    </rPh>
    <rPh sb="8" eb="9">
      <t>ヒ</t>
    </rPh>
    <rPh sb="9" eb="12">
      <t>テキセイカ</t>
    </rPh>
    <phoneticPr fontId="7"/>
  </si>
  <si>
    <t>月次物流費報告（物流企画一課）</t>
    <phoneticPr fontId="7"/>
  </si>
  <si>
    <t>カップ</t>
  </si>
  <si>
    <t>マルチ</t>
  </si>
  <si>
    <t>アイスバー</t>
  </si>
  <si>
    <t>アイス菓子</t>
  </si>
  <si>
    <t>パイント</t>
  </si>
  <si>
    <t>アイスクリームの形態別分類の一つ。カップ（紙・プラスチック容器）に入ったアイス商品。プレミアムアイス市場で最も構成比が高い形態。スプーンで食べるタイプが主体で、高品質・高単価商品が多い。</t>
  </si>
  <si>
    <t>アイスクリームの形態別分類の一つ。複数本・複数個をまとめてパッケージした商品。家庭でのまとめ買い・シェアを目的とした大容量タイプ。</t>
  </si>
  <si>
    <t>アイスクリームの形態別分類の一つ。棒（スティック）付きのアイス商品。個食・携帯性が高く、プレミアム化が急速に進んでいるカテゴリ。</t>
  </si>
  <si>
    <t>アイスクリームの形態別分類の一つ。ビスケット・ウエハース・チョコレート等の菓子素材と組み合わせた複合アイス商品。</t>
  </si>
  <si>
    <t>アイスクリームの形態別分類の一つ。約473ml（1パイント）サイズの大容量カップアイス商品。欧米発祥の形態でプレミアムブランドが多く、自宅での贅沢消費を訴求。</t>
  </si>
  <si>
    <t>アイスサブカテゴリ別市場分析</t>
    <phoneticPr fontId="7"/>
  </si>
  <si>
    <t>営政, TN、氷初</t>
    <rPh sb="7" eb="8">
      <t>コオリ</t>
    </rPh>
    <rPh sb="8" eb="9">
      <t>ハツ</t>
    </rPh>
    <phoneticPr fontId="7"/>
  </si>
  <si>
    <t>配荷店舗数</t>
    <phoneticPr fontId="7"/>
  </si>
  <si>
    <t>採用アイテム数</t>
    <phoneticPr fontId="7"/>
  </si>
  <si>
    <t>当該商品が実際に棚に並べられ販売されている小売店舗の数。定番として採用された店舗のうち、実際に在庫・陳列が確認できる店舗数を指す。配荷店舗数が増えるほど定番売上が拡大する。</t>
    <phoneticPr fontId="7"/>
  </si>
  <si>
    <t>特定の小売チェーン・店舗において定番棚に採用されたロッテ商品のSKU（品目）数。採用アイテム数が増えるほど定番売上が拡大する。チェーン本部との商談により決定され、棚割への反映をもって採用とみなす。</t>
    <phoneticPr fontId="7"/>
  </si>
  <si>
    <t>粗利率</t>
  </si>
  <si>
    <t>定番粗利率</t>
  </si>
  <si>
    <t>特売粗利率</t>
  </si>
  <si>
    <t>納価率</t>
  </si>
  <si>
    <t>小売店が商品を販売した際に得られる利益の、売価に対する割合。売価から納価を差し引いた粗利額を売価で割った値。定番・特売それぞれで算出される。</t>
  </si>
  <si>
    <t>（売価 − 納価） ÷ 売価 × 100</t>
  </si>
  <si>
    <t>定番販売時における小売店の粗利率。定番売価と定番納価の差額を定番売価で除した値。得意先の求める粗利率の目安はおおむね25〜30%前後。</t>
  </si>
  <si>
    <t>（定番売価 − 定番納価） ÷ 定番売価 × 100</t>
  </si>
  <si>
    <t>特売販売時における小売店の粗利率。特売売価と特売納価の差額を特売売価で除した値。定番粗利率より低くなる傾向があり、得意先の求める粗利率の目安はおおむね20%前後。</t>
  </si>
  <si>
    <t>（特売売価 − 特売納価） ÷ 特売売価 × 100</t>
  </si>
  <si>
    <t>売価に対する納価の割合。100%から粗利率を差し引いた値と等しい。納価を納価率で割ると売価が求められ、売価に納価率を掛けると納価が求められる。</t>
  </si>
  <si>
    <t>納価 ÷ 売価 × 100　（= 100% − 粗利率）</t>
  </si>
  <si>
    <t>菓初、氷初</t>
    <rPh sb="0" eb="1">
      <t>カ</t>
    </rPh>
    <rPh sb="1" eb="2">
      <t>ハツ</t>
    </rPh>
    <rPh sb="3" eb="4">
      <t>コオリ</t>
    </rPh>
    <rPh sb="4" eb="5">
      <t>ハツ</t>
    </rPh>
    <phoneticPr fontId="7"/>
  </si>
  <si>
    <t>通常卸</t>
  </si>
  <si>
    <t>遊技場卸</t>
  </si>
  <si>
    <t>特殊卸</t>
  </si>
  <si>
    <t>レール卸</t>
  </si>
  <si>
    <t>特約小売店</t>
  </si>
  <si>
    <t>小売業に対する物流・情報・リテールサポート等を行い、物流・商流を円滑にする機能を持つ卸店。ロッテ特約店の中心的な分類。</t>
  </si>
  <si>
    <t>遊技場（パチンコ店・ゲームセンター等）への販売構成比が50%以上の卸店。</t>
  </si>
  <si>
    <t>特殊売店（駅・空港・観光地・病院等の特定施設内店舗）への販売構成比が50%以上の卸店。</t>
  </si>
  <si>
    <t>レール売店（鉄道駅構内・新幹線車内等の売店）への販売構成比が50%以上の卸店。</t>
  </si>
  <si>
    <t>特約小売業および特殊売店における特約店。ロッテと直接取引をする小売・特殊売店。</t>
  </si>
  <si>
    <t>注文獲得費</t>
    <rPh sb="0" eb="2">
      <t>チュウモン</t>
    </rPh>
    <rPh sb="2" eb="4">
      <t>カクトク</t>
    </rPh>
    <rPh sb="4" eb="5">
      <t>ヒ</t>
    </rPh>
    <phoneticPr fontId="7"/>
  </si>
  <si>
    <t>倉入実績, 店入, 売上,　店入実績、販売実績</t>
    <rPh sb="10" eb="12">
      <t>ウリアゲ</t>
    </rPh>
    <rPh sb="14" eb="15">
      <t>ミセ</t>
    </rPh>
    <rPh sb="15" eb="16">
      <t>ニュウ</t>
    </rPh>
    <rPh sb="16" eb="18">
      <t>ジッセキ</t>
    </rPh>
    <rPh sb="19" eb="23">
      <t>ハンバイジッセキ</t>
    </rPh>
    <phoneticPr fontId="7"/>
  </si>
  <si>
    <t>本社営業推進課が指定ドラッグストア企業および地区選定企業に対して付与する販促費用の金額。特定商品（キシリトールオーラテクト・フッ素対策等）の販売促進を目的として、統括支店ごとに割り当てられた予算から各企業に配分される。指定企業（DRG）と地区選定企業で付与額が異なる</t>
    <phoneticPr fontId="7"/>
  </si>
  <si>
    <t>付与額</t>
    <rPh sb="0" eb="3">
      <t>フヨガク</t>
    </rPh>
    <phoneticPr fontId="7"/>
  </si>
  <si>
    <t>商品別販促予算管理</t>
    <phoneticPr fontId="7"/>
  </si>
  <si>
    <t>店有率</t>
    <phoneticPr fontId="7"/>
  </si>
  <si>
    <t>特定商品が対象店舗の棚に実際に陳列・在庫されている店舗の割合。調査対象となるPF（プライオリティフォーカス）企業の店舗のうち、当該商品が存在している店舗数の比率。配荷店舗数とは異なり、実際に棚に商品が存在しているかを確認した実測値。</t>
    <phoneticPr fontId="7"/>
  </si>
  <si>
    <t>商品が棚に存在している店舗数 ÷ 調査対象店舗数 × 100</t>
    <phoneticPr fontId="7"/>
  </si>
  <si>
    <t>棚割進捗管理</t>
    <phoneticPr fontId="7"/>
  </si>
  <si>
    <t>金額PI</t>
  </si>
  <si>
    <t>1,000人の来店客あたりの購入金額。特定商品が店舗に来店した1,000人に対していくらの売上を生み出したかを示す指標。来店客数が異なるチェーン・店舗間でも商品の販売効率を横並びで比較できる</t>
    <phoneticPr fontId="7"/>
  </si>
  <si>
    <t>商品の販売金額 ÷ 来店客数 × 1,000</t>
    <phoneticPr fontId="7"/>
  </si>
  <si>
    <t>販売動向</t>
    <rPh sb="0" eb="4">
      <t>ハンバイドウコウ</t>
    </rPh>
    <phoneticPr fontId="7"/>
  </si>
  <si>
    <t>点数PI</t>
    <rPh sb="0" eb="2">
      <t>テンスウ</t>
    </rPh>
    <phoneticPr fontId="7"/>
  </si>
  <si>
    <t>1,000人の来店客あたりの購入点数（個数）。特定商品が店舗に来店した1,000人に対して何個販売されたかを示す指標。商品の価格帯に左右されず、純粋な購買頻度・回転率を測る指標として使用される</t>
    <phoneticPr fontId="7"/>
  </si>
  <si>
    <t>商品の販売点数 ÷ 来店客数 × 1,000</t>
    <phoneticPr fontId="7"/>
  </si>
  <si>
    <t>個</t>
    <rPh sb="0" eb="1">
      <t>コ</t>
    </rPh>
    <phoneticPr fontId="7"/>
  </si>
  <si>
    <t>販売店率</t>
    <rPh sb="0" eb="4">
      <t>ハンバイテンリツ</t>
    </rPh>
    <phoneticPr fontId="7"/>
  </si>
  <si>
    <t>要求</t>
    <rPh sb="0" eb="2">
      <t>ヨウキュウ</t>
    </rPh>
    <phoneticPr fontId="7"/>
  </si>
  <si>
    <t>全営</t>
    <rPh sb="0" eb="1">
      <t>ゼン</t>
    </rPh>
    <rPh sb="1" eb="2">
      <t>エイ</t>
    </rPh>
    <phoneticPr fontId="7"/>
  </si>
  <si>
    <t>販売進捗</t>
    <rPh sb="0" eb="2">
      <t>ハンバイ</t>
    </rPh>
    <rPh sb="2" eb="4">
      <t>シンチョク</t>
    </rPh>
    <phoneticPr fontId="7"/>
  </si>
  <si>
    <t>通過率</t>
    <rPh sb="0" eb="3">
      <t>ツウカリツ</t>
    </rPh>
    <phoneticPr fontId="7"/>
  </si>
  <si>
    <t>確認済み数量 ÷ 受注数量 × 100</t>
    <rPh sb="0" eb="3">
      <t>カクニンズ</t>
    </rPh>
    <rPh sb="4" eb="6">
      <t>スウリョウ</t>
    </rPh>
    <rPh sb="9" eb="11">
      <t>ジュチュウ</t>
    </rPh>
    <rPh sb="11" eb="13">
      <t>スウリョウ</t>
    </rPh>
    <phoneticPr fontId="7"/>
  </si>
  <si>
    <t>LP人員数</t>
    <phoneticPr fontId="7"/>
  </si>
  <si>
    <t>統括支店に在籍するLP（ラウンダー・プロモーター等の店頭活動担当者）の人員数。休業者・退社予定者・当月入社者を除いた実働ベースの人数。前月比・欠員数とあわせて人員状況を把握する。</t>
    <phoneticPr fontId="7"/>
  </si>
  <si>
    <t>人</t>
    <rPh sb="0" eb="1">
      <t>ヒト</t>
    </rPh>
    <phoneticPr fontId="7"/>
  </si>
  <si>
    <t>欠員数</t>
    <phoneticPr fontId="7"/>
  </si>
  <si>
    <t>各統括支店において定員に対して不足しているLP人員の数。在籍人員と計画定員の差分。欠員が発生している統括支店では訪問目標の達成に影響が生じる可能性がある。</t>
    <phoneticPr fontId="7"/>
  </si>
  <si>
    <t>管理店舗数</t>
    <phoneticPr fontId="7"/>
  </si>
  <si>
    <t>各統括支店のLPが訪問・管理対象としている小売店舗の総数。1人当たりの管理店舗数（1人当）と組み合わせることでLP1人あたりの担当負荷を把握できる。</t>
    <phoneticPr fontId="7"/>
  </si>
  <si>
    <t>管理店数 ÷ LP人員数 ＝ 1人当管理店舗数</t>
    <phoneticPr fontId="7"/>
  </si>
  <si>
    <t>店</t>
    <rPh sb="0" eb="1">
      <t>ミセ</t>
    </rPh>
    <phoneticPr fontId="7"/>
  </si>
  <si>
    <t>営業基本全体分析</t>
    <rPh sb="0" eb="8">
      <t>エイギョウキホンゼンタイブンセキ</t>
    </rPh>
    <phoneticPr fontId="7"/>
  </si>
  <si>
    <t>LPが管理店舗を訪問した回数の月平均値。訪問目標と訪問実績を対比し、目標未達成者数・未達者率とあわせて活動状況を評価する。累計（4-3月）の月平均で管理される</t>
    <phoneticPr fontId="7"/>
  </si>
  <si>
    <t>訪問回数</t>
    <phoneticPr fontId="7"/>
  </si>
  <si>
    <t>累計訪問回数 ÷ 累計月数</t>
    <phoneticPr fontId="7"/>
  </si>
  <si>
    <t>回</t>
    <rPh sb="0" eb="1">
      <t>カイ</t>
    </rPh>
    <phoneticPr fontId="7"/>
  </si>
  <si>
    <t>LP費用</t>
    <phoneticPr fontId="7"/>
  </si>
  <si>
    <t>LPの活動にかかる費用の累計額。統括支店ごとに地区予算が設定され、実績と対比することで予算進捗・予算差異を管理する。全国ベースで年間予算内に収めることを運用目標としている</t>
    <phoneticPr fontId="7"/>
  </si>
  <si>
    <t>SM+DRAG_250303_260419.xlsx</t>
    <phoneticPr fontId="7"/>
  </si>
  <si>
    <t>入力率</t>
    <rPh sb="0" eb="3">
      <t>ニュウリョクリツ</t>
    </rPh>
    <phoneticPr fontId="7"/>
  </si>
  <si>
    <t>営業担当者が実施した商談のうち、Salesforce（SFA）に商談内容を入力・記録した割合。対象月の商談件数に対して期限内にSalesforceへ入力が完了した件数の比率。統括支店別・月次で管理され、商談情報の可視化・共有状況を示す活動管理指標</t>
    <phoneticPr fontId="7"/>
  </si>
  <si>
    <t>Salesforce入力済み商談件数 ÷ 対象月の総商談件数 × 100</t>
    <phoneticPr fontId="7"/>
  </si>
  <si>
    <t>統括支店別データ</t>
    <rPh sb="0" eb="5">
      <t>トウカツシテンベツ</t>
    </rPh>
    <phoneticPr fontId="7"/>
  </si>
  <si>
    <t>売上（控除前）</t>
    <rPh sb="0" eb="2">
      <t>ウリアゲ</t>
    </rPh>
    <rPh sb="3" eb="5">
      <t>コウジョ</t>
    </rPh>
    <rPh sb="5" eb="6">
      <t>マエ</t>
    </rPh>
    <phoneticPr fontId="7"/>
  </si>
  <si>
    <t>売上控除項目（年契リベート・販促協賛金等の取引先への割戻し）を差し引く前の売上高。事業損益表において各種比率（特売費率・販売費計率等）の分母として使用される基準売上。控除後の純売上高とは異なり、割戻し前の総額ベースの売上を示す</t>
    <phoneticPr fontId="7"/>
  </si>
  <si>
    <t>純売上高 ＋ 売上控除額（年契・協賛金等）</t>
    <phoneticPr fontId="7"/>
  </si>
  <si>
    <t>事業損益</t>
    <rPh sb="0" eb="4">
      <t>ジギョウソンエキ</t>
    </rPh>
    <phoneticPr fontId="7"/>
  </si>
  <si>
    <t>概況精度</t>
    <rPh sb="0" eb="4">
      <t>ガイキョウセイド</t>
    </rPh>
    <phoneticPr fontId="7"/>
  </si>
  <si>
    <t>統括支店が提出した概況（需要予測）の精度を示す指標。倉入実績をAnaplan倉入計画と比較し、概況提出締切日時点での「1ヵ月前」の計画値がどれだけ実績に近かったかを測る。組織評価における評価指標の一つで、菓子・アイスそれぞれウェイト10%（合計20%）で配点される。広域流通のみ「店出実績/Anaplan店出計画」を基準として算出。</t>
    <phoneticPr fontId="7"/>
  </si>
  <si>
    <t>倉入実績 ÷ Anaplan倉入計画（概況提出締切日時点の1ヵ月前計画値）※広域流通は店出実績 ÷ Anaplan店出計画</t>
    <phoneticPr fontId="7"/>
  </si>
  <si>
    <t>倍</t>
    <rPh sb="0" eb="1">
      <t>バイ</t>
    </rPh>
    <phoneticPr fontId="7"/>
  </si>
  <si>
    <t>支店別評価</t>
    <rPh sb="0" eb="3">
      <t>シテンベツ</t>
    </rPh>
    <rPh sb="3" eb="5">
      <t>ヒョウカ</t>
    </rPh>
    <phoneticPr fontId="7"/>
  </si>
  <si>
    <t>1人当たり生産性</t>
    <rPh sb="1" eb="3">
      <t>ニンア</t>
    </rPh>
    <rPh sb="5" eb="8">
      <t>セイサンセイ</t>
    </rPh>
    <phoneticPr fontId="7"/>
  </si>
  <si>
    <t>菓子アイス貢献利益合計 ÷ 職責別指数人員</t>
    <phoneticPr fontId="7"/>
  </si>
  <si>
    <t xml:space="preserve">１年間の人員１人当たりの生産金額効率
</t>
    <phoneticPr fontId="7"/>
  </si>
  <si>
    <t>統括支店の職責別指数人員1人あたりが生み出した菓子・アイス貢献利益合計。組織評価における生産性評価指標で、ウェイト10%で配点される。前年比で評価され、人員効率の改善・悪化を測る。新入社員・試用見習・LPは対象外。産休・育休取得社員は月間暦日数で半分以上休みの場合対象外。</t>
    <phoneticPr fontId="7"/>
  </si>
  <si>
    <t>職責別指数人員</t>
    <phoneticPr fontId="7"/>
  </si>
  <si>
    <t>生産性評価における人員の換算値。職責（役職・グレード）ごとに定められた指数を実際の人員数に乗じて算出した加重人員数。新入社員・試用見習・LPは対象外。産休・育休取得社員は月間暦日数で半分以上休みの場合は除外。単純な人員数ではなく職責の重みを反映した指数で換算することで、人員構成の違いを調整した生産性比較を可能にする。</t>
    <phoneticPr fontId="7"/>
  </si>
  <si>
    <t>要修正フラグ</t>
    <rPh sb="0" eb="1">
      <t>ヨウ</t>
    </rPh>
    <rPh sb="1" eb="3">
      <t>シュウセイ</t>
    </rPh>
    <phoneticPr fontId="7"/>
  </si>
  <si>
    <t>ドラフトに誤りがある場合1を記載</t>
    <rPh sb="5" eb="6">
      <t>アヤマ</t>
    </rPh>
    <rPh sb="10" eb="12">
      <t>バアイ</t>
    </rPh>
    <rPh sb="14" eb="16">
      <t>キサイ</t>
    </rPh>
    <phoneticPr fontId="7"/>
  </si>
  <si>
    <t>定義</t>
    <phoneticPr fontId="7"/>
  </si>
  <si>
    <t>確認対象部門</t>
    <rPh sb="0" eb="2">
      <t>カクニン</t>
    </rPh>
    <rPh sb="2" eb="4">
      <t>タイショウ</t>
    </rPh>
    <rPh sb="4" eb="6">
      <t>ブモン</t>
    </rPh>
    <phoneticPr fontId="7"/>
  </si>
  <si>
    <t>収益企画部担当者</t>
    <rPh sb="0" eb="5">
      <t>シュウエキキカクブ</t>
    </rPh>
    <rPh sb="5" eb="7">
      <t>タントウ</t>
    </rPh>
    <rPh sb="7" eb="8">
      <t>シャ</t>
    </rPh>
    <phoneticPr fontId="7"/>
  </si>
  <si>
    <t>人件費率(純売比)</t>
    <rPh sb="0" eb="4">
      <t>ジンケンヒリツ</t>
    </rPh>
    <rPh sb="5" eb="6">
      <t>ジュン</t>
    </rPh>
    <rPh sb="6" eb="7">
      <t>ウ</t>
    </rPh>
    <rPh sb="7" eb="8">
      <t>ヒ</t>
    </rPh>
    <phoneticPr fontId="7"/>
  </si>
  <si>
    <t>人件費率(総売比)</t>
    <rPh sb="0" eb="4">
      <t>ジンケンヒリツ</t>
    </rPh>
    <rPh sb="5" eb="6">
      <t>ソウ</t>
    </rPh>
    <rPh sb="6" eb="7">
      <t>ウ</t>
    </rPh>
    <rPh sb="7" eb="8">
      <t>ヒ</t>
    </rPh>
    <phoneticPr fontId="7"/>
  </si>
  <si>
    <t>人件費</t>
    <rPh sb="0" eb="3">
      <t>ジンケンヒ</t>
    </rPh>
    <phoneticPr fontId="7"/>
  </si>
  <si>
    <t>時間</t>
    <phoneticPr fontId="7"/>
  </si>
  <si>
    <t>セグメント（企業）</t>
    <phoneticPr fontId="7"/>
  </si>
  <si>
    <t>セルオフ</t>
    <phoneticPr fontId="7"/>
  </si>
  <si>
    <t>セルオフ, CA期間, 出荷期限・店頭期限</t>
    <phoneticPr fontId="7"/>
  </si>
  <si>
    <t>ゼロブランドの通年品を集計した小計。</t>
    <phoneticPr fontId="7"/>
  </si>
  <si>
    <t>ゼロブランドのカカオ70%品を集計した小計。</t>
    <phoneticPr fontId="7"/>
  </si>
  <si>
    <t>ゼロブランドのくちどけショコラ品を集計した小計。</t>
    <phoneticPr fontId="7"/>
  </si>
  <si>
    <t>ゼロブランドのグラノラバー品を集計した小計。</t>
    <phoneticPr fontId="7"/>
  </si>
  <si>
    <t>砂糖不使用チョコレートブランドの全品目を集計した小計。</t>
    <phoneticPr fontId="7"/>
  </si>
  <si>
    <t>ゼロブランドのプロテインバー品を集計した小計。</t>
    <phoneticPr fontId="7"/>
  </si>
  <si>
    <t>ゼロブランドの袋タイプ品を集計した小計。</t>
    <phoneticPr fontId="7"/>
  </si>
  <si>
    <t>ゼロブランドの大容量品を集計した小計。</t>
    <phoneticPr fontId="7"/>
  </si>
  <si>
    <t>特売費の種類の一つ。XXX（どのような特売費か要確認）</t>
    <rPh sb="19" eb="21">
      <t>トクバイ</t>
    </rPh>
    <rPh sb="21" eb="22">
      <t>ヒ</t>
    </rPh>
    <rPh sb="23" eb="24">
      <t>ヨウ</t>
    </rPh>
    <rPh sb="24" eb="26">
      <t>カクニン</t>
    </rPh>
    <phoneticPr fontId="7"/>
  </si>
  <si>
    <t>マーケットシェア分析</t>
  </si>
  <si>
    <t>アジア恋POSデータ, Theシリーズ共有</t>
    <phoneticPr fontId="7"/>
  </si>
  <si>
    <t>親品目コード</t>
    <phoneticPr fontId="7"/>
  </si>
  <si>
    <t>親品番</t>
    <rPh sb="0" eb="3">
      <t>オヤヒンバン</t>
    </rPh>
    <phoneticPr fontId="7"/>
  </si>
  <si>
    <t>留型</t>
    <phoneticPr fontId="7"/>
  </si>
  <si>
    <t>専用品</t>
    <phoneticPr fontId="7"/>
  </si>
  <si>
    <t>トッポブランド全品（浦和・滋賀工場合算）のシート内最上位集計行。</t>
    <phoneticPr fontId="7"/>
  </si>
  <si>
    <t>規格変更後のトッポ品を集計した小計。</t>
    <phoneticPr fontId="7"/>
  </si>
  <si>
    <t>トッポザショコラブランドの全品目を集計した小計。</t>
    <phoneticPr fontId="7"/>
  </si>
  <si>
    <t>トッポブランドの通年フレーバー展開品を集計した小計。</t>
    <phoneticPr fontId="7"/>
  </si>
  <si>
    <t>トッポブランドの期間限定フレーバー品をを集計した小計。</t>
    <phoneticPr fontId="7"/>
  </si>
  <si>
    <t>トリュフチョコレートブランドの全品目を集計した小計。</t>
    <phoneticPr fontId="7"/>
  </si>
  <si>
    <t>浦和工場で生産するパイの実ブランド全品を集計した小計。</t>
    <phoneticPr fontId="7"/>
  </si>
  <si>
    <t>パイの実ブランドの通年品を集計した小計。</t>
    <phoneticPr fontId="7"/>
  </si>
  <si>
    <t>パイの実ブランドのSP品を集計した小計。</t>
    <phoneticPr fontId="7"/>
  </si>
  <si>
    <t>パイの実SPのショコラフレーバー品を集計した小計。</t>
    <phoneticPr fontId="7"/>
  </si>
  <si>
    <t>パイの実SPの催事専用品を集計した小計。</t>
    <phoneticPr fontId="7"/>
  </si>
  <si>
    <t>パイの実SPの各フレーバー品を集計した小計。</t>
    <phoneticPr fontId="7"/>
  </si>
  <si>
    <t>パイの実の各フレーバー品を集計した小計。</t>
    <phoneticPr fontId="7"/>
  </si>
  <si>
    <t>バッカスブランドの全品目を集計した小計。</t>
    <phoneticPr fontId="7"/>
  </si>
  <si>
    <t>単純合算合計</t>
    <phoneticPr fontId="7"/>
  </si>
  <si>
    <t>ビックリマンウエハースの全品目を集計した小計。</t>
    <phoneticPr fontId="7"/>
  </si>
  <si>
    <t>ポケモンIPウエハースの全品目を集計した小計。</t>
    <phoneticPr fontId="7"/>
  </si>
  <si>
    <t>マカダミアチョコレートブランドの全品目を集計した小計。</t>
    <phoneticPr fontId="7"/>
  </si>
  <si>
    <t>マカダミアブランドのPJ品を集計した小計。</t>
    <phoneticPr fontId="7"/>
  </si>
  <si>
    <t>ヨイヨブランドの全品目を集計した小計。</t>
    <phoneticPr fontId="7"/>
  </si>
  <si>
    <t>ラミーブランドの全品目を集計した小計。</t>
    <phoneticPr fontId="7"/>
  </si>
  <si>
    <t>ラミーブランドのテリーヌタイプ品を集計した小計。</t>
    <phoneticPr fontId="7"/>
  </si>
  <si>
    <t>英語パッケージのコアラのマーチ4連パック品を集計した小計。</t>
    <phoneticPr fontId="7"/>
  </si>
  <si>
    <t>韓国向け輸出専用パイの実品目を集計した小計。</t>
    <phoneticPr fontId="7"/>
  </si>
  <si>
    <t>外注製造の業務用ガーナチョコレート品を集計した小計。</t>
    <phoneticPr fontId="7"/>
  </si>
  <si>
    <t>その時間帯に入場した車の待機時間平均値+作業時間平均値
例）6時の受付済台数が7台だったら7台の平均時間を抽出</t>
    <rPh sb="2" eb="5">
      <t>ジカンタイ</t>
    </rPh>
    <rPh sb="6" eb="8">
      <t>ニュウジョウ</t>
    </rPh>
    <rPh sb="10" eb="11">
      <t>クルマ</t>
    </rPh>
    <rPh sb="12" eb="13">
      <t>キ</t>
    </rPh>
    <rPh sb="14" eb="16">
      <t>ジカン</t>
    </rPh>
    <rPh sb="16" eb="19">
      <t>ヘイキンチ</t>
    </rPh>
    <rPh sb="19" eb="21">
      <t>サギョウ</t>
    </rPh>
    <rPh sb="21" eb="23">
      <t>ジカン</t>
    </rPh>
    <rPh sb="23" eb="25">
      <t>ヘイキン</t>
    </rPh>
    <rPh sb="25" eb="26">
      <t>チ</t>
    </rPh>
    <rPh sb="27" eb="28">
      <t>レイ</t>
    </rPh>
    <rPh sb="30" eb="31">
      <t>ジ</t>
    </rPh>
    <rPh sb="32" eb="34">
      <t>ウケツケ</t>
    </rPh>
    <rPh sb="34" eb="35">
      <t>ズミ</t>
    </rPh>
    <rPh sb="35" eb="37">
      <t>ダイスウ</t>
    </rPh>
    <rPh sb="39" eb="40">
      <t>ダイ</t>
    </rPh>
    <rPh sb="45" eb="46">
      <t>ダイ</t>
    </rPh>
    <rPh sb="47" eb="49">
      <t>ヘイキン</t>
    </rPh>
    <rPh sb="49" eb="51">
      <t>ジカン</t>
    </rPh>
    <rPh sb="52" eb="54">
      <t>チュウシュツ</t>
    </rPh>
    <phoneticPr fontId="7"/>
  </si>
  <si>
    <t>予約台数 - 受付済台数</t>
    <rPh sb="0" eb="4">
      <t>ヨヤクダイスウ</t>
    </rPh>
    <rPh sb="7" eb="9">
      <t>ウケツケ</t>
    </rPh>
    <rPh sb="9" eb="10">
      <t>スミ</t>
    </rPh>
    <rPh sb="10" eb="12">
      <t>ダイスウ</t>
    </rPh>
    <phoneticPr fontId="7"/>
  </si>
  <si>
    <t>予約台数と受付済台数の差(絶対値)</t>
    <rPh sb="0" eb="4">
      <t>ヨヤクダイスウ</t>
    </rPh>
    <rPh sb="5" eb="7">
      <t>ウケツケ</t>
    </rPh>
    <rPh sb="7" eb="8">
      <t>ズ</t>
    </rPh>
    <rPh sb="8" eb="10">
      <t>ダイスウ</t>
    </rPh>
    <rPh sb="11" eb="12">
      <t>サ</t>
    </rPh>
    <rPh sb="13" eb="16">
      <t>ゼッタイチ</t>
    </rPh>
    <phoneticPr fontId="7"/>
  </si>
  <si>
    <t>到着時間が遅れた台数。</t>
    <rPh sb="0" eb="4">
      <t>トウチャクジカン</t>
    </rPh>
    <rPh sb="5" eb="6">
      <t>オク</t>
    </rPh>
    <rPh sb="8" eb="10">
      <t>ダイスウ</t>
    </rPh>
    <phoneticPr fontId="7"/>
  </si>
  <si>
    <t>チャネル戦略, 品目別チャネル戦略</t>
    <phoneticPr fontId="7"/>
  </si>
  <si>
    <t>チャネル別戦略</t>
    <phoneticPr fontId="7"/>
  </si>
  <si>
    <t>ナレッジMTG, ナレッジ共有, マーケナレッジMTG</t>
    <phoneticPr fontId="7"/>
  </si>
  <si>
    <t>ナレッジ共有会</t>
    <phoneticPr fontId="7"/>
  </si>
  <si>
    <t>マーケティング本部が定期開催する社内ナレッジ共有の場。新製品レビュー・施策レビュー・プランニング実績等を議題とし、①実績レビュー②新製品レビュー③施策レビュー④諸連絡の構成で実施。</t>
    <phoneticPr fontId="7"/>
  </si>
  <si>
    <t>KK定例会長報告,2月個別決算</t>
    <phoneticPr fontId="7"/>
  </si>
  <si>
    <t>荷役場所ごとの使用割合</t>
    <phoneticPr fontId="7"/>
  </si>
  <si>
    <t>バースごとの使用割合</t>
    <phoneticPr fontId="7"/>
  </si>
  <si>
    <t>ブレスケア市場</t>
    <phoneticPr fontId="7"/>
  </si>
  <si>
    <t>不動在庫（原価金額）</t>
    <rPh sb="5" eb="9">
      <t>ゲンカキンガク</t>
    </rPh>
    <phoneticPr fontId="7"/>
  </si>
  <si>
    <t>戦略ブランド</t>
    <phoneticPr fontId="7"/>
  </si>
  <si>
    <t xml:space="preserve">メガブランド </t>
    <phoneticPr fontId="7"/>
  </si>
  <si>
    <t>営業・マーケ本部が重点投資する主力ブランドの分類。売上規模が大きいブランド（クーリッシュ・爽等）。KPI管理の単位となる。</t>
    <phoneticPr fontId="7"/>
  </si>
  <si>
    <t>営業・マーケ本部が重点投資する主力ブランドの分類。「戦略ブランド」は成長投資対象ブランド。KPI管理の単位となる。</t>
    <phoneticPr fontId="7"/>
  </si>
  <si>
    <t>補充人員（7.75h換算）</t>
    <phoneticPr fontId="7"/>
  </si>
  <si>
    <t>リニューアル</t>
    <phoneticPr fontId="7"/>
  </si>
  <si>
    <t xml:space="preserve"> リブランディング, リフレッシュ</t>
    <phoneticPr fontId="7"/>
  </si>
  <si>
    <t xml:space="preserve">形態 </t>
    <phoneticPr fontId="7"/>
  </si>
  <si>
    <t>改廃</t>
    <phoneticPr fontId="7"/>
  </si>
  <si>
    <t>差し替え</t>
    <phoneticPr fontId="7"/>
  </si>
  <si>
    <t>本部担当</t>
    <phoneticPr fontId="7"/>
  </si>
  <si>
    <t>店舗担当</t>
    <phoneticPr fontId="7"/>
  </si>
  <si>
    <t>本部担当＝バイヤー対応アイスは本部担当中心。</t>
    <phoneticPr fontId="7"/>
  </si>
  <si>
    <t>店舗担当＝店舗オペレーション対応。菓子は両者あり。</t>
    <phoneticPr fontId="7"/>
  </si>
  <si>
    <t>バリューチェーン改革</t>
    <phoneticPr fontId="7"/>
  </si>
  <si>
    <t>パレタイズ</t>
    <phoneticPr fontId="7"/>
  </si>
  <si>
    <t>パレタイズ, パレット積付, パレット化</t>
    <phoneticPr fontId="7"/>
  </si>
  <si>
    <t>商品をパレット（荷役台）に積み付けた状態で輸送・保管する方式。バラ積み対比で荷役効率・積載率が向上する。</t>
    <phoneticPr fontId="7"/>
  </si>
  <si>
    <t>物流管理, 保管管理, SCM企画課MT, 中長期計画共有（原料・製品のパレット化推進）</t>
    <phoneticPr fontId="7"/>
  </si>
  <si>
    <t>生販物流KO, プロテイン質問, プロテイン製品, 中長期計画共有</t>
    <phoneticPr fontId="7"/>
  </si>
  <si>
    <t>バンドル販売</t>
    <phoneticPr fontId="7"/>
  </si>
  <si>
    <t>02_生販在</t>
    <rPh sb="3" eb="4">
      <t>ショウ</t>
    </rPh>
    <rPh sb="4" eb="5">
      <t>ハン</t>
    </rPh>
    <rPh sb="5" eb="6">
      <t>ザイ</t>
    </rPh>
    <phoneticPr fontId="7"/>
  </si>
  <si>
    <t>サイクルタイム ＋ 付帯時間/サイクル ＋ 余裕時間</t>
    <phoneticPr fontId="7"/>
  </si>
  <si>
    <t>円, CS</t>
    <phoneticPr fontId="7"/>
  </si>
  <si>
    <t>%、円</t>
    <phoneticPr fontId="7"/>
  </si>
  <si>
    <t>CS, 円</t>
    <phoneticPr fontId="7"/>
  </si>
  <si>
    <t>個、円</t>
    <phoneticPr fontId="7"/>
  </si>
  <si>
    <t>円、%</t>
    <phoneticPr fontId="7"/>
  </si>
  <si>
    <t>フィ</t>
    <phoneticPr fontId="7"/>
  </si>
  <si>
    <t>基本フィ</t>
    <rPh sb="0" eb="2">
      <t>キホン</t>
    </rPh>
    <phoneticPr fontId="7"/>
  </si>
  <si>
    <t>定期メンテナンス。定期オーバーホール</t>
    <rPh sb="0" eb="2">
      <t>テイキ</t>
    </rPh>
    <phoneticPr fontId="7"/>
  </si>
  <si>
    <t>月次工程表において、当該日の夜勤帯に稼働するアイス生産ラインの本数。昼勤のライン数と区別して管理され、夜勤シフトの生産能力を示す。</t>
    <phoneticPr fontId="7"/>
  </si>
  <si>
    <t>ロッテが費用を負担して小売店に設置しているアイス専用冷凍ストッカー。アイス最需要期（6〜8月）での自社商品陳列機会を増やし、売上拡大を狙う。設置費・レンタル費・撤去費を本社が拠出。</t>
    <rPh sb="15" eb="17">
      <t>セッチ</t>
    </rPh>
    <phoneticPr fontId="7"/>
  </si>
  <si>
    <t>・使用シーン/帳票要確認</t>
    <rPh sb="1" eb="3">
      <t>シヨウ</t>
    </rPh>
    <rPh sb="7" eb="9">
      <t>チョウヒョウ</t>
    </rPh>
    <rPh sb="9" eb="12">
      <t>ヨウカクニン</t>
    </rPh>
    <phoneticPr fontId="7"/>
  </si>
  <si>
    <t>ローテーション</t>
    <phoneticPr fontId="7"/>
  </si>
  <si>
    <t>ローテ, 工程ローテーション</t>
    <phoneticPr fontId="7"/>
  </si>
  <si>
    <t>小売粗利</t>
    <phoneticPr fontId="7"/>
  </si>
  <si>
    <t xml:space="preserve">卸粗利 </t>
    <phoneticPr fontId="7"/>
  </si>
  <si>
    <t>卸店の仕入価格（最終NET）と小売業への納価の差額</t>
    <phoneticPr fontId="7"/>
  </si>
  <si>
    <t>小売業の仕入価格（納価）と店頭売価の差額。商談における価格設定の基準となる</t>
    <phoneticPr fontId="7"/>
  </si>
  <si>
    <t>特約店コード</t>
    <phoneticPr fontId="7"/>
  </si>
  <si>
    <t>卸法人</t>
    <phoneticPr fontId="7"/>
  </si>
  <si>
    <t>02_生販在</t>
  </si>
  <si>
    <t>稼働時間</t>
    <phoneticPr fontId="7"/>
  </si>
  <si>
    <t>月次工程表,生産人員計画（工場別詳細）</t>
    <rPh sb="0" eb="5">
      <t>ゲツジコウテイヒョウ</t>
    </rPh>
    <phoneticPr fontId="7"/>
  </si>
  <si>
    <t>工程浦和アイス市, 工程九州菓子.工程狭山</t>
    <phoneticPr fontId="7"/>
  </si>
  <si>
    <t>在籍人員（直換算） − 合計人員（直換算）</t>
    <rPh sb="2" eb="4">
      <t>ジンイン</t>
    </rPh>
    <rPh sb="14" eb="16">
      <t>ジンイン</t>
    </rPh>
    <phoneticPr fontId="7"/>
  </si>
  <si>
    <t>在籍人員（直換算）から合計人員（直換算）を差し引いた値。プラスの場合は人員余剰、マイナスの場合は人員不足を示す。休日・非稼働日は大きなプラス値となる。</t>
    <rPh sb="2" eb="4">
      <t>ジンイン</t>
    </rPh>
    <rPh sb="13" eb="15">
      <t>ジンイン</t>
    </rPh>
    <phoneticPr fontId="7"/>
  </si>
  <si>
    <t>過不足人員</t>
    <phoneticPr fontId="7"/>
  </si>
  <si>
    <t>回転金額</t>
    <phoneticPr fontId="7"/>
  </si>
  <si>
    <t>推計販売規模（金額） ÷ アイテム販売店数</t>
    <phoneticPr fontId="7"/>
  </si>
  <si>
    <t>回転個数</t>
    <rPh sb="2" eb="4">
      <t>コスウ</t>
    </rPh>
    <phoneticPr fontId="7"/>
  </si>
  <si>
    <t>SRI+データの指標。アイテム販売店1店舗あたりの週間販売金額。新商品の初週動向評価で「SM1,000㎡以上」等の条件でセグメントして報告される。前年同期品・他社競合品との比較に使用。</t>
    <phoneticPr fontId="7"/>
  </si>
  <si>
    <t>SRI+データの指標。アイテム販売店1店舗あたりの週間販売個数。新商品の初週動向評価で「SM1,000㎡以上」等の条件でセグメントして報告される。前年同期品・他社競合品との比較に使用。</t>
    <phoneticPr fontId="7"/>
  </si>
  <si>
    <t>円/店・週</t>
    <phoneticPr fontId="7"/>
  </si>
  <si>
    <t>個/店・週</t>
    <phoneticPr fontId="7"/>
  </si>
  <si>
    <t>間口</t>
    <phoneticPr fontId="7"/>
  </si>
  <si>
    <t>間接</t>
    <phoneticPr fontId="7"/>
  </si>
  <si>
    <t>売上 − 商品別実際原価 − 物流費</t>
    <phoneticPr fontId="7"/>
  </si>
  <si>
    <t>経営会議</t>
    <phoneticPr fontId="7"/>
  </si>
  <si>
    <t>実績 − 計画 / 計画比 = 実績 ÷ 計画 × 100</t>
    <phoneticPr fontId="7"/>
  </si>
  <si>
    <t>経営KPI、KK定例会長報告</t>
    <phoneticPr fontId="7"/>
  </si>
  <si>
    <t>経費率</t>
    <phoneticPr fontId="7"/>
  </si>
  <si>
    <t>物流経費率, 物流費率</t>
    <rPh sb="7" eb="9">
      <t>ブツリュウ</t>
    </rPh>
    <rPh sb="9" eb="10">
      <t>ヒ</t>
    </rPh>
    <rPh sb="10" eb="11">
      <t>リツ</t>
    </rPh>
    <phoneticPr fontId="7"/>
  </si>
  <si>
    <r>
      <t>物流費 ÷</t>
    </r>
    <r>
      <rPr>
        <b/>
        <sz val="10"/>
        <color rgb="FFFF0000"/>
        <rFont val="Meiryo UI"/>
        <family val="3"/>
        <charset val="128"/>
      </rPr>
      <t xml:space="preserve"> 総売上高</t>
    </r>
    <r>
      <rPr>
        <sz val="10"/>
        <color rgb="FFFF0000"/>
        <rFont val="Meiryo UI"/>
        <family val="3"/>
        <charset val="128"/>
      </rPr>
      <t xml:space="preserve"> × 100</t>
    </r>
    <rPh sb="6" eb="10">
      <t>ソウウリアゲダカ</t>
    </rPh>
    <phoneticPr fontId="7"/>
  </si>
  <si>
    <t>計画比</t>
    <phoneticPr fontId="7"/>
  </si>
  <si>
    <t>計画差</t>
    <rPh sb="0" eb="2">
      <t>ケイカク</t>
    </rPh>
    <rPh sb="2" eb="3">
      <t>サ</t>
    </rPh>
    <phoneticPr fontId="7"/>
  </si>
  <si>
    <t>月間出荷</t>
    <phoneticPr fontId="7"/>
  </si>
  <si>
    <t>月間,  月間要求</t>
    <phoneticPr fontId="7"/>
  </si>
  <si>
    <t>月次工程, 工程表, 月間工程表</t>
    <phoneticPr fontId="7"/>
  </si>
  <si>
    <t>原材料調達リスク</t>
    <phoneticPr fontId="7"/>
  </si>
  <si>
    <t>調達リスク,  サプライチェーンリスク</t>
    <phoneticPr fontId="7"/>
  </si>
  <si>
    <t>2025/5/12 SCM会議議事録にて、「営業利益から固定費を除いた限界利益率は～」というご発言があり別定義がないかはご確認いただきたい</t>
    <rPh sb="13" eb="15">
      <t>カイギ</t>
    </rPh>
    <rPh sb="15" eb="18">
      <t>ギジロク</t>
    </rPh>
    <rPh sb="22" eb="24">
      <t>エイギョウ</t>
    </rPh>
    <rPh sb="24" eb="26">
      <t>リエキ</t>
    </rPh>
    <rPh sb="28" eb="31">
      <t>コテイヒ</t>
    </rPh>
    <rPh sb="32" eb="33">
      <t>ノゾ</t>
    </rPh>
    <rPh sb="35" eb="37">
      <t>ゲンカイ</t>
    </rPh>
    <rPh sb="37" eb="39">
      <t>リエキ</t>
    </rPh>
    <rPh sb="39" eb="40">
      <t>リツ</t>
    </rPh>
    <rPh sb="47" eb="49">
      <t>ハツゲン</t>
    </rPh>
    <rPh sb="52" eb="53">
      <t>ベツ</t>
    </rPh>
    <rPh sb="53" eb="55">
      <t>テイギ</t>
    </rPh>
    <rPh sb="61" eb="63">
      <t>カクニン</t>
    </rPh>
    <phoneticPr fontId="7"/>
  </si>
  <si>
    <t>工直</t>
    <phoneticPr fontId="7"/>
  </si>
  <si>
    <t>工場直送</t>
    <phoneticPr fontId="7"/>
  </si>
  <si>
    <t>WEB-EDI進捗管理</t>
    <rPh sb="7" eb="9">
      <t>シンチョク</t>
    </rPh>
    <rPh sb="9" eb="11">
      <t>カンリ</t>
    </rPh>
    <phoneticPr fontId="7"/>
  </si>
  <si>
    <t>月次物流費報告（一次輸送費の実績・予算・前年比管理）, SCM本部会議（SCM費項目別確認）, 物流費報告（物流企画一課）</t>
    <phoneticPr fontId="7"/>
  </si>
  <si>
    <t>収益性分析、KK定例会長報告、収益企画社長報告</t>
    <rPh sb="0" eb="3">
      <t>シュウエキセイ</t>
    </rPh>
    <rPh sb="3" eb="5">
      <t>ブンセキ</t>
    </rPh>
    <phoneticPr fontId="7"/>
  </si>
  <si>
    <t>収益企画社長報告（価格改定効果）</t>
    <phoneticPr fontId="7"/>
  </si>
  <si>
    <t>用語辞書シートのG列（定義）、H列（算出式/構造）、I列（単位）を確認し、誤りがある場合は以下の通り対応する。</t>
    <phoneticPr fontId="7"/>
  </si>
  <si>
    <t>経営会議（SCM本部KPI）、KK定例会長報告、本部KPI</t>
    <rPh sb="24" eb="26">
      <t>ホンブ</t>
    </rPh>
    <phoneticPr fontId="7"/>
  </si>
  <si>
    <t>月末調整事前会議</t>
    <phoneticPr fontId="7"/>
  </si>
  <si>
    <t>KK定例会長報告,収益企画社長報告（PLツリー）</t>
    <phoneticPr fontId="7"/>
  </si>
  <si>
    <t>W列（フラグ）に「1」を記載する。</t>
    <phoneticPr fontId="7"/>
  </si>
  <si>
    <t>X列（修正後の定義）、Y列（修正後の算出式/構造）、Z列（修正後の単位）に修正後の内容を記載する。</t>
    <phoneticPr fontId="7"/>
  </si>
  <si>
    <t>修正後欄に記載がある場合はその内容を正として上書きするため、修正後の全文を記載すること。修正が必要なX・Y・Z列のみ記載すれば良い。</t>
    <phoneticPr fontId="7"/>
  </si>
  <si>
    <t>W列（フラグ）に「1」を記載し、X列（修正後の定義）、Y列（修正後の算出式/構造）、Z列（修正後の単位）に定義を記載する。</t>
    <phoneticPr fontId="7"/>
  </si>
  <si>
    <t>待機時間合計÷待機時間0分を除く台数</t>
    <rPh sb="0" eb="4">
      <t>タイキジカン</t>
    </rPh>
    <rPh sb="4" eb="6">
      <t>ゴウケイ</t>
    </rPh>
    <rPh sb="7" eb="11">
      <t>タイキジカン</t>
    </rPh>
    <rPh sb="12" eb="13">
      <t>フン</t>
    </rPh>
    <rPh sb="14" eb="15">
      <t>ノゾ</t>
    </rPh>
    <rPh sb="16" eb="18">
      <t>ダイスウ</t>
    </rPh>
    <phoneticPr fontId="7"/>
  </si>
  <si>
    <r>
      <t>卸・小売業が製品を受け入れる際に要求する賞味期限残存条件の一つ。賞味期限の</t>
    </r>
    <r>
      <rPr>
        <b/>
        <sz val="10"/>
        <color rgb="FFFF0000"/>
        <rFont val="Meiryo UI"/>
        <family val="3"/>
        <charset val="128"/>
      </rPr>
      <t>2/3以上</t>
    </r>
    <r>
      <rPr>
        <sz val="10"/>
        <color theme="1"/>
        <rFont val="Meiryo UI"/>
        <family val="3"/>
        <charset val="128"/>
      </rPr>
      <t>残っていることを納品条件とするルール。例：賞味期限24か月商品では残存16か月以上必要。</t>
    </r>
    <phoneticPr fontId="7"/>
  </si>
  <si>
    <t>SCM本部が使用する需給・在庫計画・受注・配車・出荷指図管理システム。棚貸し配車依頼・オーダー付番・SAPへの予定送信・確定送信を担う。送品計画確認・在庫推移表・賞味期限別在庫・定番予測算出・マスタ更新ツール等の機能を持つ。AnaplanやSAP/S4とは別システム。保守・改修はBacklogでタスク管理され、SCM戦略部SCMDX推進課が担当。</t>
    <phoneticPr fontId="7"/>
  </si>
  <si>
    <t>11_組織</t>
    <phoneticPr fontId="7"/>
  </si>
  <si>
    <t>トッポブランドの2袋パック品を集計した小計。</t>
  </si>
  <si>
    <t>クランキービッツブランドの全品目を集計した小計。</t>
  </si>
  <si>
    <t>35g規格のガーナミルクチョコレート品を集計した小計。</t>
  </si>
  <si>
    <t>HAPPY HAPPYブランドの全品目を集計した小計。</t>
  </si>
  <si>
    <t>LATTE MILKブランドの全品目を集計した小計。</t>
  </si>
  <si>
    <t>シェル10ブランドのスポット品目を集計した小計。</t>
  </si>
  <si>
    <t>シェル10ブランドのセレクション品を集計した小計。</t>
  </si>
  <si>
    <t>シェル10ブランドの秋季第1弾品目を集計した小計。</t>
  </si>
  <si>
    <t>シェル10ブランドの秋季第2弾品目を集計した小計。</t>
  </si>
  <si>
    <t>シェル10ブランドの春季第1弾品目を集計した小計。</t>
  </si>
  <si>
    <t>シェル10ブランドの春季第2弾品目を集計した小計。</t>
  </si>
  <si>
    <t>シェル9ブランドのPPパック品を集計した小計。</t>
  </si>
  <si>
    <t>シェル9ブランドのスポット品目を集計した小計。</t>
  </si>
  <si>
    <t>シェル9ブランドの秋季第1弾品目を集計した小計。</t>
  </si>
  <si>
    <t>シェル9ブランドの秋季第2弾品目を集計した小計。</t>
  </si>
  <si>
    <t>シェル9ブランドの春季第1弾品目を集計した小計。</t>
  </si>
  <si>
    <t>シェル9ブランドの春季第2弾品目を集計した小計。</t>
  </si>
  <si>
    <t>セブン-イレブン向けPBおよび留型チョコレート品を集計した小計。</t>
  </si>
  <si>
    <t>セブン-イレブン専用プレミアムチョコレート品を集計した小計。</t>
  </si>
  <si>
    <t>YOIYOブランドの全品目を集計した小計。</t>
  </si>
  <si>
    <t>アーモンドチョコレートのSP品を集計した小計。</t>
  </si>
  <si>
    <t>アーモンドカリっと香ばしシリーズのPJ品を集計した小計。</t>
  </si>
  <si>
    <t>アーモンドビターシリーズのPJ品を集計した小計。</t>
  </si>
  <si>
    <t>いちごつみブランドの全品目を集計した小計。</t>
  </si>
  <si>
    <t>オオツブガーナブランドの全品目を集計した小計。</t>
  </si>
  <si>
    <t>ガーナブランドのPJ品を集計した小計。</t>
  </si>
  <si>
    <t>ガーナザクほろシリーズのPJ品を集計した小計。</t>
  </si>
  <si>
    <t>ガーナブランドのスリムパック品を集計した小計。</t>
  </si>
  <si>
    <t>ガーナピンクブランドの全品目を集計した小計。</t>
  </si>
  <si>
    <t>ガーナブラックチョコレートブランドの全品目を集計した小計。</t>
  </si>
  <si>
    <t>ガーナブラックのエクセレント品を集計した小計。</t>
  </si>
  <si>
    <t>ガーナホワイトチョコレートブランドの全品目を集計した小計。</t>
  </si>
  <si>
    <t>ガーナミルクチョコレートブランドの全品目を集計した小計。</t>
  </si>
  <si>
    <t>ガーナミルクのエクセレント品を集計した小計。</t>
  </si>
  <si>
    <t>ガーナミルクのトットプチ品を集計した小計。</t>
  </si>
  <si>
    <t>ガーナミルクのボトル容器品を集計した小計。</t>
  </si>
  <si>
    <t>ガーナミントフレーバーのパウチ品を集計した小計。</t>
  </si>
  <si>
    <t>ガーナリップルブランドの全品目を集計した小計。GP合計と同値。</t>
  </si>
  <si>
    <t>ガーナローストチョコレートブランドの全品目を集計した小計。</t>
  </si>
  <si>
    <t>ガーナローストミルクのEX品を集計した小計。</t>
  </si>
  <si>
    <t>ガーナブランドの中袋（シェアパック）品を集計した小計。</t>
  </si>
  <si>
    <t>ガーナ抹茶ブランドの全品目を集計した小計。</t>
  </si>
  <si>
    <t>カカオの恵みとゼロのコラボ袋タイプ品を集計した小計。</t>
  </si>
  <si>
    <t>カカオの恵みとゼロのコラボ大容量品を集計した小計。</t>
  </si>
  <si>
    <t>カカオの恵みブランドのSP品を集計した小計。</t>
  </si>
  <si>
    <t>カカオの恵みブランドの箱タイプ品を集計した小計。</t>
  </si>
  <si>
    <t>ガーナ・クランキーブランドのSP品を集計した小計。</t>
  </si>
  <si>
    <t>カプッチョブランドの全品目を集計した小計。</t>
  </si>
  <si>
    <t>ガーナキャラメルミルクブランドの全品目を集計した小計。</t>
  </si>
  <si>
    <t>クランキー・ガーナ合同スペシャルパック品を集計した小計。</t>
  </si>
  <si>
    <t>クランキーブランド定番品の全品目を集計した小計。</t>
  </si>
  <si>
    <t>クランキーブランドの第2世代・派生品を集計した小計。</t>
  </si>
  <si>
    <t>クランキーBIGパウチ品を集計した小計。</t>
  </si>
  <si>
    <t>クランキーBIGパウチの第2世代品を集計した小計。</t>
  </si>
  <si>
    <t>クランキーBIGパウチの第3世代品を集計した小計。</t>
  </si>
  <si>
    <t>クランキーのエクセレント品を集計した小計。</t>
  </si>
  <si>
    <t>クランキーブランドのPJ品を集計した小計。</t>
  </si>
  <si>
    <t>クランキーPJのクッキータイプ品を集計した小計。</t>
  </si>
  <si>
    <t>クランキーPJのストロベリー品を集計した小計。</t>
  </si>
  <si>
    <t>クランキーアーモンドプチ品を集計した小計。</t>
  </si>
  <si>
    <t>クランキーブランドのウエハースタイプ品を集計した小計。</t>
  </si>
  <si>
    <t>クランキーキッズ向け品を集計した小計。</t>
  </si>
  <si>
    <t>クランキーブランドのスリムパック品を集計した小計。</t>
  </si>
  <si>
    <t>クランキーブランドの中袋品を集計した小計。</t>
  </si>
  <si>
    <t>特定取引先向け専用品（留型）のクランキー品目を集計した小計。</t>
  </si>
  <si>
    <t>コアラのマーチブランドの第3世代品を集計した小計。</t>
  </si>
  <si>
    <t>コアラのマーチブランドのSP品を集計した小計。</t>
  </si>
  <si>
    <t>コアラのマーチのミニパック品を集計した小計。</t>
  </si>
  <si>
    <t>コンテンツIPを使用したウエハース品を集計した小計。</t>
  </si>
  <si>
    <t>ザクザククランキーPPの全品目を集計した小計。</t>
  </si>
  <si>
    <t>ザクザククランキーSPの全品目を集計した小計。</t>
  </si>
  <si>
    <t>ザクザククランキーSP2ndの全品目を集計した小計。</t>
  </si>
  <si>
    <t>ガーナダークミルクブランドの全品目を集計した小計。</t>
  </si>
  <si>
    <t>紗々ブランドの通年品を集計した小計。</t>
  </si>
  <si>
    <t>紗々いちご品を集計した小計。</t>
  </si>
  <si>
    <t>深みパイの実ブランドの全品目を集計した小計。</t>
  </si>
  <si>
    <t>大きなパイの実ブランドの全品目を集計した小計。</t>
  </si>
  <si>
    <t>大粒トリュフブランドの全品目を集計した小計。</t>
  </si>
  <si>
    <t>糖質オフSP品を集計した小計。</t>
  </si>
  <si>
    <t>特殊仕様のコアラのマーチ品を集計した小計。</t>
  </si>
  <si>
    <t>自社工場で内製するコアラのマーチ品目を集計した小計。</t>
  </si>
  <si>
    <t>クランキーPJの各フレーバー品を集計した小計。</t>
  </si>
  <si>
    <t>留型品のうちウエハース以外の品目を集計した小計。</t>
  </si>
  <si>
    <t>留型品のウエハースを集計した小計。</t>
  </si>
  <si>
    <t>留型品のパイの実品目を集計した小計。</t>
  </si>
  <si>
    <t>良品計画（無印良品）向けPB製造品を集計した小計。</t>
  </si>
  <si>
    <t>・全国が何の金額を示すのか要確認（総計かどうかを確認いただきたい）</t>
    <rPh sb="1" eb="3">
      <t>ゼンコク</t>
    </rPh>
    <rPh sb="4" eb="5">
      <t>ナニ</t>
    </rPh>
    <rPh sb="6" eb="8">
      <t>キンガク</t>
    </rPh>
    <rPh sb="9" eb="10">
      <t>シメ</t>
    </rPh>
    <rPh sb="13" eb="16">
      <t>ヨウカクニン</t>
    </rPh>
    <rPh sb="17" eb="19">
      <t>ソウケイ</t>
    </rPh>
    <rPh sb="24" eb="26">
      <t>カクニン</t>
    </rPh>
    <phoneticPr fontId="7"/>
  </si>
  <si>
    <t>Loglass</t>
    <phoneticPr fontId="7"/>
  </si>
  <si>
    <t>Loglass, ログラス</t>
    <phoneticPr fontId="7"/>
  </si>
  <si>
    <t>ICT部門のKPIでサービスの受益者（ステークホルダー）の満足度を測定する指標。</t>
    <rPh sb="3" eb="5">
      <t>ブモン</t>
    </rPh>
    <rPh sb="15" eb="18">
      <t>ジュエキシャ</t>
    </rPh>
    <phoneticPr fontId="7"/>
  </si>
  <si>
    <t>GAS</t>
    <phoneticPr fontId="7"/>
  </si>
  <si>
    <t>GAS, Google Apps Script</t>
    <phoneticPr fontId="7"/>
  </si>
  <si>
    <t>Digital Brain Platform</t>
    <phoneticPr fontId="7"/>
  </si>
  <si>
    <t>SAP</t>
    <phoneticPr fontId="7"/>
  </si>
  <si>
    <t>S4, SAP, S/4HANA</t>
    <phoneticPr fontId="7"/>
  </si>
  <si>
    <t>web-EDI</t>
    <phoneticPr fontId="7"/>
  </si>
  <si>
    <t xml:space="preserve">Mercrius </t>
    <phoneticPr fontId="7"/>
  </si>
  <si>
    <t>メルクリウス</t>
    <phoneticPr fontId="7"/>
  </si>
  <si>
    <t>Salesforce</t>
    <phoneticPr fontId="7"/>
  </si>
  <si>
    <t>セールスフォース</t>
    <phoneticPr fontId="7"/>
  </si>
  <si>
    <t>STS</t>
    <phoneticPr fontId="7"/>
  </si>
  <si>
    <t>Supply &amp; Trade System</t>
    <phoneticPr fontId="7"/>
  </si>
  <si>
    <t>請求明細データ</t>
    <phoneticPr fontId="7"/>
  </si>
  <si>
    <t>4合換算、換算（4合）, 4合1CS換算</t>
    <rPh sb="5" eb="7">
      <t>カンサン</t>
    </rPh>
    <rPh sb="9" eb="10">
      <t>ゴウ</t>
    </rPh>
    <phoneticPr fontId="7"/>
  </si>
  <si>
    <t>4合換算</t>
    <phoneticPr fontId="7"/>
  </si>
  <si>
    <t>ブレイクメンテ, 事後保全, ブレイクメンテナンス</t>
    <phoneticPr fontId="7"/>
  </si>
  <si>
    <t>D+2</t>
    <phoneticPr fontId="7"/>
  </si>
  <si>
    <t>ディープラス2</t>
    <phoneticPr fontId="7"/>
  </si>
  <si>
    <t>DBフィ</t>
    <phoneticPr fontId="7"/>
  </si>
  <si>
    <t>ディストリビューターフィ</t>
    <phoneticPr fontId="7"/>
  </si>
  <si>
    <t>Gold Pure Nutrition</t>
    <phoneticPr fontId="7"/>
  </si>
  <si>
    <t>GPN</t>
    <phoneticPr fontId="7"/>
  </si>
  <si>
    <t>KK定例</t>
    <phoneticPr fontId="7"/>
  </si>
  <si>
    <t>LATTE MILK</t>
    <phoneticPr fontId="7"/>
  </si>
  <si>
    <t>LP</t>
    <phoneticPr fontId="7"/>
  </si>
  <si>
    <t>ロッテプロパー</t>
    <phoneticPr fontId="7"/>
  </si>
  <si>
    <t>MD</t>
    <phoneticPr fontId="7"/>
  </si>
  <si>
    <t>マーチャンダイザー</t>
    <phoneticPr fontId="7"/>
  </si>
  <si>
    <t>OEE</t>
    <phoneticPr fontId="7"/>
  </si>
  <si>
    <t>総合設備効率</t>
    <phoneticPr fontId="7"/>
  </si>
  <si>
    <t>損益ツリー</t>
    <rPh sb="0" eb="2">
      <t>ソンエキ</t>
    </rPh>
    <phoneticPr fontId="7"/>
  </si>
  <si>
    <t>PLツリー</t>
    <phoneticPr fontId="7"/>
  </si>
  <si>
    <t>生販在計画, 生販在</t>
    <rPh sb="0" eb="1">
      <t>ショウ</t>
    </rPh>
    <rPh sb="1" eb="2">
      <t>ハン</t>
    </rPh>
    <rPh sb="2" eb="3">
      <t>ザイ</t>
    </rPh>
    <rPh sb="3" eb="5">
      <t>ケイカク</t>
    </rPh>
    <phoneticPr fontId="7"/>
  </si>
  <si>
    <t>プレメンテ, 予防保全, プレメンテナンス</t>
    <phoneticPr fontId="7"/>
  </si>
  <si>
    <t>PSI</t>
    <phoneticPr fontId="7"/>
  </si>
  <si>
    <t>S&amp;OP</t>
    <phoneticPr fontId="7"/>
  </si>
  <si>
    <t>Sales &amp; Operations Planning, 統合ビジネスプランニング</t>
    <phoneticPr fontId="7"/>
  </si>
  <si>
    <t>エンカレッジ</t>
    <phoneticPr fontId="7"/>
  </si>
  <si>
    <t>encourage</t>
    <phoneticPr fontId="7"/>
  </si>
  <si>
    <t>エンジョイハロウィン</t>
    <phoneticPr fontId="7"/>
  </si>
  <si>
    <t>エンジョイHW, ハロウィン限定商品</t>
    <phoneticPr fontId="7"/>
  </si>
  <si>
    <t>コード</t>
    <phoneticPr fontId="7"/>
  </si>
  <si>
    <t>デポ（配送センター）</t>
    <phoneticPr fontId="7"/>
  </si>
  <si>
    <t>デポ, 配送センター</t>
    <rPh sb="4" eb="6">
      <t>ハイソウ</t>
    </rPh>
    <phoneticPr fontId="7"/>
  </si>
  <si>
    <t>学び場（損益勉強会）</t>
    <phoneticPr fontId="7"/>
  </si>
  <si>
    <t>企業計画差異（店出計画比）</t>
    <phoneticPr fontId="7"/>
  </si>
  <si>
    <t>噛むチャレ</t>
    <phoneticPr fontId="7"/>
  </si>
  <si>
    <t>噛むこと売場作りチャレンジ</t>
    <phoneticPr fontId="7"/>
  </si>
  <si>
    <t>商品スケ, 発売スケ, 販売スケジュール</t>
    <rPh sb="12" eb="14">
      <t>ハンバイ</t>
    </rPh>
    <phoneticPr fontId="7"/>
  </si>
  <si>
    <t>初週動向, 初週, 初週回転</t>
    <rPh sb="10" eb="12">
      <t>ショシュウ</t>
    </rPh>
    <rPh sb="12" eb="14">
      <t>カイテン</t>
    </rPh>
    <phoneticPr fontId="7"/>
  </si>
  <si>
    <t>商品スケジュール</t>
    <phoneticPr fontId="7"/>
  </si>
  <si>
    <t>製品記号</t>
    <phoneticPr fontId="7"/>
  </si>
  <si>
    <t>記号, 生産記号</t>
    <rPh sb="4" eb="6">
      <t>セイサン</t>
    </rPh>
    <rPh sb="6" eb="8">
      <t>キゴウ</t>
    </rPh>
    <phoneticPr fontId="7"/>
  </si>
  <si>
    <t>地区別販売実績</t>
    <phoneticPr fontId="7"/>
  </si>
  <si>
    <t>物流統括管理者</t>
    <phoneticPr fontId="7"/>
  </si>
  <si>
    <r>
      <t>不良品の発生率。</t>
    </r>
    <r>
      <rPr>
        <sz val="10"/>
        <color rgb="FFFF0000"/>
        <rFont val="Meiryo UI"/>
        <family val="3"/>
        <charset val="128"/>
      </rPr>
      <t>不良品とは再生品＋アウトレット品＋２等品社内販売品＋廃棄品（飼料転売含む）の総称。</t>
    </r>
    <phoneticPr fontId="7"/>
  </si>
  <si>
    <r>
      <t xml:space="preserve">① 不良品発生数量 ÷ 使用量（数量） × 100
② 不良品発生重量 ÷ 生産重量（生産数量×平均実績NET重量） × 100
</t>
    </r>
    <r>
      <rPr>
        <sz val="10"/>
        <color rgb="FFFF0000"/>
        <rFont val="Meiryo UI"/>
        <family val="3"/>
        <charset val="128"/>
      </rPr>
      <t>※不良品＝再生品＋アウトレット品＋２等品社内販売品＋廃棄品（飼料転売含む）</t>
    </r>
    <phoneticPr fontId="7"/>
  </si>
  <si>
    <t>ラウンダー</t>
    <phoneticPr fontId="7"/>
  </si>
  <si>
    <t>FMS</t>
    <phoneticPr fontId="7"/>
  </si>
  <si>
    <t xml:space="preserve">JAN </t>
    <phoneticPr fontId="7"/>
  </si>
  <si>
    <t>JANコード</t>
    <phoneticPr fontId="7"/>
  </si>
  <si>
    <t>PF企業</t>
    <phoneticPr fontId="7"/>
  </si>
  <si>
    <t>PF,  ポートフォリオ企業</t>
    <phoneticPr fontId="7"/>
  </si>
  <si>
    <t>本部戻し</t>
    <phoneticPr fontId="7"/>
  </si>
  <si>
    <t>POS戻し</t>
    <phoneticPr fontId="7"/>
  </si>
  <si>
    <t>アイス取引制度</t>
    <phoneticPr fontId="7"/>
  </si>
  <si>
    <t>新仕切制度</t>
    <phoneticPr fontId="7"/>
  </si>
  <si>
    <t>エンド</t>
    <phoneticPr fontId="7"/>
  </si>
  <si>
    <t>エンド展開</t>
    <phoneticPr fontId="7"/>
  </si>
  <si>
    <t>キット</t>
    <phoneticPr fontId="7"/>
  </si>
  <si>
    <t>ディスプレイ</t>
    <phoneticPr fontId="7"/>
  </si>
  <si>
    <t>ショッパー接点</t>
    <phoneticPr fontId="7"/>
  </si>
  <si>
    <t>ショッパー</t>
    <phoneticPr fontId="7"/>
  </si>
  <si>
    <t>催事</t>
    <phoneticPr fontId="7"/>
  </si>
  <si>
    <t>52週MD</t>
    <phoneticPr fontId="7"/>
  </si>
  <si>
    <t>上期定番 / 下期定番</t>
    <phoneticPr fontId="7"/>
  </si>
  <si>
    <t>物流効率化法, 新物効法</t>
    <phoneticPr fontId="7"/>
  </si>
  <si>
    <t>物効法</t>
    <phoneticPr fontId="7"/>
  </si>
  <si>
    <t>棚替え</t>
    <phoneticPr fontId="7"/>
  </si>
  <si>
    <t>棚割</t>
    <phoneticPr fontId="7"/>
  </si>
  <si>
    <t>定番売場の商品配置実施。半期に一度実施が多い。</t>
    <phoneticPr fontId="7"/>
  </si>
  <si>
    <t>定番売場の商品配置計画。</t>
    <phoneticPr fontId="7"/>
  </si>
  <si>
    <t>売上高</t>
    <rPh sb="0" eb="2">
      <t>ウリアゲ</t>
    </rPh>
    <rPh sb="2" eb="3">
      <t>ダカ</t>
    </rPh>
    <phoneticPr fontId="7"/>
  </si>
  <si>
    <t>海外事業計（現地会計基準）</t>
    <phoneticPr fontId="7"/>
  </si>
  <si>
    <t>特売経費率</t>
    <phoneticPr fontId="7"/>
  </si>
  <si>
    <t>月次物流費報告（物流企画一課・二課）, 月次物流費報告、支払いMTG、SCM本部会議, SCM本部会議（運賃保管料率推移確認）, ロッテ業績超簡易版</t>
    <phoneticPr fontId="7"/>
  </si>
  <si>
    <t>物流企画一課, 物流企画二課, 物流費報告, SCM本部会議全体, ロッテ業績超簡易版, SCM大会</t>
    <phoneticPr fontId="7"/>
  </si>
  <si>
    <t>粗利</t>
    <phoneticPr fontId="7"/>
  </si>
  <si>
    <t>売上総利益</t>
    <rPh sb="0" eb="2">
      <t>ウリアゲ</t>
    </rPh>
    <rPh sb="2" eb="5">
      <t>ソウリエキ</t>
    </rPh>
    <phoneticPr fontId="7"/>
  </si>
  <si>
    <t>hh:mm</t>
  </si>
  <si>
    <t>待機・荷役の平均時間</t>
  </si>
  <si>
    <t>その時間帯に入場した車の待機時間平均値+作業時間平均値</t>
  </si>
  <si>
    <t>実際の受付時間－予約時間でプラス値になった値の平均を算出</t>
  </si>
  <si>
    <t>実際の受付時間－予約時間でプラス値になった値の平均</t>
  </si>
  <si>
    <t>実際の受付時間－予約時間でマイナス値になった値の平均を算出</t>
  </si>
  <si>
    <t>実際の受付時間－予約時間でマイナス値になった値の平均</t>
  </si>
  <si>
    <t>生産に使用する原材料の在庫。月分（何ヶ月分）で管理される。</t>
  </si>
  <si>
    <t xml:space="preserve">一斉出荷 </t>
  </si>
  <si>
    <t>一斉, 一斉要求</t>
  </si>
  <si>
    <t>各エリアの営業担当が当該期間に販売目標として本社に申請した出荷数量。エリア別・品番別（通常・大袋）に設定され、生産・在庫計画の基準値となる。実際の出荷計（出荷計）と対比することで進捗（出荷率）を把握する。</t>
  </si>
  <si>
    <t>ボール実績</t>
  </si>
  <si>
    <t>受注管理部が管理する月次の出荷指図実績</t>
  </si>
  <si>
    <t>受注に対して引き当て可能な在庫量。実在庫から引当済・移動中・品質保留分を除いた有効在庫。</t>
  </si>
  <si>
    <t>出荷指図（Delivery Order）に記載された出荷予定数量。ボール実績（B実績）の集計値として使用される。受注確定後にSAP上で出荷指図が起票され、実際の出荷作業の根拠となる。</t>
  </si>
  <si>
    <t>不動在庫(仕切価格）</t>
  </si>
  <si>
    <t xml:space="preserve">通常の販売ペースでは消化が見込めない在庫。賞味期限・製造月から日数が経過した商品や、季節変動で売れ行きが止まった商品が該当する。SCM費の管理KPIとして月末不動在庫金額（仕切り価格ベース）を予算と比較する。
</t>
  </si>
  <si>
    <t>円（仕切価格）</t>
  </si>
  <si>
    <t>経営会議、KK定例会長報告</t>
  </si>
  <si>
    <t>通常の販売ペースでは消化が見込めない在庫。賞味期限・製造月から日数が経過した商品や、季節変動で売れ行きが止まった商品が該当する。</t>
  </si>
  <si>
    <t>充填時間</t>
    <rPh sb="0" eb="2">
      <t>ジュウテン</t>
    </rPh>
    <rPh sb="2" eb="4">
      <t>ジカン</t>
    </rPh>
    <phoneticPr fontId="7"/>
  </si>
  <si>
    <t>指標タイプ</t>
    <rPh sb="0" eb="2">
      <t>シヒョウ</t>
    </rPh>
    <phoneticPr fontId="7"/>
  </si>
  <si>
    <t>概念</t>
    <rPh sb="0" eb="2">
      <t>ガイネン</t>
    </rPh>
    <phoneticPr fontId="7"/>
  </si>
  <si>
    <t>T列（備考）および赤文字・黄色ハイライト箇所は特に確認が必要な箇所であるため、列（備考）とあわせて確認する。</t>
    <phoneticPr fontId="7"/>
  </si>
  <si>
    <t>T列（備考）および赤文字・黄色ハイライト箇所は特に確認が必要な箇所であるため、T列（備考）とあわせて確認する。</t>
    <phoneticPr fontId="7"/>
  </si>
  <si>
    <t>追記したい用語がある場合は、B列（指標大分類）、C列（指標タイプ）、D列（概念）、E列（用語）に内容を記載したうえで、</t>
    <rPh sb="15" eb="16">
      <t>レツ</t>
    </rPh>
    <rPh sb="17" eb="22">
      <t>シヒョウダイブンルイ</t>
    </rPh>
    <phoneticPr fontId="7"/>
  </si>
  <si>
    <t>経営ダッシュボード</t>
    <rPh sb="0" eb="2">
      <t>ケイエイ</t>
    </rPh>
    <phoneticPr fontId="7"/>
  </si>
  <si>
    <t>確認部門</t>
    <rPh sb="0" eb="4">
      <t>カクニンブモン</t>
    </rPh>
    <phoneticPr fontId="7"/>
  </si>
  <si>
    <t>分科①</t>
    <rPh sb="0" eb="2">
      <t>ブンカ</t>
    </rPh>
    <phoneticPr fontId="7"/>
  </si>
  <si>
    <t>分科②</t>
    <rPh sb="0" eb="2">
      <t>ブンカ</t>
    </rPh>
    <phoneticPr fontId="7"/>
  </si>
  <si>
    <t>分科③</t>
    <rPh sb="0" eb="2">
      <t>ブンカ</t>
    </rPh>
    <phoneticPr fontId="7"/>
  </si>
  <si>
    <t>分科④</t>
    <rPh sb="0" eb="2">
      <t>ブンカ</t>
    </rPh>
    <phoneticPr fontId="7"/>
  </si>
  <si>
    <t>分科⑤</t>
    <rPh sb="0" eb="2">
      <t>ブンカ</t>
    </rPh>
    <phoneticPr fontId="7"/>
  </si>
  <si>
    <t>分科⑥</t>
    <rPh sb="0" eb="2">
      <t>ブンカ</t>
    </rPh>
    <phoneticPr fontId="7"/>
  </si>
  <si>
    <t>指標タイプ Lv.1</t>
    <phoneticPr fontId="7"/>
  </si>
  <si>
    <t>指標タイプ Lv.2</t>
    <phoneticPr fontId="7"/>
  </si>
  <si>
    <t>今後の正式名称</t>
    <rPh sb="0" eb="2">
      <t>コンゴ</t>
    </rPh>
    <rPh sb="3" eb="7">
      <t>セイシキメイショウ</t>
    </rPh>
    <phoneticPr fontId="7"/>
  </si>
  <si>
    <t>原価ベース廃棄ロス</t>
    <rPh sb="0" eb="2">
      <t>ゲンカ</t>
    </rPh>
    <rPh sb="5" eb="7">
      <t>ハイキ</t>
    </rPh>
    <phoneticPr fontId="7"/>
  </si>
  <si>
    <t>仕切り価格ベース廃棄ロス</t>
    <rPh sb="0" eb="2">
      <t>シキ</t>
    </rPh>
    <rPh sb="3" eb="5">
      <t>カカク</t>
    </rPh>
    <rPh sb="8" eb="10">
      <t>ハイキ</t>
    </rPh>
    <phoneticPr fontId="7"/>
  </si>
  <si>
    <t>LATTE MILKグループ</t>
    <phoneticPr fontId="7"/>
  </si>
  <si>
    <t>工場１人当たり売上高</t>
    <rPh sb="0" eb="2">
      <t>コウジョウ</t>
    </rPh>
    <rPh sb="3" eb="5">
      <t>ニンア</t>
    </rPh>
    <rPh sb="7" eb="10">
      <t>ウリアゲダカ</t>
    </rPh>
    <phoneticPr fontId="7"/>
  </si>
  <si>
    <t>営業１人当たり貢献利益</t>
    <rPh sb="0" eb="2">
      <t>エイギョウ</t>
    </rPh>
    <rPh sb="3" eb="4">
      <t>ニン</t>
    </rPh>
    <rPh sb="4" eb="5">
      <t>ア</t>
    </rPh>
    <rPh sb="7" eb="11">
      <t>コウケンリエキ</t>
    </rPh>
    <phoneticPr fontId="7"/>
  </si>
  <si>
    <t>仕切価格不動在庫</t>
    <rPh sb="0" eb="2">
      <t>シキ</t>
    </rPh>
    <rPh sb="2" eb="4">
      <t>カカク</t>
    </rPh>
    <rPh sb="4" eb="8">
      <t>フドウザイコ</t>
    </rPh>
    <phoneticPr fontId="7"/>
  </si>
  <si>
    <t>原価金額不動在庫</t>
    <rPh sb="0" eb="4">
      <t>ゲンカキンガク</t>
    </rPh>
    <rPh sb="4" eb="8">
      <t>フドウザイコ</t>
    </rPh>
    <phoneticPr fontId="7"/>
  </si>
  <si>
    <t>営業１人当たり貢献利益</t>
    <rPh sb="0" eb="2">
      <t>エイギョウ</t>
    </rPh>
    <rPh sb="3" eb="5">
      <t>ニンア</t>
    </rPh>
    <rPh sb="7" eb="9">
      <t>コウケン</t>
    </rPh>
    <rPh sb="9" eb="11">
      <t>リエキ</t>
    </rPh>
    <phoneticPr fontId="7"/>
  </si>
  <si>
    <t>特売経費率 = 特売費 ÷ 売上（総売） × 100</t>
    <rPh sb="17" eb="19">
      <t>ソウバイ</t>
    </rPh>
    <phoneticPr fontId="7"/>
  </si>
  <si>
    <t>人員１人当たり生産性（生産金額）</t>
    <rPh sb="0" eb="2">
      <t>ジンイン</t>
    </rPh>
    <rPh sb="3" eb="4">
      <t>ニン</t>
    </rPh>
    <rPh sb="4" eb="5">
      <t>ア</t>
    </rPh>
    <rPh sb="7" eb="10">
      <t>セイサンセイ</t>
    </rPh>
    <rPh sb="11" eb="15">
      <t>セイサンキンガク</t>
    </rPh>
    <phoneticPr fontId="7"/>
  </si>
  <si>
    <t>一人当たり売上額</t>
  </si>
  <si>
    <t>海外事業計（現地会計基準）</t>
  </si>
  <si>
    <t>純売上高</t>
  </si>
  <si>
    <t>小売店年契-基本</t>
  </si>
  <si>
    <t>小売店年契-達成</t>
  </si>
  <si>
    <t>資材</t>
  </si>
  <si>
    <t>滞貨品消化</t>
  </si>
  <si>
    <t>本部協賛-その他</t>
  </si>
  <si>
    <t>本部協賛-チラシ・POP代</t>
  </si>
  <si>
    <t>本部協賛-ポイント戻</t>
  </si>
  <si>
    <t>本部協賛-本部戻</t>
  </si>
  <si>
    <t>実販対策</t>
  </si>
  <si>
    <t>センターフィ</t>
  </si>
  <si>
    <t>特売経費率</t>
  </si>
  <si>
    <t>24年問題対策費</t>
  </si>
  <si>
    <t>一般管理費</t>
  </si>
  <si>
    <t>一般管理費率</t>
  </si>
  <si>
    <t>減価償却費</t>
  </si>
  <si>
    <t>広告宣伝費</t>
  </si>
  <si>
    <t>広告宣伝費率</t>
  </si>
  <si>
    <t>人件費</t>
  </si>
  <si>
    <t>人件費率(総売比)</t>
  </si>
  <si>
    <t>人件費率(純売比)</t>
  </si>
  <si>
    <t>宣伝費媒体</t>
  </si>
  <si>
    <t>販売費</t>
  </si>
  <si>
    <t>販売費率（売上控除＋控除対象外）</t>
  </si>
  <si>
    <t>付与額</t>
  </si>
  <si>
    <t>フィ</t>
  </si>
  <si>
    <t>DBフィ</t>
  </si>
  <si>
    <t>一次輸送費</t>
  </si>
  <si>
    <t>運賃・保管料</t>
  </si>
  <si>
    <t>経費率</t>
  </si>
  <si>
    <t>営業利益率</t>
  </si>
  <si>
    <t>粗利</t>
  </si>
  <si>
    <t xml:space="preserve">卸粗利 </t>
  </si>
  <si>
    <t>小売粗利</t>
  </si>
  <si>
    <t>限界利益</t>
  </si>
  <si>
    <t>限界利益率</t>
  </si>
  <si>
    <t>負債比率</t>
  </si>
  <si>
    <t>流動比率</t>
  </si>
  <si>
    <t>借入金</t>
  </si>
  <si>
    <t>DEレシオ</t>
  </si>
  <si>
    <t>ネットDEレシオ</t>
  </si>
  <si>
    <t>債務保証</t>
  </si>
  <si>
    <t>実借入額</t>
  </si>
  <si>
    <t>洗浄ロス率</t>
  </si>
  <si>
    <t>12H換算</t>
  </si>
  <si>
    <t>合計（直換算）</t>
  </si>
  <si>
    <t>過不足（直換算）</t>
  </si>
  <si>
    <t>在籍（直換算）</t>
  </si>
  <si>
    <t>稼働時間</t>
  </si>
  <si>
    <t>生産時間</t>
  </si>
  <si>
    <t>月間生産能力</t>
  </si>
  <si>
    <t>機械稼働率</t>
  </si>
  <si>
    <t>OEE</t>
  </si>
  <si>
    <t>標準歩留まり</t>
  </si>
  <si>
    <t>重量ロス率</t>
  </si>
  <si>
    <t>実績歩留まり</t>
  </si>
  <si>
    <t>間接</t>
  </si>
  <si>
    <t>補充人員（7.75h換算）</t>
  </si>
  <si>
    <t>夜勤人員</t>
  </si>
  <si>
    <t>共通人員</t>
  </si>
  <si>
    <t>欠勤要員</t>
  </si>
  <si>
    <t>直人員必要</t>
  </si>
  <si>
    <t>BL</t>
  </si>
  <si>
    <t>クレーム</t>
  </si>
  <si>
    <t>異物混入件数</t>
  </si>
  <si>
    <t>製造起因苦情件数</t>
  </si>
  <si>
    <t>製造起因苦情率</t>
  </si>
  <si>
    <t>生産実績</t>
  </si>
  <si>
    <t>前月繰越</t>
  </si>
  <si>
    <t>翌月繰越</t>
  </si>
  <si>
    <t>ケース数</t>
  </si>
  <si>
    <t>スマートファクトリー化計画進捗度</t>
  </si>
  <si>
    <t>売上</t>
  </si>
  <si>
    <t>営業概況</t>
  </si>
  <si>
    <t>概況精度</t>
  </si>
  <si>
    <t>出荷実績</t>
  </si>
  <si>
    <t>販売</t>
  </si>
  <si>
    <t>小売金額</t>
  </si>
  <si>
    <t>B仕切単価</t>
  </si>
  <si>
    <t>社内上代</t>
  </si>
  <si>
    <t>生販価格</t>
  </si>
  <si>
    <t>最終NET</t>
  </si>
  <si>
    <t>納価</t>
  </si>
  <si>
    <t>平均販売単価</t>
  </si>
  <si>
    <t>マーケットサイズ</t>
  </si>
  <si>
    <t>未開拓店舗数</t>
  </si>
  <si>
    <t>リーチ数</t>
  </si>
  <si>
    <t>点数PI</t>
  </si>
  <si>
    <t>間口</t>
  </si>
  <si>
    <t>回転金額</t>
  </si>
  <si>
    <t>回転個数</t>
  </si>
  <si>
    <t>管理店舗数</t>
  </si>
  <si>
    <t>訪問回数</t>
  </si>
  <si>
    <t>LP人員数</t>
  </si>
  <si>
    <t>LP費用</t>
  </si>
  <si>
    <t>欠員数</t>
  </si>
  <si>
    <t>職責別指数人員</t>
  </si>
  <si>
    <t>企業計画差異（店出計画比）</t>
  </si>
  <si>
    <t>計画比</t>
  </si>
  <si>
    <t>POS戻し</t>
  </si>
  <si>
    <t>重大違反件数</t>
  </si>
  <si>
    <t>重大事故発生件数</t>
  </si>
  <si>
    <t>セルオフ</t>
  </si>
  <si>
    <t>入力率</t>
  </si>
  <si>
    <t>（0:00込）平均待機時間</t>
  </si>
  <si>
    <t>（0:00抜）平均待機時間</t>
  </si>
  <si>
    <t>作業時間</t>
  </si>
  <si>
    <t>待機時間</t>
  </si>
  <si>
    <t>待機+作業2時間超の台数</t>
  </si>
  <si>
    <t>待機+作業平均時間</t>
  </si>
  <si>
    <t>予約台数</t>
  </si>
  <si>
    <t>予約時間より遅い車両の平均時間</t>
  </si>
  <si>
    <t>予約時間より早い車両の平均時間</t>
  </si>
  <si>
    <t>受付済台数</t>
  </si>
  <si>
    <t>台数差（絶対値）</t>
  </si>
  <si>
    <t>遅延車両数</t>
  </si>
  <si>
    <t>D+2締め率</t>
  </si>
  <si>
    <t>D+2データ取得率</t>
  </si>
  <si>
    <t>EDI化</t>
  </si>
  <si>
    <t>充填時間</t>
  </si>
  <si>
    <t>軒先数</t>
  </si>
  <si>
    <t>バースごとの使用割合</t>
  </si>
  <si>
    <t>パレット数</t>
  </si>
  <si>
    <t>容積</t>
  </si>
  <si>
    <t>ライン数（夜勤）</t>
  </si>
  <si>
    <t>要求</t>
  </si>
  <si>
    <t>月間出荷</t>
  </si>
  <si>
    <t>現行</t>
  </si>
  <si>
    <t>在庫</t>
  </si>
  <si>
    <t>末在庫</t>
  </si>
  <si>
    <t>在庫日数</t>
  </si>
  <si>
    <t>受注ミス率</t>
  </si>
  <si>
    <t>新</t>
  </si>
  <si>
    <t>倉庫キャパ率</t>
  </si>
  <si>
    <t>倉入</t>
  </si>
  <si>
    <t>滞貨</t>
  </si>
  <si>
    <t>滞貨金額</t>
  </si>
  <si>
    <t>二次配送費</t>
  </si>
  <si>
    <t>入数</t>
  </si>
  <si>
    <t>廃棄焼却申請【仕切価格】</t>
  </si>
  <si>
    <t>廃棄焼却申請【標準原価】</t>
  </si>
  <si>
    <t>平均重量歩留まり</t>
  </si>
  <si>
    <t>累計</t>
  </si>
  <si>
    <t>ステークホルダー満足度</t>
  </si>
  <si>
    <t>エンゲージメントスコア</t>
  </si>
  <si>
    <t>研究開発業務構成比</t>
  </si>
  <si>
    <t>単純合算合計</t>
  </si>
  <si>
    <t>DRUG</t>
  </si>
  <si>
    <t xml:space="preserve">JAN </t>
  </si>
  <si>
    <t>菓子</t>
  </si>
  <si>
    <t>セグメント（企業）</t>
  </si>
  <si>
    <t>全国</t>
  </si>
  <si>
    <t>未開拓小売業</t>
  </si>
  <si>
    <t>上期定番 / 下期定番</t>
  </si>
  <si>
    <t>地区別販売実績</t>
  </si>
  <si>
    <t>2号ボトルライン</t>
  </si>
  <si>
    <t>育成ブランド</t>
  </si>
  <si>
    <t>市販用</t>
  </si>
  <si>
    <t>重点ブランド</t>
  </si>
  <si>
    <t>主力ブランド</t>
  </si>
  <si>
    <t>スリムボトルライン</t>
  </si>
  <si>
    <t>パルク</t>
  </si>
  <si>
    <t>ブレスケア市場</t>
  </si>
  <si>
    <t xml:space="preserve">メガブランド </t>
  </si>
  <si>
    <t>戦略ブランド</t>
  </si>
  <si>
    <t>専用品</t>
  </si>
  <si>
    <t>生販会議（確認値）</t>
  </si>
  <si>
    <t>PLツリー</t>
  </si>
  <si>
    <t>限界利益領域</t>
  </si>
  <si>
    <t>BM</t>
  </si>
  <si>
    <t>PM</t>
  </si>
  <si>
    <t>PSI</t>
  </si>
  <si>
    <t>ジャストインタイム</t>
  </si>
  <si>
    <t>ちょこ停</t>
  </si>
  <si>
    <t>ドカ停</t>
  </si>
  <si>
    <t>ネック工程</t>
  </si>
  <si>
    <t>品名</t>
  </si>
  <si>
    <t>包材残</t>
  </si>
  <si>
    <t>ボトルネック</t>
  </si>
  <si>
    <t>予防保全</t>
  </si>
  <si>
    <t>ローテーション</t>
  </si>
  <si>
    <t>改善</t>
  </si>
  <si>
    <t>月次工程表</t>
  </si>
  <si>
    <t>事後保全</t>
  </si>
  <si>
    <t>製品記号</t>
  </si>
  <si>
    <t>FMS</t>
  </si>
  <si>
    <t>LP</t>
  </si>
  <si>
    <t>MD</t>
  </si>
  <si>
    <t>NB</t>
  </si>
  <si>
    <t>PB</t>
  </si>
  <si>
    <t>PF企業</t>
  </si>
  <si>
    <t>アイス取引制度</t>
  </si>
  <si>
    <t>アクティブユーザー数</t>
  </si>
  <si>
    <t>エンカレッジ</t>
  </si>
  <si>
    <t>エンジョイハロウィン</t>
  </si>
  <si>
    <t>エンド</t>
  </si>
  <si>
    <t>キット</t>
  </si>
  <si>
    <t>ショッパー</t>
  </si>
  <si>
    <t>チャネル別戦略</t>
  </si>
  <si>
    <t>ナレッジ共有会</t>
  </si>
  <si>
    <t>バンドル販売</t>
  </si>
  <si>
    <t>マストバイCP</t>
  </si>
  <si>
    <t>外部品番</t>
  </si>
  <si>
    <t>噛むチャレ</t>
  </si>
  <si>
    <t>催事</t>
  </si>
  <si>
    <t>採用アイテム数</t>
  </si>
  <si>
    <t>商品スケジュール</t>
  </si>
  <si>
    <t>棚替え</t>
  </si>
  <si>
    <t>棚割</t>
  </si>
  <si>
    <t>棚貸し在庫補充</t>
  </si>
  <si>
    <t>本部担当</t>
  </si>
  <si>
    <t>店舗担当</t>
  </si>
  <si>
    <t>4合換算</t>
  </si>
  <si>
    <t>D+2</t>
  </si>
  <si>
    <t>GPN</t>
  </si>
  <si>
    <t>S&amp;OP</t>
  </si>
  <si>
    <t>デポ（配送センター）</t>
  </si>
  <si>
    <t>バリューチェーン改革</t>
  </si>
  <si>
    <t>パレタイズ</t>
  </si>
  <si>
    <t>ライフサポートエガワ戸田</t>
  </si>
  <si>
    <t>ライフサポートエガワ川口</t>
  </si>
  <si>
    <t>ライフサポートエガワ東北</t>
  </si>
  <si>
    <t>岡山土地倉庫</t>
  </si>
  <si>
    <t>特約店コード</t>
  </si>
  <si>
    <t>帰り荷</t>
  </si>
  <si>
    <t>原材料調達リスク</t>
  </si>
  <si>
    <t>工直</t>
  </si>
  <si>
    <t>合通カシロジ 一宮</t>
  </si>
  <si>
    <t>合通カシロジ 大堀</t>
  </si>
  <si>
    <t>札幌通運</t>
  </si>
  <si>
    <t>宗像陸運</t>
  </si>
  <si>
    <t>第二種荷主</t>
  </si>
  <si>
    <t>第一倉庫冷蔵</t>
  </si>
  <si>
    <t>中京倉庫</t>
  </si>
  <si>
    <t>内部品番</t>
  </si>
  <si>
    <t>配荷店舗数</t>
  </si>
  <si>
    <t>物流統括管理者</t>
  </si>
  <si>
    <t>Digital Brain Platform</t>
  </si>
  <si>
    <t>GAS</t>
  </si>
  <si>
    <t>Loglass</t>
  </si>
  <si>
    <t xml:space="preserve">Mercrius </t>
  </si>
  <si>
    <t>SAP</t>
  </si>
  <si>
    <t>STS</t>
  </si>
  <si>
    <t>web-EDI</t>
  </si>
  <si>
    <t>トラック簿</t>
  </si>
  <si>
    <t>請求明細データ</t>
  </si>
  <si>
    <t>リニューアル</t>
  </si>
  <si>
    <t xml:space="preserve">形態 </t>
  </si>
  <si>
    <t>差し替え</t>
  </si>
  <si>
    <t>親品目コード</t>
  </si>
  <si>
    <t>KK定例</t>
  </si>
  <si>
    <t>物効法</t>
  </si>
  <si>
    <t>学び場（損益勉強会）</t>
  </si>
  <si>
    <t>純売上高</t>
    <rPh sb="0" eb="3">
      <t>ジュンウリアゲ</t>
    </rPh>
    <rPh sb="3" eb="4">
      <t>ダカ</t>
    </rPh>
    <phoneticPr fontId="7"/>
  </si>
  <si>
    <t>一人当たり人件費</t>
    <phoneticPr fontId="7"/>
  </si>
  <si>
    <t>純売上高 ＋ 売上控除額</t>
    <phoneticPr fontId="7"/>
  </si>
  <si>
    <t>特売費 ÷ 総売上 × 100</t>
    <rPh sb="6" eb="7">
      <t>ソウ</t>
    </rPh>
    <phoneticPr fontId="7"/>
  </si>
  <si>
    <t>指標タイプ Lv.3</t>
    <phoneticPr fontId="7"/>
  </si>
  <si>
    <t>売上原価</t>
  </si>
  <si>
    <t>売上原価</t>
    <phoneticPr fontId="7"/>
  </si>
  <si>
    <t>原価（変動）</t>
    <rPh sb="0" eb="2">
      <t>ゲンカ</t>
    </rPh>
    <rPh sb="3" eb="5">
      <t>ヘンドウ</t>
    </rPh>
    <phoneticPr fontId="7"/>
  </si>
  <si>
    <t>原価（固定）</t>
    <rPh sb="0" eb="2">
      <t>ゲンカ</t>
    </rPh>
    <rPh sb="3" eb="5">
      <t>コテイ</t>
    </rPh>
    <phoneticPr fontId="7"/>
  </si>
  <si>
    <t>原材料費</t>
    <rPh sb="0" eb="4">
      <t>ゲンザイリョウヒ</t>
    </rPh>
    <phoneticPr fontId="7"/>
  </si>
  <si>
    <t>包材費</t>
    <rPh sb="0" eb="2">
      <t>ホウザイ</t>
    </rPh>
    <rPh sb="2" eb="3">
      <t>ヒ</t>
    </rPh>
    <phoneticPr fontId="7"/>
  </si>
  <si>
    <t>外注加工費</t>
    <rPh sb="0" eb="5">
      <t>ガイチュウカコウヒ</t>
    </rPh>
    <phoneticPr fontId="7"/>
  </si>
  <si>
    <t>直接労務費</t>
    <rPh sb="0" eb="5">
      <t>チョクセツロウムヒ</t>
    </rPh>
    <phoneticPr fontId="7"/>
  </si>
  <si>
    <t>機械費（変動）</t>
    <rPh sb="0" eb="2">
      <t>キカイ</t>
    </rPh>
    <rPh sb="2" eb="3">
      <t>ヒ</t>
    </rPh>
    <rPh sb="4" eb="6">
      <t>ヘンドウ</t>
    </rPh>
    <phoneticPr fontId="7"/>
  </si>
  <si>
    <t>機械費（固定）</t>
    <rPh sb="0" eb="2">
      <t>キカイ</t>
    </rPh>
    <rPh sb="2" eb="3">
      <t>ヒ</t>
    </rPh>
    <rPh sb="4" eb="6">
      <t>コテイ</t>
    </rPh>
    <phoneticPr fontId="7"/>
  </si>
  <si>
    <t>間接費</t>
    <rPh sb="0" eb="3">
      <t>カンセツヒ</t>
    </rPh>
    <phoneticPr fontId="7"/>
  </si>
  <si>
    <t>廃棄損</t>
    <rPh sb="0" eb="3">
      <t>ハイキソン</t>
    </rPh>
    <phoneticPr fontId="7"/>
  </si>
  <si>
    <t>売上原価調整</t>
    <rPh sb="4" eb="6">
      <t>チョウセイ</t>
    </rPh>
    <phoneticPr fontId="7"/>
  </si>
  <si>
    <t>PLの売上原価</t>
    <rPh sb="3" eb="7">
      <t>ウリアゲゲンカ</t>
    </rPh>
    <phoneticPr fontId="7"/>
  </si>
  <si>
    <t>PLの売上原価の構成要素の１つ</t>
    <rPh sb="3" eb="7">
      <t>ウリアゲゲンカ</t>
    </rPh>
    <rPh sb="8" eb="10">
      <t>コウセイ</t>
    </rPh>
    <rPh sb="10" eb="12">
      <t>ヨウソ</t>
    </rPh>
    <phoneticPr fontId="7"/>
  </si>
  <si>
    <t>PLの売上原価の構成要素の１つ。原価（変動）の要素の１つ</t>
    <rPh sb="3" eb="7">
      <t>ウリアゲゲンカ</t>
    </rPh>
    <rPh sb="8" eb="10">
      <t>コウセイ</t>
    </rPh>
    <rPh sb="10" eb="12">
      <t>ヨウソ</t>
    </rPh>
    <rPh sb="16" eb="18">
      <t>ゲンカ</t>
    </rPh>
    <rPh sb="19" eb="21">
      <t>ヘンドウ</t>
    </rPh>
    <rPh sb="23" eb="25">
      <t>ヨウソ</t>
    </rPh>
    <phoneticPr fontId="7"/>
  </si>
  <si>
    <t>機械費（固定）＋間接費＋廃棄損＋売上原価調整</t>
    <phoneticPr fontId="7"/>
  </si>
  <si>
    <t>原材料費＋包材費＋外注加工費＋直接労務費＋機械費（変動）</t>
    <rPh sb="0" eb="4">
      <t>ゲンザイリョウヒ</t>
    </rPh>
    <rPh sb="5" eb="8">
      <t>ホウザイヒ</t>
    </rPh>
    <rPh sb="9" eb="11">
      <t>ガイチュウ</t>
    </rPh>
    <rPh sb="11" eb="14">
      <t>カコウヒ</t>
    </rPh>
    <rPh sb="15" eb="17">
      <t>チョクセツ</t>
    </rPh>
    <rPh sb="17" eb="20">
      <t>ロウムヒ</t>
    </rPh>
    <rPh sb="21" eb="23">
      <t>キカイ</t>
    </rPh>
    <rPh sb="23" eb="24">
      <t>ヒ</t>
    </rPh>
    <rPh sb="25" eb="27">
      <t>ヘンドウ</t>
    </rPh>
    <phoneticPr fontId="7"/>
  </si>
  <si>
    <t>・原価（変動）＋原価（固定）
・原材料費＋包材費＋外注加工費＋直接労務費＋機械費（変動）＋機械費（固定）＋間接費＋廃棄損＋売上原価調整</t>
    <rPh sb="1" eb="3">
      <t>ゲンカ</t>
    </rPh>
    <rPh sb="4" eb="6">
      <t>ヘンドウ</t>
    </rPh>
    <rPh sb="8" eb="10">
      <t>ゲンカ</t>
    </rPh>
    <rPh sb="11" eb="13">
      <t>コテイ</t>
    </rPh>
    <rPh sb="17" eb="21">
      <t>ゲンザイリョウヒ</t>
    </rPh>
    <rPh sb="22" eb="25">
      <t>ホウザイヒ</t>
    </rPh>
    <rPh sb="26" eb="28">
      <t>ガイチュウ</t>
    </rPh>
    <rPh sb="28" eb="31">
      <t>カコウヒ</t>
    </rPh>
    <rPh sb="32" eb="34">
      <t>チョクセツ</t>
    </rPh>
    <rPh sb="34" eb="37">
      <t>ロウムヒ</t>
    </rPh>
    <rPh sb="38" eb="40">
      <t>キカイ</t>
    </rPh>
    <rPh sb="40" eb="41">
      <t>ヒ</t>
    </rPh>
    <rPh sb="42" eb="44">
      <t>ヘンドウ</t>
    </rPh>
    <rPh sb="46" eb="48">
      <t>キカイ</t>
    </rPh>
    <rPh sb="48" eb="49">
      <t>ヒ</t>
    </rPh>
    <rPh sb="50" eb="52">
      <t>コテイ</t>
    </rPh>
    <rPh sb="54" eb="56">
      <t>カンセツ</t>
    </rPh>
    <rPh sb="56" eb="57">
      <t>ヒ</t>
    </rPh>
    <rPh sb="58" eb="60">
      <t>ハイキ</t>
    </rPh>
    <rPh sb="60" eb="61">
      <t>ゾン</t>
    </rPh>
    <rPh sb="62" eb="64">
      <t>ウリアゲ</t>
    </rPh>
    <rPh sb="64" eb="66">
      <t>ゲンカ</t>
    </rPh>
    <rPh sb="66" eb="68">
      <t>チョウセイ</t>
    </rPh>
    <phoneticPr fontId="7"/>
  </si>
  <si>
    <t>PLの売上原価の構成要素の１つ。原価（固定）の要素の１つ</t>
    <rPh sb="3" eb="7">
      <t>ウリアゲゲンカ</t>
    </rPh>
    <rPh sb="8" eb="10">
      <t>コウセイ</t>
    </rPh>
    <rPh sb="10" eb="12">
      <t>ヨウソ</t>
    </rPh>
    <rPh sb="16" eb="18">
      <t>ゲンカ</t>
    </rPh>
    <rPh sb="19" eb="21">
      <t>コテイ</t>
    </rPh>
    <rPh sb="23" eb="25">
      <t>ヨウソ</t>
    </rPh>
    <phoneticPr fontId="7"/>
  </si>
  <si>
    <t>注文獲得費</t>
    <rPh sb="0" eb="4">
      <t>チュウモンカクトク</t>
    </rPh>
    <rPh sb="4" eb="5">
      <t>ヒ</t>
    </rPh>
    <phoneticPr fontId="7"/>
  </si>
  <si>
    <t>PLの販売費の構成要素の１つ</t>
    <rPh sb="3" eb="6">
      <t>ハンバイヒ</t>
    </rPh>
    <rPh sb="7" eb="11">
      <t>コウセイヨウソ</t>
    </rPh>
    <phoneticPr fontId="7"/>
  </si>
  <si>
    <t>注文獲得費調整</t>
    <rPh sb="0" eb="5">
      <t>チュウモンカクトクヒ</t>
    </rPh>
    <rPh sb="5" eb="7">
      <t>チョウセイ</t>
    </rPh>
    <phoneticPr fontId="7"/>
  </si>
  <si>
    <t>PLの注文獲得費の構成要素の１つ。</t>
    <rPh sb="3" eb="7">
      <t>チュウモンカクトク</t>
    </rPh>
    <rPh sb="7" eb="8">
      <t>ヒ</t>
    </rPh>
    <rPh sb="9" eb="13">
      <t>コウセイヨウソ</t>
    </rPh>
    <phoneticPr fontId="7"/>
  </si>
  <si>
    <t>特売費 （控除対象外）＋拡売費（控除対象外）＋注文獲得費</t>
    <rPh sb="5" eb="10">
      <t>コウジョタイショウガイ</t>
    </rPh>
    <rPh sb="12" eb="15">
      <t>カクバイヒ</t>
    </rPh>
    <rPh sb="16" eb="21">
      <t>コウジョタイショウガイ</t>
    </rPh>
    <rPh sb="23" eb="28">
      <t>チュウモンカクトクヒ</t>
    </rPh>
    <phoneticPr fontId="7"/>
  </si>
  <si>
    <t>現時点の資料での出現用語</t>
    <rPh sb="0" eb="3">
      <t>ゲンジテン</t>
    </rPh>
    <rPh sb="4" eb="6">
      <t>シリョウ</t>
    </rPh>
    <rPh sb="8" eb="10">
      <t>シュツゲン</t>
    </rPh>
    <rPh sb="10" eb="12">
      <t>ヨウゴ</t>
    </rPh>
    <phoneticPr fontId="7"/>
  </si>
  <si>
    <t>01_財務指標</t>
    <rPh sb="5" eb="7">
      <t>シヒョウ</t>
    </rPh>
    <phoneticPr fontId="7"/>
  </si>
  <si>
    <t>拡売費（控除対象外）</t>
    <rPh sb="4" eb="6">
      <t>コウジョ</t>
    </rPh>
    <rPh sb="6" eb="9">
      <t>タイショウガイ</t>
    </rPh>
    <phoneticPr fontId="7"/>
  </si>
  <si>
    <t>売上控除</t>
    <rPh sb="0" eb="2">
      <t>ウリアゲ</t>
    </rPh>
    <rPh sb="2" eb="4">
      <t>コウジョ</t>
    </rPh>
    <phoneticPr fontId="7"/>
  </si>
  <si>
    <t>売上原価</t>
    <rPh sb="0" eb="2">
      <t>ウリアゲ</t>
    </rPh>
    <rPh sb="2" eb="4">
      <t>ゲンカ</t>
    </rPh>
    <phoneticPr fontId="7"/>
  </si>
  <si>
    <t>販管費</t>
    <rPh sb="0" eb="3">
      <t>ハンカンヒ</t>
    </rPh>
    <phoneticPr fontId="7"/>
  </si>
  <si>
    <t>売上控除</t>
    <rPh sb="0" eb="2">
      <t>ウリアゲ</t>
    </rPh>
    <rPh sb="2" eb="4">
      <t>コウジョ</t>
    </rPh>
    <phoneticPr fontId="7"/>
  </si>
  <si>
    <t>01_商品・ブランドマスタ</t>
    <rPh sb="3" eb="5">
      <t>ショウヒン</t>
    </rPh>
    <phoneticPr fontId="7"/>
  </si>
  <si>
    <t>02_製造ラインマスタ</t>
    <rPh sb="3" eb="5">
      <t>セイゾウ</t>
    </rPh>
    <phoneticPr fontId="7"/>
  </si>
  <si>
    <t>03_得意先マスタ</t>
    <rPh sb="3" eb="6">
      <t>トクイサキ</t>
    </rPh>
    <phoneticPr fontId="7"/>
  </si>
  <si>
    <t>※注</t>
    <rPh sb="1" eb="2">
      <t>チュウ</t>
    </rPh>
    <phoneticPr fontId="7"/>
  </si>
  <si>
    <t>01_全社</t>
    <rPh sb="3" eb="5">
      <t>ゼンシャ</t>
    </rPh>
    <phoneticPr fontId="7"/>
  </si>
  <si>
    <t>02_営業</t>
    <rPh sb="3" eb="5">
      <t>エイギョウ</t>
    </rPh>
    <phoneticPr fontId="7"/>
  </si>
  <si>
    <t>03_SCM</t>
    <phoneticPr fontId="7"/>
  </si>
  <si>
    <t>04_生産</t>
    <rPh sb="3" eb="5">
      <t>セイサン</t>
    </rPh>
    <phoneticPr fontId="7"/>
  </si>
  <si>
    <t>06_コーポレート</t>
    <phoneticPr fontId="7"/>
  </si>
  <si>
    <t>A_指標</t>
    <rPh sb="2" eb="4">
      <t>シヒョウ</t>
    </rPh>
    <phoneticPr fontId="7"/>
  </si>
  <si>
    <t>B_マスタ</t>
    <phoneticPr fontId="7"/>
  </si>
  <si>
    <t>C_ロッテ用語</t>
    <rPh sb="5" eb="7">
      <t>ヨウゴ</t>
    </rPh>
    <phoneticPr fontId="7"/>
  </si>
  <si>
    <t>01_PL</t>
    <phoneticPr fontId="7"/>
  </si>
  <si>
    <t>02_BS</t>
    <phoneticPr fontId="7"/>
  </si>
  <si>
    <t>03_CF</t>
    <phoneticPr fontId="7"/>
  </si>
  <si>
    <t>指標タイプLv.1</t>
    <phoneticPr fontId="7"/>
  </si>
  <si>
    <t>指標タイプLv.2</t>
    <phoneticPr fontId="7"/>
  </si>
  <si>
    <t>07_その他</t>
    <rPh sb="5" eb="6">
      <t>タ</t>
    </rPh>
    <phoneticPr fontId="7"/>
  </si>
  <si>
    <t>各種システムでマスタ扱いされているもの</t>
    <rPh sb="0" eb="2">
      <t>カクシュ</t>
    </rPh>
    <rPh sb="10" eb="11">
      <t>アツカ</t>
    </rPh>
    <phoneticPr fontId="7"/>
  </si>
  <si>
    <t>（SAP 等）</t>
    <rPh sb="5" eb="6">
      <t>トウ</t>
    </rPh>
    <phoneticPr fontId="7"/>
  </si>
  <si>
    <t>部門KPIや日々業務で発生する数字</t>
    <rPh sb="0" eb="2">
      <t>ブモン</t>
    </rPh>
    <rPh sb="6" eb="8">
      <t>ヒビ</t>
    </rPh>
    <rPh sb="8" eb="10">
      <t>ギョウム</t>
    </rPh>
    <rPh sb="11" eb="13">
      <t>ハッセイ</t>
    </rPh>
    <rPh sb="15" eb="17">
      <t>スウジ</t>
    </rPh>
    <phoneticPr fontId="7"/>
  </si>
  <si>
    <t>単純な用語の説明</t>
    <rPh sb="0" eb="2">
      <t>タンジュン</t>
    </rPh>
    <rPh sb="3" eb="5">
      <t>ヨウゴ</t>
    </rPh>
    <rPh sb="6" eb="8">
      <t>セツメイ</t>
    </rPh>
    <phoneticPr fontId="7"/>
  </si>
  <si>
    <t>02_業績管理・オペレーション指標</t>
    <rPh sb="3" eb="5">
      <t>ギョウセキ</t>
    </rPh>
    <rPh sb="5" eb="7">
      <t>カンリ</t>
    </rPh>
    <rPh sb="15" eb="17">
      <t>シヒョウ</t>
    </rPh>
    <phoneticPr fontId="7"/>
  </si>
  <si>
    <t>01_商品開発</t>
    <rPh sb="3" eb="5">
      <t>ショウヒン</t>
    </rPh>
    <rPh sb="5" eb="7">
      <t>カイハツ</t>
    </rPh>
    <phoneticPr fontId="7"/>
  </si>
  <si>
    <t>03_商品製造</t>
    <rPh sb="3" eb="5">
      <t>ショウヒン</t>
    </rPh>
    <rPh sb="5" eb="7">
      <t>セイゾウ</t>
    </rPh>
    <phoneticPr fontId="7"/>
  </si>
  <si>
    <t>04_販売</t>
    <rPh sb="3" eb="5">
      <t>ハンバイ</t>
    </rPh>
    <phoneticPr fontId="7"/>
  </si>
  <si>
    <t>各種項目一覧</t>
    <rPh sb="0" eb="2">
      <t>カクシュ</t>
    </rPh>
    <rPh sb="2" eb="4">
      <t>コウモク</t>
    </rPh>
    <rPh sb="4" eb="6">
      <t>イチラン</t>
    </rPh>
    <phoneticPr fontId="7"/>
  </si>
  <si>
    <t>05_物流</t>
    <rPh sb="3" eb="5">
      <t>ブツリュウ</t>
    </rPh>
    <phoneticPr fontId="7"/>
  </si>
  <si>
    <t>02_生販在</t>
    <rPh sb="3" eb="6">
      <t>セイハンザイ</t>
    </rPh>
    <phoneticPr fontId="7"/>
  </si>
  <si>
    <t>B_マスタ</t>
  </si>
  <si>
    <t>03_SCM</t>
  </si>
  <si>
    <t>04_プラントマスタ</t>
  </si>
  <si>
    <t>04_プラントマスタ</t>
    <phoneticPr fontId="7"/>
  </si>
  <si>
    <t>06_コーポレート</t>
  </si>
  <si>
    <t>01_PL</t>
  </si>
  <si>
    <t>02_BS</t>
  </si>
  <si>
    <t>利益・損失</t>
    <rPh sb="0" eb="2">
      <t>リエキ</t>
    </rPh>
    <rPh sb="3" eb="5">
      <t>ソンシツ</t>
    </rPh>
    <phoneticPr fontId="7"/>
  </si>
  <si>
    <t>資産</t>
    <rPh sb="0" eb="2">
      <t>シサン</t>
    </rPh>
    <phoneticPr fontId="7"/>
  </si>
  <si>
    <t>負債</t>
    <rPh sb="0" eb="2">
      <t>フサイ</t>
    </rPh>
    <phoneticPr fontId="7"/>
  </si>
  <si>
    <t>05_組織マスタ</t>
    <rPh sb="3" eb="5">
      <t>ソシキ</t>
    </rPh>
    <phoneticPr fontId="7"/>
  </si>
  <si>
    <t>05_マーケ・研究</t>
    <rPh sb="7" eb="9">
      <t>ケンキュウ</t>
    </rPh>
    <phoneticPr fontId="7"/>
  </si>
  <si>
    <t>06_その他マスタ</t>
    <rPh sb="5" eb="6">
      <t>タ</t>
    </rPh>
    <phoneticPr fontId="7"/>
  </si>
  <si>
    <t>指標タイプLv.3</t>
    <phoneticPr fontId="7"/>
  </si>
  <si>
    <t>該当なし</t>
    <rPh sb="0" eb="2">
      <t>ガイトウ</t>
    </rPh>
    <phoneticPr fontId="7"/>
  </si>
  <si>
    <t>管理体系</t>
    <rPh sb="0" eb="4">
      <t>カンリタイケイ</t>
    </rPh>
    <phoneticPr fontId="7"/>
  </si>
  <si>
    <t>生産性</t>
    <rPh sb="0" eb="3">
      <t>セイサンセイ</t>
    </rPh>
    <phoneticPr fontId="7"/>
  </si>
  <si>
    <t>施策効果</t>
    <rPh sb="0" eb="4">
      <t>シサクコウカ</t>
    </rPh>
    <phoneticPr fontId="7"/>
  </si>
  <si>
    <t>実績・計画</t>
    <rPh sb="0" eb="2">
      <t>ジッセキ</t>
    </rPh>
    <rPh sb="3" eb="5">
      <t>ケイカク</t>
    </rPh>
    <phoneticPr fontId="7"/>
  </si>
  <si>
    <t>非財務</t>
    <rPh sb="0" eb="3">
      <t>ヒザイム</t>
    </rPh>
    <phoneticPr fontId="7"/>
  </si>
  <si>
    <t>管理体系</t>
    <rPh sb="0" eb="4">
      <t>カンリタイケイ</t>
    </rPh>
    <phoneticPr fontId="7"/>
  </si>
  <si>
    <t>生産性</t>
    <rPh sb="0" eb="3">
      <t>セイサンセイ</t>
    </rPh>
    <phoneticPr fontId="7"/>
  </si>
  <si>
    <t>施策効果</t>
    <rPh sb="0" eb="4">
      <t>シサクコウカ</t>
    </rPh>
    <phoneticPr fontId="7"/>
  </si>
  <si>
    <t>実績・計画</t>
    <rPh sb="0" eb="2">
      <t>ジッセキ</t>
    </rPh>
    <rPh sb="3" eb="5">
      <t>ケイカク</t>
    </rPh>
    <phoneticPr fontId="7"/>
  </si>
  <si>
    <t>非財務</t>
    <rPh sb="0" eb="3">
      <t>ヒザイム</t>
    </rPh>
    <phoneticPr fontId="7"/>
  </si>
  <si>
    <t>売上原価</t>
    <rPh sb="0" eb="4">
      <t>ウリアゲゲンカ</t>
    </rPh>
    <phoneticPr fontId="7"/>
  </si>
  <si>
    <t>1ボール当たりの仕切り価格</t>
    <rPh sb="4" eb="5">
      <t>ア</t>
    </rPh>
    <rPh sb="8" eb="10">
      <t>シキ</t>
    </rPh>
    <rPh sb="11" eb="13">
      <t>カカク</t>
    </rPh>
    <phoneticPr fontId="7"/>
  </si>
  <si>
    <t>仕切価格</t>
    <rPh sb="0" eb="2">
      <t>シキ</t>
    </rPh>
    <rPh sb="2" eb="4">
      <t>カカク</t>
    </rPh>
    <phoneticPr fontId="7"/>
  </si>
  <si>
    <t>業務用</t>
    <rPh sb="0" eb="3">
      <t>ギョウムヨウ</t>
    </rPh>
    <phoneticPr fontId="7"/>
  </si>
  <si>
    <t>販売計画・実績</t>
    <rPh sb="0" eb="4">
      <t>ハンバイケイカク</t>
    </rPh>
    <rPh sb="5" eb="7">
      <t>ジッセキ</t>
    </rPh>
    <phoneticPr fontId="7"/>
  </si>
  <si>
    <t>特売費項目</t>
    <rPh sb="0" eb="3">
      <t>トクバイヒ</t>
    </rPh>
    <rPh sb="3" eb="5">
      <t>コウモク</t>
    </rPh>
    <phoneticPr fontId="7"/>
  </si>
  <si>
    <t>利益項目</t>
    <rPh sb="0" eb="2">
      <t>リエキ</t>
    </rPh>
    <rPh sb="2" eb="4">
      <t>コウモク</t>
    </rPh>
    <phoneticPr fontId="7"/>
  </si>
  <si>
    <t>LP管理</t>
    <rPh sb="2" eb="4">
      <t>カンリ</t>
    </rPh>
    <phoneticPr fontId="7"/>
  </si>
  <si>
    <t>その他</t>
    <rPh sb="2" eb="3">
      <t>タ</t>
    </rPh>
    <phoneticPr fontId="7"/>
  </si>
  <si>
    <t>生産</t>
    <rPh sb="0" eb="2">
      <t>セイサン</t>
    </rPh>
    <phoneticPr fontId="7"/>
  </si>
  <si>
    <t>在庫</t>
    <rPh sb="0" eb="2">
      <t>ザイコ</t>
    </rPh>
    <phoneticPr fontId="7"/>
  </si>
  <si>
    <t>フィ項目</t>
    <rPh sb="2" eb="4">
      <t>コウモク</t>
    </rPh>
    <phoneticPr fontId="7"/>
  </si>
  <si>
    <t>販売価格</t>
    <rPh sb="0" eb="2">
      <t>ハンバイ</t>
    </rPh>
    <rPh sb="2" eb="4">
      <t>カカク</t>
    </rPh>
    <phoneticPr fontId="7"/>
  </si>
  <si>
    <t>品目の数量の単位で、個数をケース換算しCS数単位で表した数量。</t>
    <rPh sb="3" eb="5">
      <t>スウリョウ</t>
    </rPh>
    <rPh sb="6" eb="8">
      <t>タンイ</t>
    </rPh>
    <rPh sb="10" eb="12">
      <t>コスウ</t>
    </rPh>
    <rPh sb="16" eb="18">
      <t>カンサン</t>
    </rPh>
    <rPh sb="21" eb="22">
      <t>スウ</t>
    </rPh>
    <phoneticPr fontId="7"/>
  </si>
  <si>
    <t>数量 ÷ 入り数</t>
    <rPh sb="0" eb="1">
      <t>カズ</t>
    </rPh>
    <rPh sb="1" eb="2">
      <t>イ</t>
    </rPh>
    <rPh sb="5" eb="6">
      <t>スウ</t>
    </rPh>
    <phoneticPr fontId="7"/>
  </si>
  <si>
    <t>販売</t>
    <rPh sb="0" eb="2">
      <t>ハンバイ</t>
    </rPh>
    <phoneticPr fontId="7"/>
  </si>
  <si>
    <t>収益性</t>
  </si>
  <si>
    <t>生産性</t>
  </si>
  <si>
    <t>品質</t>
  </si>
  <si>
    <t>労務</t>
  </si>
  <si>
    <t>物流品質</t>
  </si>
  <si>
    <t>物流収益性</t>
  </si>
  <si>
    <t>配車・車両管理</t>
  </si>
  <si>
    <t>出荷・保管効率</t>
  </si>
  <si>
    <t>物流品質</t>
    <rPh sb="0" eb="2">
      <t>ブツリュウ</t>
    </rPh>
    <rPh sb="2" eb="4">
      <t>ヒンシツ</t>
    </rPh>
    <phoneticPr fontId="7"/>
  </si>
  <si>
    <t>物流収益性</t>
    <phoneticPr fontId="7"/>
  </si>
  <si>
    <t>PLの注文獲得費の構成要素の１つ。ディスプレイ・資材・本部対策など、小売店に支払われないキャンペーン経費。卸店への割戻に充当される本部インセンティブも含む。</t>
    <rPh sb="3" eb="7">
      <t>チュウモンカクトク</t>
    </rPh>
    <rPh sb="7" eb="8">
      <t>ヒ</t>
    </rPh>
    <rPh sb="9" eb="13">
      <t>コウセイヨウソ</t>
    </rPh>
    <phoneticPr fontId="7"/>
  </si>
  <si>
    <t>○</t>
  </si>
  <si>
    <t/>
  </si>
  <si>
    <t>○</t>
    <phoneticPr fontId="7"/>
  </si>
  <si>
    <t>控除を行っていない売上の合計額。SAPで計上された売上の合計額。</t>
    <rPh sb="0" eb="2">
      <t>コウジョ</t>
    </rPh>
    <rPh sb="3" eb="4">
      <t>オコナ</t>
    </rPh>
    <rPh sb="9" eb="11">
      <t>ウリアゲ</t>
    </rPh>
    <rPh sb="12" eb="14">
      <t>ゴウケイ</t>
    </rPh>
    <rPh sb="14" eb="15">
      <t>ガク</t>
    </rPh>
    <rPh sb="20" eb="22">
      <t>ケイジョウ</t>
    </rPh>
    <rPh sb="25" eb="27">
      <t>ウリアゲ</t>
    </rPh>
    <rPh sb="28" eb="31">
      <t>ゴウケイガク</t>
    </rPh>
    <phoneticPr fontId="7"/>
  </si>
  <si>
    <t>販売数量×単価（実際に販売先に販売した単価）の積み上げ</t>
    <rPh sb="0" eb="2">
      <t>ハンバイ</t>
    </rPh>
    <rPh sb="2" eb="4">
      <t>スウリョウ</t>
    </rPh>
    <rPh sb="5" eb="7">
      <t>タンカ</t>
    </rPh>
    <rPh sb="8" eb="10">
      <t>ジッサイ</t>
    </rPh>
    <rPh sb="11" eb="14">
      <t>ハンバイサキ</t>
    </rPh>
    <rPh sb="15" eb="17">
      <t>ハンバイ</t>
    </rPh>
    <rPh sb="19" eb="21">
      <t>タンカ</t>
    </rPh>
    <rPh sb="23" eb="24">
      <t>ツ</t>
    </rPh>
    <rPh sb="25" eb="26">
      <t>ア</t>
    </rPh>
    <phoneticPr fontId="7"/>
  </si>
  <si>
    <t>02_会社マスタ</t>
    <rPh sb="3" eb="5">
      <t>カイシャ</t>
    </rPh>
    <phoneticPr fontId="7"/>
  </si>
  <si>
    <t>㈱ロッテ単体</t>
    <rPh sb="4" eb="6">
      <t>タンタイ</t>
    </rPh>
    <phoneticPr fontId="7"/>
  </si>
  <si>
    <t>菓子＋アイス＋ウエルネス</t>
    <rPh sb="0" eb="2">
      <t>カシ</t>
    </rPh>
    <phoneticPr fontId="7"/>
  </si>
  <si>
    <t>国内計</t>
    <rPh sb="0" eb="2">
      <t>コクナイ</t>
    </rPh>
    <rPh sb="2" eb="3">
      <t>ケイ</t>
    </rPh>
    <phoneticPr fontId="7"/>
  </si>
  <si>
    <t>㈱ロッテ単体＋メリー＋GCC</t>
    <rPh sb="4" eb="6">
      <t>タンタイ</t>
    </rPh>
    <phoneticPr fontId="7"/>
  </si>
  <si>
    <t>海外計</t>
    <rPh sb="0" eb="3">
      <t>カイガイケイ</t>
    </rPh>
    <phoneticPr fontId="7"/>
  </si>
  <si>
    <t>アジア計</t>
    <rPh sb="3" eb="4">
      <t>ケイ</t>
    </rPh>
    <phoneticPr fontId="7"/>
  </si>
  <si>
    <t>WEDEL計</t>
    <rPh sb="5" eb="6">
      <t>ケイ</t>
    </rPh>
    <phoneticPr fontId="7"/>
  </si>
  <si>
    <t>WEDEL＋Wedelカフェ</t>
    <phoneticPr fontId="7"/>
  </si>
  <si>
    <t>タイ＋ベトナム＋インドネシア＋台湾</t>
    <rPh sb="15" eb="17">
      <t>タイワン</t>
    </rPh>
    <phoneticPr fontId="7"/>
  </si>
  <si>
    <t>アジア計＋WEDEL計</t>
    <rPh sb="3" eb="4">
      <t>ケイ</t>
    </rPh>
    <rPh sb="10" eb="11">
      <t>ケイ</t>
    </rPh>
    <phoneticPr fontId="7"/>
  </si>
  <si>
    <t>国内・海外計</t>
    <rPh sb="0" eb="2">
      <t>コクナイ</t>
    </rPh>
    <rPh sb="3" eb="6">
      <t>カイガイケイ</t>
    </rPh>
    <phoneticPr fontId="7"/>
  </si>
  <si>
    <t>国内計＋海外計</t>
    <rPh sb="0" eb="2">
      <t>コクナイ</t>
    </rPh>
    <rPh sb="2" eb="3">
      <t>ケイ</t>
    </rPh>
    <rPh sb="4" eb="7">
      <t>カイガイケイ</t>
    </rPh>
    <phoneticPr fontId="7"/>
  </si>
  <si>
    <t>03_品目グループ</t>
    <rPh sb="3" eb="5">
      <t>ヒンモク</t>
    </rPh>
    <phoneticPr fontId="7"/>
  </si>
  <si>
    <t>ガム</t>
    <phoneticPr fontId="7"/>
  </si>
  <si>
    <t>チョコレート</t>
    <phoneticPr fontId="7"/>
  </si>
  <si>
    <t>キャンディ</t>
    <phoneticPr fontId="7"/>
  </si>
  <si>
    <t>ビスケット</t>
    <phoneticPr fontId="7"/>
  </si>
  <si>
    <t>その他製品</t>
    <rPh sb="2" eb="5">
      <t>タセイヒン</t>
    </rPh>
    <phoneticPr fontId="7"/>
  </si>
  <si>
    <t>総売上高から差し引かれる控除項目の合計。主に特売費（控除対象）が含まれる。純売上高＝総売上高−売上控除。</t>
    <phoneticPr fontId="7"/>
  </si>
  <si>
    <t>フィ＋特売費（控除対象）＋拡売費（控除対象）＋販売店手数料（控除対象）＋経費出荷＋売上控除（輸出）＋手数料（直接取引）</t>
    <rPh sb="3" eb="6">
      <t>トクバイヒ</t>
    </rPh>
    <rPh sb="7" eb="11">
      <t>コウジョタイショウ</t>
    </rPh>
    <rPh sb="13" eb="16">
      <t>カクバイヒ</t>
    </rPh>
    <rPh sb="17" eb="21">
      <t>コウジョタイショウ</t>
    </rPh>
    <rPh sb="23" eb="29">
      <t>ハンバイテンテスウリョウ</t>
    </rPh>
    <rPh sb="30" eb="34">
      <t>コウジョタイショウ</t>
    </rPh>
    <rPh sb="36" eb="40">
      <t>ケイヒシュッカ</t>
    </rPh>
    <rPh sb="41" eb="45">
      <t>ウリアゲコウジョ</t>
    </rPh>
    <rPh sb="46" eb="48">
      <t>ユシュツ</t>
    </rPh>
    <rPh sb="50" eb="53">
      <t>テスウリョウ</t>
    </rPh>
    <rPh sb="54" eb="58">
      <t>チョクセツトリヒキ</t>
    </rPh>
    <phoneticPr fontId="7"/>
  </si>
  <si>
    <t>単体売上高＋グループ会社売上ー連結修正ー為替差額</t>
    <rPh sb="0" eb="5">
      <t>タンタイウリアゲダカ</t>
    </rPh>
    <rPh sb="10" eb="12">
      <t>カイシャ</t>
    </rPh>
    <rPh sb="12" eb="14">
      <t>ウリアゲ</t>
    </rPh>
    <rPh sb="15" eb="19">
      <t>レンケツシュウセイ</t>
    </rPh>
    <rPh sb="20" eb="24">
      <t>カワセサガク</t>
    </rPh>
    <phoneticPr fontId="7"/>
  </si>
  <si>
    <t>売上に対する特売費の比率。営業部門における主要KPI。分母が総売上高の場合と純売上高の場合がある。</t>
    <rPh sb="0" eb="2">
      <t>ウリアゲ</t>
    </rPh>
    <rPh sb="15" eb="17">
      <t>ブモン</t>
    </rPh>
    <rPh sb="27" eb="29">
      <t>ブンボ</t>
    </rPh>
    <rPh sb="30" eb="33">
      <t>ソウウリアゲ</t>
    </rPh>
    <rPh sb="33" eb="34">
      <t>ダカ</t>
    </rPh>
    <rPh sb="35" eb="37">
      <t>バアイ</t>
    </rPh>
    <rPh sb="38" eb="41">
      <t>ジュンウリアゲ</t>
    </rPh>
    <rPh sb="41" eb="42">
      <t>ダカ</t>
    </rPh>
    <rPh sb="43" eb="45">
      <t>バアイ</t>
    </rPh>
    <phoneticPr fontId="7"/>
  </si>
  <si>
    <t>総売上高 − 売上控除</t>
    <rPh sb="3" eb="4">
      <t>ダカ</t>
    </rPh>
    <rPh sb="7" eb="11">
      <t>ウリアゲコウジョ</t>
    </rPh>
    <phoneticPr fontId="7"/>
  </si>
  <si>
    <t>総売上高から特売費等の控除対象経費を差し引いた売上。</t>
    <rPh sb="3" eb="4">
      <t>ダカ</t>
    </rPh>
    <rPh sb="6" eb="9">
      <t>トクバイヒ</t>
    </rPh>
    <rPh sb="9" eb="10">
      <t>ナド</t>
    </rPh>
    <rPh sb="11" eb="17">
      <t>コウジョタイショウケイヒ</t>
    </rPh>
    <rPh sb="18" eb="19">
      <t>サ</t>
    </rPh>
    <rPh sb="20" eb="21">
      <t>ヒ</t>
    </rPh>
    <phoneticPr fontId="7"/>
  </si>
  <si>
    <t>販売費（控除対象外）+ 広告宣伝費 + 運賃・保管料 + 人件費 + 一般管理費</t>
    <rPh sb="4" eb="6">
      <t>コウジョ</t>
    </rPh>
    <rPh sb="6" eb="8">
      <t>タイショウ</t>
    </rPh>
    <rPh sb="8" eb="9">
      <t>ガイ</t>
    </rPh>
    <phoneticPr fontId="7"/>
  </si>
  <si>
    <t>宣伝費媒体＋宣伝費その他</t>
    <rPh sb="0" eb="3">
      <t>センデンヒ</t>
    </rPh>
    <rPh sb="3" eb="5">
      <t>バイタイ</t>
    </rPh>
    <rPh sb="6" eb="9">
      <t>センデンヒ</t>
    </rPh>
    <rPh sb="11" eb="12">
      <t>タ</t>
    </rPh>
    <phoneticPr fontId="7"/>
  </si>
  <si>
    <t>商標権使用料＋福利厚生費＋消耗品費＋修繕費＋通信費＋旅費交通費＋保険料＋租税公課＋酒税＋賃借料＋接待交際費＋寄付金＋減価償却費＋電力費＋水道燃料費＋研究費＋社員募集費＋社員教育費＋調査費＋支払手数料＋雑費</t>
    <rPh sb="0" eb="3">
      <t>ショウヒョウケン</t>
    </rPh>
    <rPh sb="3" eb="6">
      <t>シヨウリョウ</t>
    </rPh>
    <rPh sb="7" eb="9">
      <t>フクリ</t>
    </rPh>
    <rPh sb="9" eb="12">
      <t>コウセイヒ</t>
    </rPh>
    <rPh sb="13" eb="16">
      <t>ショウモウヒン</t>
    </rPh>
    <rPh sb="16" eb="17">
      <t>ヒ</t>
    </rPh>
    <rPh sb="18" eb="21">
      <t>シュウゼンヒ</t>
    </rPh>
    <rPh sb="22" eb="25">
      <t>ツウシンヒ</t>
    </rPh>
    <rPh sb="26" eb="28">
      <t>リョヒ</t>
    </rPh>
    <rPh sb="28" eb="31">
      <t>コウツウヒ</t>
    </rPh>
    <rPh sb="32" eb="35">
      <t>ホケンリョウ</t>
    </rPh>
    <rPh sb="36" eb="38">
      <t>ソゼイ</t>
    </rPh>
    <rPh sb="38" eb="40">
      <t>コウカ</t>
    </rPh>
    <rPh sb="41" eb="43">
      <t>シュゼイ</t>
    </rPh>
    <rPh sb="44" eb="47">
      <t>チンシャクリョウ</t>
    </rPh>
    <rPh sb="48" eb="50">
      <t>セッタイ</t>
    </rPh>
    <rPh sb="50" eb="53">
      <t>コウサイヒ</t>
    </rPh>
    <rPh sb="54" eb="57">
      <t>キフキン</t>
    </rPh>
    <rPh sb="58" eb="60">
      <t>ゲンカ</t>
    </rPh>
    <rPh sb="60" eb="62">
      <t>ショウキャク</t>
    </rPh>
    <rPh sb="62" eb="63">
      <t>ヒ</t>
    </rPh>
    <rPh sb="64" eb="66">
      <t>デンリョク</t>
    </rPh>
    <rPh sb="66" eb="67">
      <t>ヒ</t>
    </rPh>
    <rPh sb="68" eb="70">
      <t>スイドウ</t>
    </rPh>
    <rPh sb="70" eb="73">
      <t>ネンリョウヒ</t>
    </rPh>
    <rPh sb="74" eb="77">
      <t>ケンキュウヒ</t>
    </rPh>
    <rPh sb="78" eb="80">
      <t>シャイン</t>
    </rPh>
    <rPh sb="80" eb="82">
      <t>ボシュウ</t>
    </rPh>
    <rPh sb="82" eb="83">
      <t>ヒ</t>
    </rPh>
    <rPh sb="84" eb="86">
      <t>シャイン</t>
    </rPh>
    <rPh sb="86" eb="88">
      <t>キョウイク</t>
    </rPh>
    <rPh sb="88" eb="89">
      <t>ヒ</t>
    </rPh>
    <rPh sb="90" eb="93">
      <t>チョウサヒ</t>
    </rPh>
    <rPh sb="94" eb="96">
      <t>シハライ</t>
    </rPh>
    <rPh sb="96" eb="99">
      <t>テスウリョウ</t>
    </rPh>
    <rPh sb="100" eb="102">
      <t>ザッピ</t>
    </rPh>
    <phoneticPr fontId="7"/>
  </si>
  <si>
    <t>純売上高から売上原価を差し引いた利益。いわゆる「粗利」。</t>
    <phoneticPr fontId="7"/>
  </si>
  <si>
    <t>営業利益＋営業外収益－営業外費用</t>
    <rPh sb="0" eb="4">
      <t>エイギョウリエキ</t>
    </rPh>
    <rPh sb="5" eb="8">
      <t>エイギョウガイ</t>
    </rPh>
    <rPh sb="8" eb="10">
      <t>シュウエキ</t>
    </rPh>
    <rPh sb="11" eb="14">
      <t>エイギョウガイ</t>
    </rPh>
    <rPh sb="14" eb="16">
      <t>ヒヨウ</t>
    </rPh>
    <phoneticPr fontId="7"/>
  </si>
  <si>
    <t>PFはポートフォリオ、カテゴリ販売店あたり販売店率（＝該当カテゴリの商品を扱っている店舗で該当商品が1回でもPOSを通ったら1）</t>
    <rPh sb="15" eb="18">
      <t>ハンバイテン</t>
    </rPh>
    <rPh sb="21" eb="24">
      <t>ハンバイテン</t>
    </rPh>
    <rPh sb="24" eb="25">
      <t>リツ</t>
    </rPh>
    <rPh sb="27" eb="29">
      <t>ガイトウ</t>
    </rPh>
    <rPh sb="34" eb="36">
      <t>ショウヒン</t>
    </rPh>
    <rPh sb="37" eb="38">
      <t>アツカ</t>
    </rPh>
    <rPh sb="42" eb="44">
      <t>テンポ</t>
    </rPh>
    <rPh sb="45" eb="47">
      <t>ガイトウ</t>
    </rPh>
    <rPh sb="47" eb="49">
      <t>ショウヒン</t>
    </rPh>
    <rPh sb="51" eb="52">
      <t>カイ</t>
    </rPh>
    <rPh sb="58" eb="59">
      <t>トオ</t>
    </rPh>
    <phoneticPr fontId="7"/>
  </si>
  <si>
    <t>本社営業推進で指定した商品別・チャネル別の目標として陳列すべき店有率</t>
    <rPh sb="0" eb="2">
      <t>ホンシャ</t>
    </rPh>
    <rPh sb="2" eb="6">
      <t>エイギョウスイシン</t>
    </rPh>
    <rPh sb="7" eb="9">
      <t>シテイ</t>
    </rPh>
    <rPh sb="11" eb="14">
      <t>ショウヒンベツ</t>
    </rPh>
    <rPh sb="19" eb="20">
      <t>ベツ</t>
    </rPh>
    <rPh sb="21" eb="23">
      <t>モクヒョウ</t>
    </rPh>
    <rPh sb="26" eb="28">
      <t>チンレツ</t>
    </rPh>
    <rPh sb="31" eb="32">
      <t>ミセ</t>
    </rPh>
    <rPh sb="32" eb="33">
      <t>ア</t>
    </rPh>
    <rPh sb="33" eb="34">
      <t>リツ</t>
    </rPh>
    <phoneticPr fontId="7"/>
  </si>
  <si>
    <t>削除</t>
    <rPh sb="0" eb="2">
      <t>サクジョ</t>
    </rPh>
    <phoneticPr fontId="7"/>
  </si>
  <si>
    <t>特定の部署から～などの表現を検討するか、削除するか</t>
    <rPh sb="0" eb="2">
      <t>トクテイ</t>
    </rPh>
    <rPh sb="3" eb="5">
      <t>ブショ</t>
    </rPh>
    <rPh sb="11" eb="13">
      <t>ヒョウゲン</t>
    </rPh>
    <rPh sb="14" eb="16">
      <t>ケントウ</t>
    </rPh>
    <rPh sb="20" eb="22">
      <t>サクジョ</t>
    </rPh>
    <phoneticPr fontId="7"/>
  </si>
  <si>
    <t>ウェデル計</t>
    <rPh sb="4" eb="5">
      <t>ケイ</t>
    </rPh>
    <phoneticPr fontId="7"/>
  </si>
  <si>
    <t>物流費</t>
    <phoneticPr fontId="7"/>
  </si>
  <si>
    <t>1cs当たりに入る個数。菓子は1ボール当たりの個数×ボール数で表される。アイスは1cs当たりの個数で表される。</t>
    <rPh sb="3" eb="4">
      <t>ア</t>
    </rPh>
    <rPh sb="7" eb="8">
      <t>ハイ</t>
    </rPh>
    <rPh sb="9" eb="11">
      <t>コスウ</t>
    </rPh>
    <rPh sb="12" eb="14">
      <t>カシ</t>
    </rPh>
    <rPh sb="19" eb="20">
      <t>ア</t>
    </rPh>
    <rPh sb="23" eb="25">
      <t>コスウ</t>
    </rPh>
    <rPh sb="29" eb="30">
      <t>スウ</t>
    </rPh>
    <rPh sb="31" eb="32">
      <t>アラワ</t>
    </rPh>
    <rPh sb="43" eb="44">
      <t>ア</t>
    </rPh>
    <rPh sb="47" eb="49">
      <t>コスウ</t>
    </rPh>
    <rPh sb="50" eb="51">
      <t>アラワ</t>
    </rPh>
    <phoneticPr fontId="7"/>
  </si>
  <si>
    <t>物流費=一次輸送費+二次輸送費+保管料+荷役料+その他</t>
    <rPh sb="0" eb="3">
      <t>ブツリュウヒ</t>
    </rPh>
    <rPh sb="4" eb="6">
      <t>イチジ</t>
    </rPh>
    <rPh sb="6" eb="9">
      <t>ユソウヒ</t>
    </rPh>
    <rPh sb="10" eb="12">
      <t>ニジ</t>
    </rPh>
    <rPh sb="12" eb="14">
      <t>ユソウ</t>
    </rPh>
    <rPh sb="14" eb="15">
      <t>ヒ</t>
    </rPh>
    <rPh sb="16" eb="18">
      <t>ホカン</t>
    </rPh>
    <rPh sb="18" eb="19">
      <t>リョウ</t>
    </rPh>
    <rPh sb="20" eb="22">
      <t>ニエキ</t>
    </rPh>
    <rPh sb="22" eb="23">
      <t>リョウ</t>
    </rPh>
    <rPh sb="26" eb="27">
      <t>タ</t>
    </rPh>
    <phoneticPr fontId="7"/>
  </si>
  <si>
    <t>保管料＋荷役料</t>
    <rPh sb="0" eb="3">
      <t>ホカンリョウ</t>
    </rPh>
    <rPh sb="4" eb="7">
      <t>ニヤクリョウ</t>
    </rPh>
    <phoneticPr fontId="7"/>
  </si>
  <si>
    <t>算出式削除</t>
    <rPh sb="0" eb="5">
      <t>サンシュツシキサクジョ</t>
    </rPh>
    <phoneticPr fontId="7"/>
  </si>
  <si>
    <t>記載不可</t>
    <rPh sb="0" eb="2">
      <t>キサイ</t>
    </rPh>
    <rPh sb="2" eb="4">
      <t>フカ</t>
    </rPh>
    <phoneticPr fontId="7"/>
  </si>
  <si>
    <t>仕切価格変更実施時の売上金額・数量変化に伴う売上原価・物流費への財務的影響額。</t>
    <rPh sb="0" eb="4">
      <t>シキリカカク</t>
    </rPh>
    <rPh sb="4" eb="6">
      <t>ヘンコウ</t>
    </rPh>
    <rPh sb="6" eb="9">
      <t>ジッシジ</t>
    </rPh>
    <rPh sb="10" eb="12">
      <t>ウリアゲ</t>
    </rPh>
    <rPh sb="12" eb="14">
      <t>キンガク</t>
    </rPh>
    <rPh sb="15" eb="17">
      <t>スウリョウ</t>
    </rPh>
    <rPh sb="17" eb="19">
      <t>ヘンカ</t>
    </rPh>
    <rPh sb="20" eb="21">
      <t>トモナ</t>
    </rPh>
    <rPh sb="22" eb="24">
      <t>ウリアゲ</t>
    </rPh>
    <rPh sb="24" eb="26">
      <t>ゲンカ</t>
    </rPh>
    <rPh sb="27" eb="30">
      <t>ブツリュウヒ</t>
    </rPh>
    <rPh sb="32" eb="35">
      <t>ザイムテキ</t>
    </rPh>
    <rPh sb="35" eb="38">
      <t>エイキョウガク</t>
    </rPh>
    <phoneticPr fontId="7"/>
  </si>
  <si>
    <t>アイス</t>
    <phoneticPr fontId="7"/>
  </si>
  <si>
    <t>菓子・アイス計</t>
    <rPh sb="0" eb="2">
      <t>カシ</t>
    </rPh>
    <rPh sb="6" eb="7">
      <t>ケイ</t>
    </rPh>
    <phoneticPr fontId="7"/>
  </si>
  <si>
    <t>ウエルネス</t>
    <phoneticPr fontId="7"/>
  </si>
  <si>
    <t>菓子</t>
    <rPh sb="0" eb="2">
      <t>カシ</t>
    </rPh>
    <phoneticPr fontId="7"/>
  </si>
  <si>
    <t>市販用</t>
    <rPh sb="0" eb="3">
      <t>シハンヨウ</t>
    </rPh>
    <phoneticPr fontId="7"/>
  </si>
  <si>
    <t>業務用</t>
    <rPh sb="0" eb="3">
      <t>ギョウムヨウ</t>
    </rPh>
    <phoneticPr fontId="7"/>
  </si>
  <si>
    <t>㈱ロッテグループ（連結）</t>
    <rPh sb="9" eb="11">
      <t>レンケツ</t>
    </rPh>
    <phoneticPr fontId="7"/>
  </si>
  <si>
    <t>銀座コージーコーナー</t>
    <rPh sb="0" eb="2">
      <t>ギンザ</t>
    </rPh>
    <phoneticPr fontId="7"/>
  </si>
  <si>
    <t>メリーチョコレートカムパニー</t>
    <phoneticPr fontId="7"/>
  </si>
  <si>
    <t>アジア</t>
    <phoneticPr fontId="7"/>
  </si>
  <si>
    <t>グローバル</t>
    <phoneticPr fontId="7"/>
  </si>
  <si>
    <t>タイ</t>
    <phoneticPr fontId="7"/>
  </si>
  <si>
    <t>インドネシア</t>
    <phoneticPr fontId="7"/>
  </si>
  <si>
    <t>台湾</t>
    <rPh sb="0" eb="2">
      <t>タイワン</t>
    </rPh>
    <phoneticPr fontId="7"/>
  </si>
  <si>
    <t>ウェデル</t>
    <phoneticPr fontId="7"/>
  </si>
  <si>
    <t>ウェデルカフェ</t>
    <phoneticPr fontId="7"/>
  </si>
  <si>
    <t>ベトナム</t>
    <phoneticPr fontId="7"/>
  </si>
  <si>
    <t>0x_商品マスタ</t>
    <rPh sb="3" eb="5">
      <t>ショウヒン</t>
    </rPh>
    <phoneticPr fontId="7"/>
  </si>
  <si>
    <t>マーケが月度でBOに投入しているフォームをもらってシート追加（商品マスタ）</t>
    <rPh sb="4" eb="6">
      <t>ゲツド</t>
    </rPh>
    <rPh sb="10" eb="12">
      <t>トウニュウ</t>
    </rPh>
    <rPh sb="28" eb="30">
      <t>ツイカ</t>
    </rPh>
    <rPh sb="31" eb="33">
      <t>ショウヒン</t>
    </rPh>
    <phoneticPr fontId="7"/>
  </si>
  <si>
    <t>下の画像にある区分で管理</t>
    <rPh sb="0" eb="1">
      <t>シタ</t>
    </rPh>
    <rPh sb="2" eb="4">
      <t>ガゾウ</t>
    </rPh>
    <rPh sb="7" eb="9">
      <t>クブン</t>
    </rPh>
    <rPh sb="10" eb="12">
      <t>カンリ</t>
    </rPh>
    <phoneticPr fontId="7"/>
  </si>
  <si>
    <t>不要</t>
    <rPh sb="0" eb="2">
      <t>フヨウ</t>
    </rPh>
    <phoneticPr fontId="7"/>
  </si>
  <si>
    <t>削除</t>
    <rPh sb="0" eb="2">
      <t>サクジョ</t>
    </rPh>
    <phoneticPr fontId="7"/>
  </si>
  <si>
    <t>品番系はマスタを入手して管理（内部品番、外部品番、JANコード、親品目コード、親品目Gコード）</t>
    <rPh sb="0" eb="3">
      <t>ヒンバンケイ</t>
    </rPh>
    <rPh sb="8" eb="10">
      <t>ニュウシュ</t>
    </rPh>
    <rPh sb="12" eb="14">
      <t>カンリ</t>
    </rPh>
    <rPh sb="15" eb="19">
      <t>ナイブヒンバン</t>
    </rPh>
    <rPh sb="20" eb="24">
      <t>ガイブヒンバン</t>
    </rPh>
    <rPh sb="32" eb="35">
      <t>オヤヒンモク</t>
    </rPh>
    <rPh sb="39" eb="42">
      <t>オヤヒンモク</t>
    </rPh>
    <phoneticPr fontId="7"/>
  </si>
  <si>
    <t>特売費 ÷ 総売上高 × 100
または
特売費 ÷ 純売上高 × 100</t>
    <rPh sb="6" eb="7">
      <t>ソウ</t>
    </rPh>
    <rPh sb="9" eb="10">
      <t>ダカ</t>
    </rPh>
    <phoneticPr fontId="7"/>
  </si>
  <si>
    <t>売上原価 ÷ 総売上高 × 100
または
売上原価 ÷ 純売上高 × 100</t>
    <rPh sb="7" eb="8">
      <t>ソウ</t>
    </rPh>
    <phoneticPr fontId="7"/>
  </si>
  <si>
    <t>売上に対する売上原価の比率。製造コスト効率を示す主要管理指標。分母が総売上高の場合と純売上高の場合がある。</t>
    <phoneticPr fontId="7"/>
  </si>
  <si>
    <t>売上に対する原料費の比率。分母が総売上高の場合と純売上高の場合がある。</t>
    <phoneticPr fontId="7"/>
  </si>
  <si>
    <t>原料費 ÷ 総売上高 × 100
または
原料費 ÷ 純売上高 × 100</t>
    <rPh sb="0" eb="3">
      <t>ゲンリョウヒ</t>
    </rPh>
    <rPh sb="6" eb="10">
      <t>ソウウリアゲダカ</t>
    </rPh>
    <rPh sb="21" eb="24">
      <t>ゲンリョウヒ</t>
    </rPh>
    <rPh sb="27" eb="31">
      <t>ジュンウリアゲダカ</t>
    </rPh>
    <phoneticPr fontId="7"/>
  </si>
  <si>
    <t>原料費</t>
    <phoneticPr fontId="7"/>
  </si>
  <si>
    <t>原料費＋包材費</t>
    <rPh sb="0" eb="3">
      <t>ゲンリョウヒ</t>
    </rPh>
    <rPh sb="4" eb="7">
      <t>ホウザイヒ</t>
    </rPh>
    <phoneticPr fontId="7"/>
  </si>
  <si>
    <t>売上に対する販売費の比率。分母が総売上高の場合と純売上高の場合がある。</t>
    <rPh sb="0" eb="2">
      <t>ウリアゲ</t>
    </rPh>
    <rPh sb="6" eb="9">
      <t>ハンバイヒ</t>
    </rPh>
    <rPh sb="10" eb="12">
      <t>ヒリツ</t>
    </rPh>
    <phoneticPr fontId="7"/>
  </si>
  <si>
    <t>販売費 ÷ 総売上高 × 100
または
販売費 ÷ 純売上高 × 100</t>
    <rPh sb="0" eb="3">
      <t>ハンバイヒ</t>
    </rPh>
    <rPh sb="6" eb="10">
      <t>ソウウリアゲダカ</t>
    </rPh>
    <rPh sb="21" eb="24">
      <t>ハンバイヒ</t>
    </rPh>
    <rPh sb="27" eb="31">
      <t>ジュンウリアゲダカ</t>
    </rPh>
    <phoneticPr fontId="7"/>
  </si>
  <si>
    <t>売上に対する広告宣伝費の比率。分母が総売上高の場合と純売上高の場合がある。</t>
    <rPh sb="0" eb="2">
      <t>ウリアゲ</t>
    </rPh>
    <rPh sb="6" eb="11">
      <t>コウコクセンデンヒ</t>
    </rPh>
    <rPh sb="12" eb="14">
      <t>ヒリツ</t>
    </rPh>
    <phoneticPr fontId="7"/>
  </si>
  <si>
    <t>広告宣伝費 ÷ 総売上高 × 100
または
広告宣伝費 ÷ 純売上高 × 100</t>
    <rPh sb="0" eb="5">
      <t>コウコクセンデンヒ</t>
    </rPh>
    <rPh sb="8" eb="12">
      <t>ソウウリアゲダカ</t>
    </rPh>
    <rPh sb="23" eb="28">
      <t>コウコクセンデンヒ</t>
    </rPh>
    <rPh sb="31" eb="35">
      <t>ジュンウリアゲダカ</t>
    </rPh>
    <phoneticPr fontId="7"/>
  </si>
  <si>
    <t>売上に対する運賃保管料の比率。分母が総売上高の場合と純売上高の場合がある。</t>
    <rPh sb="0" eb="2">
      <t>ウリアゲ</t>
    </rPh>
    <rPh sb="6" eb="11">
      <t>ウンチンホカンリョウ</t>
    </rPh>
    <rPh sb="12" eb="14">
      <t>ヒリツ</t>
    </rPh>
    <phoneticPr fontId="7"/>
  </si>
  <si>
    <t>運賃保管料 ÷ 総売上高 × 100
または
運賃保管料 ÷ 純売上高 × 100</t>
    <rPh sb="0" eb="5">
      <t>ウンチンホカンリョウ</t>
    </rPh>
    <rPh sb="8" eb="12">
      <t>ソウウリアゲダカ</t>
    </rPh>
    <rPh sb="23" eb="28">
      <t>ウンチンホカンリョウ</t>
    </rPh>
    <rPh sb="31" eb="35">
      <t>ジュンウリアゲダカ</t>
    </rPh>
    <phoneticPr fontId="7"/>
  </si>
  <si>
    <t>総売上高に対する人件費の比率。</t>
    <rPh sb="0" eb="4">
      <t>ソウウリアゲダカ</t>
    </rPh>
    <rPh sb="8" eb="11">
      <t>ジンケンヒ</t>
    </rPh>
    <rPh sb="12" eb="14">
      <t>ヒリツ</t>
    </rPh>
    <phoneticPr fontId="7"/>
  </si>
  <si>
    <t>純売上高に対する人件費の比率。</t>
    <rPh sb="0" eb="1">
      <t>ジュン</t>
    </rPh>
    <rPh sb="1" eb="3">
      <t>ウリアゲ</t>
    </rPh>
    <rPh sb="3" eb="4">
      <t>ダカ</t>
    </rPh>
    <rPh sb="8" eb="11">
      <t>ジンケンヒ</t>
    </rPh>
    <rPh sb="12" eb="14">
      <t>ヒリツ</t>
    </rPh>
    <phoneticPr fontId="7"/>
  </si>
  <si>
    <t>人件費 ÷ 総売上高 × 100</t>
    <rPh sb="0" eb="3">
      <t>ジンケンヒ</t>
    </rPh>
    <rPh sb="6" eb="10">
      <t>ソウウリアゲダカ</t>
    </rPh>
    <phoneticPr fontId="7"/>
  </si>
  <si>
    <t>人件費 ÷ 純売上高 × 100</t>
    <rPh sb="0" eb="3">
      <t>ジンケンヒ</t>
    </rPh>
    <phoneticPr fontId="7"/>
  </si>
  <si>
    <t>売上に対する一般管理費の比率。分母が総売上高の場合と純売上高の場合がある。</t>
    <rPh sb="0" eb="2">
      <t>ウリアゲ</t>
    </rPh>
    <rPh sb="6" eb="11">
      <t>イッパンカンリヒ</t>
    </rPh>
    <rPh sb="12" eb="14">
      <t>ヒリツ</t>
    </rPh>
    <phoneticPr fontId="7"/>
  </si>
  <si>
    <t>一般管理費 ÷ 総売上高 × 100
または
一般管理費 ÷ 純売上高 × 100</t>
    <rPh sb="0" eb="5">
      <t>イッパンカンリヒ</t>
    </rPh>
    <rPh sb="8" eb="12">
      <t>ソウウリアゲダカ</t>
    </rPh>
    <rPh sb="23" eb="28">
      <t>イッパンカンリヒ</t>
    </rPh>
    <rPh sb="31" eb="35">
      <t>ジュンウリアゲダカ</t>
    </rPh>
    <phoneticPr fontId="7"/>
  </si>
  <si>
    <t>売上総利益か販管費を引いた金額</t>
    <rPh sb="0" eb="2">
      <t>ウリアゲ</t>
    </rPh>
    <rPh sb="2" eb="5">
      <t>ソウリエキ</t>
    </rPh>
    <rPh sb="6" eb="9">
      <t>ハンカンヒ</t>
    </rPh>
    <rPh sb="10" eb="11">
      <t>ヒ</t>
    </rPh>
    <rPh sb="13" eb="15">
      <t>キンガク</t>
    </rPh>
    <phoneticPr fontId="7"/>
  </si>
  <si>
    <t xml:space="preserve">売上総利益　－　販管費
</t>
    <rPh sb="0" eb="2">
      <t>ウリアゲ</t>
    </rPh>
    <rPh sb="2" eb="5">
      <t>ソウリエキ</t>
    </rPh>
    <rPh sb="8" eb="11">
      <t>ハンカンヒ</t>
    </rPh>
    <phoneticPr fontId="7"/>
  </si>
  <si>
    <t>売上に対する営業利益の比率。分母が総売上高の場合と純売上高の場合がある。</t>
    <rPh sb="0" eb="2">
      <t>ウリアゲ</t>
    </rPh>
    <rPh sb="6" eb="10">
      <t>エイギョウリエキ</t>
    </rPh>
    <rPh sb="11" eb="13">
      <t>ヒリツ</t>
    </rPh>
    <phoneticPr fontId="7"/>
  </si>
  <si>
    <t>営業利益 ÷ 総売上高 × 100
または
営業利益 ÷ 純売上高 × 100</t>
    <rPh sb="0" eb="4">
      <t>エイギョウリエキ</t>
    </rPh>
    <rPh sb="7" eb="11">
      <t>ソウウリアゲダカ</t>
    </rPh>
    <rPh sb="22" eb="26">
      <t>エイギョウリエキ</t>
    </rPh>
    <rPh sb="29" eb="33">
      <t>ジュンウリアゲダカ</t>
    </rPh>
    <phoneticPr fontId="7"/>
  </si>
  <si>
    <t>総売上高から変動費を引いた利益。</t>
    <rPh sb="0" eb="4">
      <t>ソウウリアゲダカ</t>
    </rPh>
    <rPh sb="6" eb="8">
      <t>ヘンドウ</t>
    </rPh>
    <rPh sb="8" eb="9">
      <t>ヒ</t>
    </rPh>
    <phoneticPr fontId="7"/>
  </si>
  <si>
    <t>総売上高 − 変動費</t>
    <rPh sb="0" eb="4">
      <t>ソウウリアゲダカ</t>
    </rPh>
    <rPh sb="7" eb="9">
      <t>ヘンドウ</t>
    </rPh>
    <rPh sb="9" eb="10">
      <t>ヒ</t>
    </rPh>
    <phoneticPr fontId="7"/>
  </si>
  <si>
    <t>売上に対する限界利益の比率。分母が総売上高の場合と純売上高の場合がある。</t>
    <rPh sb="0" eb="2">
      <t>ウリアゲ</t>
    </rPh>
    <rPh sb="6" eb="10">
      <t>ゲンカイリエキ</t>
    </rPh>
    <rPh sb="11" eb="13">
      <t>ヒリツ</t>
    </rPh>
    <phoneticPr fontId="7"/>
  </si>
  <si>
    <t>限界利益 ÷ 総売上高 × 100
または
限界利益 ÷ 純売上高 × 100</t>
    <rPh sb="0" eb="2">
      <t>ゲンカイ</t>
    </rPh>
    <rPh sb="2" eb="4">
      <t>リエキ</t>
    </rPh>
    <rPh sb="7" eb="11">
      <t>ソウウリアゲダカ</t>
    </rPh>
    <rPh sb="22" eb="24">
      <t>ゲンカイ</t>
    </rPh>
    <rPh sb="24" eb="26">
      <t>リエキ</t>
    </rPh>
    <rPh sb="29" eb="33">
      <t>ジュンウリアゲダカ</t>
    </rPh>
    <phoneticPr fontId="7"/>
  </si>
  <si>
    <t>変動費</t>
    <rPh sb="0" eb="3">
      <t>ヘンドウヒ</t>
    </rPh>
    <phoneticPr fontId="7"/>
  </si>
  <si>
    <t>固定費</t>
    <rPh sb="0" eb="3">
      <t>コテイヒ</t>
    </rPh>
    <phoneticPr fontId="7"/>
  </si>
  <si>
    <t>SRI+データの指標。アイテム販売店1店舗あたりの一定期間における販売金額。新商品の初週動向評価で「SM1,000㎡以上」等の条件でセグメントして報告される。前年同期品・他社競合品との比較に使用。</t>
    <rPh sb="25" eb="29">
      <t>イッテイキカン</t>
    </rPh>
    <phoneticPr fontId="7"/>
  </si>
  <si>
    <t>SRI+データの指標。アイテム販売店1店舗あたりの一定期間における販売個数。新商品の初週動向評価で「SM1,000㎡以上」等の条件でセグメントして報告される。前年同期品・他社競合品との比較に使用。</t>
    <rPh sb="25" eb="29">
      <t>イッテイキカン</t>
    </rPh>
    <phoneticPr fontId="7"/>
  </si>
  <si>
    <t>SRI+データの指標。アイテム販売店1店舗あたりの週間販売個数。</t>
    <rPh sb="8" eb="10">
      <t>シヒョウ</t>
    </rPh>
    <rPh sb="15" eb="18">
      <t>ハンバイテン</t>
    </rPh>
    <rPh sb="19" eb="21">
      <t>テンポ</t>
    </rPh>
    <rPh sb="25" eb="27">
      <t>シュウカン</t>
    </rPh>
    <rPh sb="27" eb="29">
      <t>ハンバイ</t>
    </rPh>
    <rPh sb="29" eb="31">
      <t>コスウ</t>
    </rPh>
    <phoneticPr fontId="7"/>
  </si>
  <si>
    <r>
      <t>商品の工場出荷から消費地までの輸送・保管・荷役にかかる費用の総称。一次輸送費・二次輸送費・保管料・荷役料・その他に分類される。SCM本部のKPIでは、</t>
    </r>
    <r>
      <rPr>
        <sz val="10"/>
        <rFont val="Meiryo UI"/>
        <family val="3"/>
        <charset val="128"/>
      </rPr>
      <t>純</t>
    </r>
    <r>
      <rPr>
        <sz val="10"/>
        <color theme="1"/>
        <rFont val="Meiryo UI"/>
        <family val="3"/>
        <charset val="128"/>
      </rPr>
      <t>売上に対する経費率（物流費率）で評価される。</t>
    </r>
    <rPh sb="37" eb="38">
      <t>ヒ</t>
    </rPh>
    <rPh sb="41" eb="44">
      <t>ユソウヒ</t>
    </rPh>
    <rPh sb="47" eb="48">
      <t>リョウ</t>
    </rPh>
    <rPh sb="66" eb="68">
      <t>ホンブ</t>
    </rPh>
    <phoneticPr fontId="7"/>
  </si>
  <si>
    <t>大分類</t>
    <rPh sb="0" eb="3">
      <t>ダイブンルイ</t>
    </rPh>
    <phoneticPr fontId="7"/>
  </si>
  <si>
    <t>中分類</t>
    <rPh sb="0" eb="3">
      <t>チュウブンルイ</t>
    </rPh>
    <phoneticPr fontId="7"/>
  </si>
  <si>
    <t>小分類</t>
    <rPh sb="0" eb="3">
      <t>ショウブンルイ</t>
    </rPh>
    <phoneticPr fontId="7"/>
  </si>
  <si>
    <t>総売上高</t>
    <rPh sb="0" eb="4">
      <t>ソウウリアゲダカ</t>
    </rPh>
    <phoneticPr fontId="7"/>
  </si>
  <si>
    <t>売上控除</t>
    <rPh sb="0" eb="4">
      <t>ウリアゲコウジョ</t>
    </rPh>
    <phoneticPr fontId="7"/>
  </si>
  <si>
    <t>拡売費(控除対象)</t>
    <phoneticPr fontId="7"/>
  </si>
  <si>
    <t>手数料(直接取引)</t>
  </si>
  <si>
    <t>特売費(控除対象)</t>
    <phoneticPr fontId="7"/>
  </si>
  <si>
    <t>販売店手数料(控除対象)</t>
    <phoneticPr fontId="7"/>
  </si>
  <si>
    <t>経費出荷</t>
    <phoneticPr fontId="7"/>
  </si>
  <si>
    <t>売上控除(輸出)</t>
    <phoneticPr fontId="7"/>
  </si>
  <si>
    <t>純売上高</t>
    <rPh sb="0" eb="4">
      <t>ジュンウリアゲダカ</t>
    </rPh>
    <phoneticPr fontId="7"/>
  </si>
  <si>
    <t>原料費</t>
    <rPh sb="0" eb="3">
      <t>ゲンリョウヒ</t>
    </rPh>
    <phoneticPr fontId="7"/>
  </si>
  <si>
    <t>包材費</t>
    <rPh sb="0" eb="3">
      <t>ホウザイヒ</t>
    </rPh>
    <phoneticPr fontId="7"/>
  </si>
  <si>
    <t>外注原料費</t>
    <rPh sb="0" eb="5">
      <t>ガイチュウゲンリョウヒ</t>
    </rPh>
    <phoneticPr fontId="7"/>
  </si>
  <si>
    <t>外注包材費</t>
    <rPh sb="0" eb="5">
      <t>ガイチュウホウザイヒ</t>
    </rPh>
    <phoneticPr fontId="7"/>
  </si>
  <si>
    <t>外注成型費</t>
    <rPh sb="0" eb="4">
      <t>ガイチュウセイケイ</t>
    </rPh>
    <rPh sb="4" eb="5">
      <t>ヒ</t>
    </rPh>
    <phoneticPr fontId="7"/>
  </si>
  <si>
    <t>外注</t>
    <rPh sb="0" eb="2">
      <t>ガイチュウ</t>
    </rPh>
    <phoneticPr fontId="7"/>
  </si>
  <si>
    <t>機械変動費</t>
    <rPh sb="0" eb="5">
      <t>キカイヘンドウヒ</t>
    </rPh>
    <phoneticPr fontId="7"/>
  </si>
  <si>
    <t>機械固定費</t>
    <rPh sb="0" eb="5">
      <t>キカイコテイヒ</t>
    </rPh>
    <phoneticPr fontId="7"/>
  </si>
  <si>
    <t>売上原価調整</t>
    <rPh sb="0" eb="6">
      <t>ウリアゲゲンカチョウセイ</t>
    </rPh>
    <phoneticPr fontId="7"/>
  </si>
  <si>
    <t>売上総利益</t>
    <rPh sb="0" eb="5">
      <t>ウリアゲソウリエキ</t>
    </rPh>
    <phoneticPr fontId="7"/>
  </si>
  <si>
    <t>注文獲得費</t>
    <rPh sb="0" eb="5">
      <t>チュウモンカクトクヒ</t>
    </rPh>
    <phoneticPr fontId="7"/>
  </si>
  <si>
    <t>特売費（控除対象外）</t>
    <rPh sb="0" eb="3">
      <t>トクバイヒ</t>
    </rPh>
    <rPh sb="4" eb="9">
      <t>コウジョタイショウガイ</t>
    </rPh>
    <phoneticPr fontId="7"/>
  </si>
  <si>
    <t>拡売費（控除対象外）</t>
    <rPh sb="0" eb="3">
      <t>カクバイヒ</t>
    </rPh>
    <rPh sb="4" eb="9">
      <t>コウジョタイショウガイ</t>
    </rPh>
    <phoneticPr fontId="7"/>
  </si>
  <si>
    <t>注文獲得促進費</t>
    <rPh sb="0" eb="4">
      <t>チュウモンカクトク</t>
    </rPh>
    <rPh sb="4" eb="7">
      <t>ソクシンヒ</t>
    </rPh>
    <phoneticPr fontId="7"/>
  </si>
  <si>
    <t>販売店手数料（控除対象外）</t>
  </si>
  <si>
    <t>自動販売機費</t>
    <rPh sb="0" eb="2">
      <t>ジドウ</t>
    </rPh>
    <rPh sb="2" eb="5">
      <t>ハンバイキ</t>
    </rPh>
    <rPh sb="5" eb="6">
      <t>ヒ</t>
    </rPh>
    <phoneticPr fontId="7"/>
  </si>
  <si>
    <t>注文獲得促進費（その他）</t>
    <rPh sb="0" eb="7">
      <t>チュウモンカクトクソクシンヒ</t>
    </rPh>
    <rPh sb="10" eb="11">
      <t>タ</t>
    </rPh>
    <phoneticPr fontId="7"/>
  </si>
  <si>
    <t>注文獲得促進費（輸出）</t>
  </si>
  <si>
    <t>広告宣伝費</t>
    <rPh sb="0" eb="5">
      <t>コウコクセンデンヒ</t>
    </rPh>
    <phoneticPr fontId="7"/>
  </si>
  <si>
    <t>媒体</t>
    <rPh sb="0" eb="2">
      <t>バイタイ</t>
    </rPh>
    <phoneticPr fontId="7"/>
  </si>
  <si>
    <t>広告宣伝費（その他）</t>
    <rPh sb="0" eb="5">
      <t>コウコクセンデンヒ</t>
    </rPh>
    <rPh sb="8" eb="9">
      <t>タ</t>
    </rPh>
    <phoneticPr fontId="7"/>
  </si>
  <si>
    <t>広告宣伝費（輸出）</t>
    <rPh sb="0" eb="5">
      <t>コウコクセンデンヒ</t>
    </rPh>
    <rPh sb="6" eb="8">
      <t>ユシュツ</t>
    </rPh>
    <phoneticPr fontId="7"/>
  </si>
  <si>
    <t>運賃保管料</t>
    <rPh sb="0" eb="5">
      <t>ウンチンホカンリョウ</t>
    </rPh>
    <phoneticPr fontId="7"/>
  </si>
  <si>
    <t>運賃</t>
    <rPh sb="0" eb="2">
      <t>ウンチン</t>
    </rPh>
    <phoneticPr fontId="7"/>
  </si>
  <si>
    <t>保管料</t>
    <rPh sb="0" eb="3">
      <t>ホカンリョウ</t>
    </rPh>
    <phoneticPr fontId="7"/>
  </si>
  <si>
    <t>運賃保管料（その他）</t>
    <rPh sb="0" eb="5">
      <t>ウンチンホカンリョウ</t>
    </rPh>
    <rPh sb="8" eb="9">
      <t>タ</t>
    </rPh>
    <phoneticPr fontId="7"/>
  </si>
  <si>
    <t>運賃保管料（輸出）</t>
    <rPh sb="0" eb="5">
      <t>ウンチンホカンリョウ</t>
    </rPh>
    <rPh sb="6" eb="8">
      <t>ユシュツ</t>
    </rPh>
    <phoneticPr fontId="7"/>
  </si>
  <si>
    <t>一般管理費</t>
    <rPh sb="0" eb="5">
      <t>イッパンカンリヒ</t>
    </rPh>
    <phoneticPr fontId="7"/>
  </si>
  <si>
    <t>その他機械費</t>
    <rPh sb="2" eb="3">
      <t>タ</t>
    </rPh>
    <rPh sb="3" eb="6">
      <t>キカイヒ</t>
    </rPh>
    <phoneticPr fontId="7"/>
  </si>
  <si>
    <t>※BOのくくり</t>
    <phoneticPr fontId="7"/>
  </si>
  <si>
    <t>※PLのくくり</t>
    <phoneticPr fontId="7"/>
  </si>
  <si>
    <t>売上割引</t>
    <rPh sb="0" eb="1">
      <t>ウリアゲ</t>
    </rPh>
    <rPh sb="1" eb="3">
      <t>ワリビキ</t>
    </rPh>
    <phoneticPr fontId="20"/>
  </si>
  <si>
    <t>特売費（控除対象）</t>
    <rPh sb="0" eb="2">
      <t>トクバイ</t>
    </rPh>
    <rPh sb="2" eb="3">
      <t>ヒ</t>
    </rPh>
    <rPh sb="4" eb="8">
      <t>コウジョタイショウ</t>
    </rPh>
    <phoneticPr fontId="20"/>
  </si>
  <si>
    <t>拡売費（控除対象）</t>
    <rPh sb="0" eb="2">
      <t>カクバイヒ</t>
    </rPh>
    <rPh sb="4" eb="8">
      <t>コウジョタイショウ</t>
    </rPh>
    <phoneticPr fontId="20"/>
  </si>
  <si>
    <t>注文獲得促進費（控除対象）</t>
    <rPh sb="0" eb="2">
      <t>チュウモン</t>
    </rPh>
    <rPh sb="2" eb="4">
      <t>カクトク</t>
    </rPh>
    <rPh sb="8" eb="12">
      <t>コウジョタイショウ</t>
    </rPh>
    <phoneticPr fontId="20"/>
  </si>
  <si>
    <t>運賃（直取引）</t>
    <rPh sb="0" eb="1">
      <t>ウンチン</t>
    </rPh>
    <rPh sb="3" eb="5">
      <t>トリヒキ</t>
    </rPh>
    <phoneticPr fontId="20"/>
  </si>
  <si>
    <t>手数料（直接取引）</t>
    <phoneticPr fontId="7"/>
  </si>
  <si>
    <t>特売費（控除対象外）</t>
    <rPh sb="0" eb="2">
      <t>トクバイ</t>
    </rPh>
    <rPh sb="2" eb="3">
      <t>ヒ</t>
    </rPh>
    <rPh sb="4" eb="8">
      <t>コウジョタイショウ</t>
    </rPh>
    <rPh sb="8" eb="9">
      <t>ガイ</t>
    </rPh>
    <phoneticPr fontId="20"/>
  </si>
  <si>
    <t>拡売費（控除対象外）</t>
    <rPh sb="0" eb="2">
      <t>カクバイヒ</t>
    </rPh>
    <rPh sb="4" eb="8">
      <t>コウジョタイショウ</t>
    </rPh>
    <rPh sb="8" eb="9">
      <t>ガイ</t>
    </rPh>
    <phoneticPr fontId="20"/>
  </si>
  <si>
    <t>フィ（控除対象外）</t>
    <phoneticPr fontId="7"/>
  </si>
  <si>
    <r>
      <t>見本費（旧KK分</t>
    </r>
    <r>
      <rPr>
        <sz val="11"/>
        <color theme="1"/>
        <rFont val="Meiryo"/>
        <family val="2"/>
        <charset val="1"/>
      </rPr>
      <t>）</t>
    </r>
    <rPh sb="0" eb="2">
      <t>ミホン</t>
    </rPh>
    <rPh sb="2" eb="3">
      <t>ヒ</t>
    </rPh>
    <rPh sb="4" eb="5">
      <t>キュウ</t>
    </rPh>
    <rPh sb="7" eb="8">
      <t>ブン</t>
    </rPh>
    <phoneticPr fontId="20"/>
  </si>
  <si>
    <t>見本費</t>
    <rPh sb="0" eb="2">
      <t>ミホン</t>
    </rPh>
    <rPh sb="2" eb="3">
      <t>ヒ</t>
    </rPh>
    <phoneticPr fontId="20"/>
  </si>
  <si>
    <t>市場対策費</t>
    <rPh sb="0" eb="2">
      <t>シジョウ</t>
    </rPh>
    <rPh sb="2" eb="5">
      <t>タイサクヒ</t>
    </rPh>
    <phoneticPr fontId="20"/>
  </si>
  <si>
    <t>自動販売機費</t>
    <rPh sb="0" eb="2">
      <t>ジドウ</t>
    </rPh>
    <rPh sb="2" eb="5">
      <t>ハンバイキ</t>
    </rPh>
    <rPh sb="5" eb="6">
      <t>ヒ</t>
    </rPh>
    <phoneticPr fontId="20"/>
  </si>
  <si>
    <t>フィールド関連費</t>
    <rPh sb="5" eb="7">
      <t>カンレン</t>
    </rPh>
    <rPh sb="7" eb="8">
      <t>ヒ</t>
    </rPh>
    <phoneticPr fontId="20"/>
  </si>
  <si>
    <t>自動車費</t>
    <rPh sb="0" eb="3">
      <t>ジドウシャ</t>
    </rPh>
    <rPh sb="3" eb="4">
      <t>ヒ</t>
    </rPh>
    <phoneticPr fontId="15"/>
  </si>
  <si>
    <t>販売店指導費</t>
    <rPh sb="0" eb="3">
      <t>ハンバイテン</t>
    </rPh>
    <rPh sb="3" eb="5">
      <t>シドウ</t>
    </rPh>
    <rPh sb="5" eb="6">
      <t>ヒ</t>
    </rPh>
    <phoneticPr fontId="20"/>
  </si>
  <si>
    <t>販売店手数料</t>
    <rPh sb="0" eb="3">
      <t>ハンバイテン</t>
    </rPh>
    <rPh sb="3" eb="6">
      <t>テスウリョウ</t>
    </rPh>
    <phoneticPr fontId="20"/>
  </si>
  <si>
    <t>その他</t>
    <rPh sb="2" eb="3">
      <t>タ</t>
    </rPh>
    <phoneticPr fontId="20"/>
  </si>
  <si>
    <t>媒体</t>
    <rPh sb="0" eb="2">
      <t>バイタイ</t>
    </rPh>
    <phoneticPr fontId="20"/>
  </si>
  <si>
    <t>給与</t>
  </si>
  <si>
    <t>賞与</t>
  </si>
  <si>
    <t>退職給付費用</t>
  </si>
  <si>
    <t>法定福利費</t>
  </si>
  <si>
    <t>雑給</t>
  </si>
  <si>
    <t>労務費</t>
    <rPh sb="0" eb="3">
      <t>ロウムヒ</t>
    </rPh>
    <phoneticPr fontId="7"/>
  </si>
  <si>
    <t>一般経費</t>
    <rPh sb="0" eb="4">
      <t>イッパンケイヒ</t>
    </rPh>
    <phoneticPr fontId="7"/>
  </si>
  <si>
    <t>商標権使用料</t>
  </si>
  <si>
    <t>福利厚生費</t>
  </si>
  <si>
    <t>消耗品費</t>
  </si>
  <si>
    <t>修繕費</t>
  </si>
  <si>
    <t>通信費</t>
  </si>
  <si>
    <t>旅費交通費</t>
  </si>
  <si>
    <t>保険料</t>
  </si>
  <si>
    <t>公租公課</t>
  </si>
  <si>
    <t>酒税</t>
    <rPh sb="0" eb="2">
      <t>シュゼイ</t>
    </rPh>
    <phoneticPr fontId="20"/>
  </si>
  <si>
    <t>賃借料</t>
  </si>
  <si>
    <t>接待交際費</t>
  </si>
  <si>
    <t>寄付金</t>
  </si>
  <si>
    <t>電力費</t>
  </si>
  <si>
    <t>水道燃料費</t>
  </si>
  <si>
    <t>研究費</t>
  </si>
  <si>
    <t>社員募集費</t>
  </si>
  <si>
    <t>社員教育費</t>
  </si>
  <si>
    <t>調査費</t>
  </si>
  <si>
    <t>支払手数料</t>
  </si>
  <si>
    <t>雑費</t>
  </si>
  <si>
    <t>貸倒引当金繰入</t>
    <rPh sb="0" eb="2">
      <t>カシダオレ</t>
    </rPh>
    <rPh sb="2" eb="4">
      <t>ヒキアテ</t>
    </rPh>
    <rPh sb="4" eb="5">
      <t>キン</t>
    </rPh>
    <rPh sb="5" eb="7">
      <t>クリイレ</t>
    </rPh>
    <phoneticPr fontId="20"/>
  </si>
  <si>
    <t>自動車費</t>
  </si>
  <si>
    <t>営業利益</t>
    <rPh sb="0" eb="4">
      <t>エイギョウリエキ</t>
    </rPh>
    <phoneticPr fontId="7"/>
  </si>
  <si>
    <t>受取利息</t>
  </si>
  <si>
    <t>受取配当金</t>
  </si>
  <si>
    <t>賃貸収入</t>
    <rPh sb="0" eb="2">
      <t>チンタイ</t>
    </rPh>
    <phoneticPr fontId="20"/>
  </si>
  <si>
    <t>為替差益</t>
  </si>
  <si>
    <t>雑収入</t>
  </si>
  <si>
    <t>貸倒戻入益</t>
  </si>
  <si>
    <t>営業外収益</t>
    <rPh sb="0" eb="5">
      <t>エイギョウガイシュウエキ</t>
    </rPh>
    <phoneticPr fontId="7"/>
  </si>
  <si>
    <t>売上割引</t>
  </si>
  <si>
    <t>賃貸原価</t>
    <rPh sb="0" eb="2">
      <t>チンタイ</t>
    </rPh>
    <rPh sb="2" eb="4">
      <t>ゲンカ</t>
    </rPh>
    <phoneticPr fontId="20"/>
  </si>
  <si>
    <t>為替差損</t>
  </si>
  <si>
    <t>雑損失</t>
  </si>
  <si>
    <t>支払利息</t>
  </si>
  <si>
    <t>休止資産償却</t>
  </si>
  <si>
    <t>営業外費用</t>
    <rPh sb="0" eb="5">
      <t>エイギョウガイヒヨウ</t>
    </rPh>
    <phoneticPr fontId="7"/>
  </si>
  <si>
    <t>経常利益</t>
    <rPh sb="0" eb="4">
      <t>ケイジョウリエキ</t>
    </rPh>
    <phoneticPr fontId="7"/>
  </si>
  <si>
    <t>特別利益</t>
    <rPh sb="0" eb="4">
      <t>トクベツリエキ</t>
    </rPh>
    <phoneticPr fontId="7"/>
  </si>
  <si>
    <t>特別損失</t>
    <rPh sb="0" eb="4">
      <t>トクベツソンシツ</t>
    </rPh>
    <phoneticPr fontId="7"/>
  </si>
  <si>
    <t>税引前利益</t>
    <rPh sb="0" eb="2">
      <t>ゼイビ</t>
    </rPh>
    <rPh sb="2" eb="3">
      <t>マエ</t>
    </rPh>
    <rPh sb="3" eb="5">
      <t>リエキ</t>
    </rPh>
    <phoneticPr fontId="7"/>
  </si>
  <si>
    <t>当期利益</t>
    <rPh sb="0" eb="2">
      <t>トウキ</t>
    </rPh>
    <rPh sb="2" eb="4">
      <t>リエキ</t>
    </rPh>
    <phoneticPr fontId="7"/>
  </si>
  <si>
    <t>法人税</t>
    <rPh sb="0" eb="3">
      <t>ホウジンゼイ</t>
    </rPh>
    <phoneticPr fontId="7"/>
  </si>
  <si>
    <t>評価・廃棄損</t>
    <rPh sb="0" eb="2">
      <t>ヒョウカ</t>
    </rPh>
    <rPh sb="3" eb="6">
      <t>ハイキソン</t>
    </rPh>
    <phoneticPr fontId="7"/>
  </si>
  <si>
    <t>その他機械費</t>
    <phoneticPr fontId="7"/>
  </si>
  <si>
    <t>運賃(一次輸送費)</t>
  </si>
  <si>
    <t>運賃(二次輸送費)</t>
  </si>
  <si>
    <t>運賃(直取引)</t>
  </si>
  <si>
    <t>運賃(資材ｾﾝﾀｰ)</t>
  </si>
  <si>
    <t>運賃(その他)</t>
  </si>
  <si>
    <t>保管料(一次輸送費)</t>
  </si>
  <si>
    <t>運賃保管料(詰替資材)</t>
  </si>
  <si>
    <t>運賃保管料(販促資材)</t>
  </si>
  <si>
    <t>保管料(資材ｾﾝﾀｰ)</t>
  </si>
  <si>
    <t>運賃(原材料)</t>
  </si>
  <si>
    <t>保管料(原材料)</t>
  </si>
  <si>
    <t>保管料(工場製品倉庫)</t>
  </si>
  <si>
    <t>限界利益</t>
    <rPh sb="0" eb="4">
      <t>ゲンカイリエキ</t>
    </rPh>
    <phoneticPr fontId="7"/>
  </si>
  <si>
    <t>経理</t>
    <rPh sb="0" eb="2">
      <t>ケイリ</t>
    </rPh>
    <phoneticPr fontId="7"/>
  </si>
  <si>
    <t>㈱ロッテが管轄する一次輸送費、二次輸送費、保管・荷役料にその他物流費を加算した費用。SCM部門の主要KPI。（SCM本部管轄分のみでも別管理している）</t>
    <rPh sb="5" eb="7">
      <t>カンカツ</t>
    </rPh>
    <rPh sb="9" eb="11">
      <t>イチジ</t>
    </rPh>
    <rPh sb="11" eb="14">
      <t>ユソウヒ</t>
    </rPh>
    <rPh sb="15" eb="17">
      <t>ニジ</t>
    </rPh>
    <rPh sb="17" eb="19">
      <t>ユソウ</t>
    </rPh>
    <rPh sb="19" eb="20">
      <t>ヒ</t>
    </rPh>
    <rPh sb="21" eb="23">
      <t>ホカン</t>
    </rPh>
    <rPh sb="24" eb="26">
      <t>ニエキ</t>
    </rPh>
    <rPh sb="26" eb="27">
      <t>リョウ</t>
    </rPh>
    <rPh sb="30" eb="31">
      <t>タ</t>
    </rPh>
    <rPh sb="31" eb="33">
      <t>ブツリュウ</t>
    </rPh>
    <rPh sb="33" eb="34">
      <t>ヒ</t>
    </rPh>
    <rPh sb="35" eb="37">
      <t>カサン</t>
    </rPh>
    <rPh sb="39" eb="41">
      <t>ヒヨウ</t>
    </rPh>
    <rPh sb="45" eb="47">
      <t>ブモン</t>
    </rPh>
    <rPh sb="48" eb="50">
      <t>シュヨウ</t>
    </rPh>
    <rPh sb="58" eb="60">
      <t>ホンブ</t>
    </rPh>
    <rPh sb="60" eb="62">
      <t>カンカツ</t>
    </rPh>
    <rPh sb="62" eb="63">
      <t>ブン</t>
    </rPh>
    <rPh sb="67" eb="68">
      <t>ベツ</t>
    </rPh>
    <rPh sb="68" eb="70">
      <t>カンリ</t>
    </rPh>
    <phoneticPr fontId="7"/>
  </si>
  <si>
    <t>保管料の算出根拠には、保管単価/ケース
以外にも、物流パートナーとの契約によって何パターンかある。また、荷役料は入出庫料として支払われる。
※№.37の運賃・保管料の「保管料」は保管料＋荷役料の意味があるが、呼称として「保管料」の場合保管料のみで荷役料は含まれない場合もあるので、どちらとするかは定義付けが必要かと存じます。</t>
    <rPh sb="0" eb="3">
      <t>ホカンリョウ</t>
    </rPh>
    <rPh sb="4" eb="6">
      <t>サンシュツ</t>
    </rPh>
    <rPh sb="6" eb="8">
      <t>コンキョ</t>
    </rPh>
    <rPh sb="11" eb="15">
      <t>ホカンタンカ</t>
    </rPh>
    <rPh sb="20" eb="22">
      <t>イガイ</t>
    </rPh>
    <rPh sb="25" eb="27">
      <t>ブツリュウ</t>
    </rPh>
    <rPh sb="34" eb="36">
      <t>ケイヤク</t>
    </rPh>
    <rPh sb="40" eb="41">
      <t>ナン</t>
    </rPh>
    <rPh sb="52" eb="54">
      <t>ニヤク</t>
    </rPh>
    <rPh sb="54" eb="55">
      <t>リョウ</t>
    </rPh>
    <rPh sb="56" eb="59">
      <t>ニュウシュッコ</t>
    </rPh>
    <rPh sb="59" eb="60">
      <t>リョウ</t>
    </rPh>
    <rPh sb="63" eb="65">
      <t>シハラ</t>
    </rPh>
    <rPh sb="77" eb="79">
      <t>ウンチン</t>
    </rPh>
    <rPh sb="80" eb="83">
      <t>ホカンリョウ</t>
    </rPh>
    <rPh sb="85" eb="87">
      <t>ホカン</t>
    </rPh>
    <rPh sb="87" eb="88">
      <t>リョウ</t>
    </rPh>
    <rPh sb="90" eb="93">
      <t>ホカンリョウ</t>
    </rPh>
    <rPh sb="94" eb="97">
      <t>ニヤクリョウ</t>
    </rPh>
    <rPh sb="98" eb="100">
      <t>イミ</t>
    </rPh>
    <rPh sb="105" eb="107">
      <t>コショウ</t>
    </rPh>
    <rPh sb="111" eb="114">
      <t>ホカンリョウ</t>
    </rPh>
    <rPh sb="116" eb="118">
      <t>バアイ</t>
    </rPh>
    <rPh sb="118" eb="121">
      <t>ホカンリョウ</t>
    </rPh>
    <rPh sb="124" eb="127">
      <t>ニヤクリョウ</t>
    </rPh>
    <rPh sb="128" eb="129">
      <t>フク</t>
    </rPh>
    <rPh sb="133" eb="135">
      <t>バアイ</t>
    </rPh>
    <rPh sb="149" eb="151">
      <t>テイギ</t>
    </rPh>
    <rPh sb="151" eb="152">
      <t>ヅケ</t>
    </rPh>
    <rPh sb="154" eb="156">
      <t>ヒツヨウ</t>
    </rPh>
    <rPh sb="158" eb="159">
      <t>ゾン</t>
    </rPh>
    <phoneticPr fontId="7"/>
  </si>
  <si>
    <t>保管単価/ケース、保管単価/パレット、保管単価/坪、保管単価/従量従価率
荷役単価/ケース</t>
    <rPh sb="0" eb="2">
      <t>ホカン</t>
    </rPh>
    <rPh sb="2" eb="4">
      <t>タンカ</t>
    </rPh>
    <rPh sb="35" eb="36">
      <t>リツ</t>
    </rPh>
    <rPh sb="38" eb="40">
      <t>ニヤク</t>
    </rPh>
    <rPh sb="40" eb="42">
      <t>タンカ</t>
    </rPh>
    <phoneticPr fontId="7"/>
  </si>
  <si>
    <t>ロッテから得意先に出荷し、売掛金が発生する売上。
生販在計画表における、販売金額及び数量の計画</t>
    <rPh sb="5" eb="8">
      <t>トクイサキ</t>
    </rPh>
    <rPh sb="9" eb="11">
      <t>シュッカ</t>
    </rPh>
    <rPh sb="13" eb="16">
      <t>ウリカケキン</t>
    </rPh>
    <rPh sb="17" eb="19">
      <t>ハッセイ</t>
    </rPh>
    <rPh sb="21" eb="23">
      <t>ウリアゲ</t>
    </rPh>
    <rPh sb="25" eb="26">
      <t>セイ</t>
    </rPh>
    <rPh sb="36" eb="38">
      <t>ハンバイ</t>
    </rPh>
    <rPh sb="38" eb="40">
      <t>キンガク</t>
    </rPh>
    <rPh sb="40" eb="41">
      <t>オヨ</t>
    </rPh>
    <rPh sb="42" eb="44">
      <t>スウリョウ</t>
    </rPh>
    <rPh sb="45" eb="47">
      <t>ケイカク</t>
    </rPh>
    <phoneticPr fontId="7"/>
  </si>
  <si>
    <t>仕切(卸出荷)単価(pc)×数量(pc)、
数量(CS)</t>
    <rPh sb="0" eb="2">
      <t>シキリ</t>
    </rPh>
    <rPh sb="3" eb="4">
      <t>オロシ</t>
    </rPh>
    <rPh sb="4" eb="6">
      <t>シュッカ</t>
    </rPh>
    <rPh sb="7" eb="9">
      <t>タンカ</t>
    </rPh>
    <rPh sb="14" eb="16">
      <t>スウリョウ</t>
    </rPh>
    <rPh sb="22" eb="24">
      <t>スウリョウ</t>
    </rPh>
    <phoneticPr fontId="7"/>
  </si>
  <si>
    <t>円、CS</t>
    <rPh sb="0" eb="1">
      <t>エン</t>
    </rPh>
    <phoneticPr fontId="7"/>
  </si>
  <si>
    <t>マーケ</t>
    <phoneticPr fontId="7"/>
  </si>
  <si>
    <t>生販在計画表における、在庫量
→不良在庫も含む「在菅日報」の在庫金額・ケース数が基準</t>
    <phoneticPr fontId="7"/>
  </si>
  <si>
    <t>「在菅日報」の在庫金額・ケース数が基準
https://docs.google.com/spreadsheets/d/14zti9ZT_FWpqFM_sWiXqSvBnFyqmYGgj/edit?gid=1287938920#gid=1287938920</t>
    <phoneticPr fontId="7"/>
  </si>
  <si>
    <t>円・CS</t>
    <phoneticPr fontId="7"/>
  </si>
  <si>
    <t>前月末在庫＋当月生産数量ｰ当月販売数量</t>
    <rPh sb="0" eb="2">
      <t>ゼンゲツ</t>
    </rPh>
    <rPh sb="2" eb="3">
      <t>マツ</t>
    </rPh>
    <rPh sb="3" eb="5">
      <t>ザイコ</t>
    </rPh>
    <rPh sb="6" eb="8">
      <t>トウゲツ</t>
    </rPh>
    <rPh sb="8" eb="10">
      <t>セイサン</t>
    </rPh>
    <rPh sb="10" eb="12">
      <t>スウリョウ</t>
    </rPh>
    <rPh sb="13" eb="15">
      <t>トウゲツ</t>
    </rPh>
    <rPh sb="15" eb="17">
      <t>ハンバイ</t>
    </rPh>
    <rPh sb="17" eb="19">
      <t>スウリョウ</t>
    </rPh>
    <phoneticPr fontId="7"/>
  </si>
  <si>
    <t>円・CS</t>
    <rPh sb="0" eb="1">
      <t>エン</t>
    </rPh>
    <phoneticPr fontId="7"/>
  </si>
  <si>
    <t>会長報告としては正しいが、SCM本部での生販在表の在庫金額は製品と商品のみ（仕掛品・原材料除く）</t>
    <rPh sb="38" eb="40">
      <t>シカカリ</t>
    </rPh>
    <rPh sb="40" eb="41">
      <t>ヒン</t>
    </rPh>
    <rPh sb="42" eb="45">
      <t>ゲンザイリョウ</t>
    </rPh>
    <rPh sb="45" eb="46">
      <t>ノゾ</t>
    </rPh>
    <phoneticPr fontId="7"/>
  </si>
  <si>
    <t>商品＋製品（完成品のみ）</t>
    <rPh sb="0" eb="2">
      <t>ショウヒン</t>
    </rPh>
    <rPh sb="3" eb="5">
      <t>セイヒン</t>
    </rPh>
    <rPh sb="6" eb="8">
      <t>カンセイ</t>
    </rPh>
    <rPh sb="8" eb="9">
      <t>ヒン</t>
    </rPh>
    <phoneticPr fontId="7"/>
  </si>
  <si>
    <t>現在の在庫数量を、当月の日平均販売数量で割った日数。在庫の過不足を判断するための指標。生販在計画表の各月の在庫欄に隣接して表示される。
→生販在表では菓子は在庫日数で表示し、アイスは在庫率で表示されているのが実態</t>
  </si>
  <si>
    <t>需給部にて月次算出</t>
    <rPh sb="0" eb="3">
      <t>ジュキュウブ</t>
    </rPh>
    <rPh sb="5" eb="7">
      <t>ゲツジ</t>
    </rPh>
    <rPh sb="7" eb="9">
      <t>サンシュツ</t>
    </rPh>
    <phoneticPr fontId="7"/>
  </si>
  <si>
    <t>金額、CS</t>
    <rPh sb="0" eb="2">
      <t>キンガク</t>
    </rPh>
    <phoneticPr fontId="7"/>
  </si>
  <si>
    <t>通常の計画外に残存する過剰在庫を指し、別途消化管理の対象となる。キャンディの生販在計画で確認。生販在計画表において「●滞貨」と表示される商品行。
⇒菓子:廉価販売申請されている対象ロット商品の在庫金額・数量の残
　アイス：予算外になった月からの対象商品の在庫金額・数量の残</t>
    <rPh sb="88" eb="90">
      <t>タイショウ</t>
    </rPh>
    <rPh sb="93" eb="95">
      <t>ショウヒン</t>
    </rPh>
    <rPh sb="104" eb="105">
      <t>ザン</t>
    </rPh>
    <rPh sb="122" eb="124">
      <t>タイショウ</t>
    </rPh>
    <rPh sb="124" eb="126">
      <t>ショウヒン</t>
    </rPh>
    <rPh sb="135" eb="136">
      <t>ザン</t>
    </rPh>
    <phoneticPr fontId="7"/>
  </si>
  <si>
    <t>金額で表示する場合、ベースが仕切単価と標準原価の2パターンある。</t>
    <rPh sb="0" eb="2">
      <t>キンガク</t>
    </rPh>
    <rPh sb="3" eb="5">
      <t>ヒョウジ</t>
    </rPh>
    <rPh sb="7" eb="9">
      <t>バアイ</t>
    </rPh>
    <rPh sb="14" eb="16">
      <t>シキ</t>
    </rPh>
    <rPh sb="16" eb="18">
      <t>タンカ</t>
    </rPh>
    <rPh sb="19" eb="21">
      <t>ヒョウジュン</t>
    </rPh>
    <rPh sb="21" eb="23">
      <t>ゲンカ</t>
    </rPh>
    <phoneticPr fontId="7"/>
  </si>
  <si>
    <t>滞貨在庫数量　×　1つあたり標準原価
滞貨在庫数量　×　1つあたり仕切単価</t>
    <rPh sb="14" eb="16">
      <t>ヒョウジュン</t>
    </rPh>
    <rPh sb="33" eb="37">
      <t>シキタンカ</t>
    </rPh>
    <phoneticPr fontId="7"/>
  </si>
  <si>
    <t xml:space="preserve">在庫日数 = 月末在庫 ÷ (翌月販売数 ÷ 月日数)　
在庫率＝月末在庫 ÷ 翌月販売数 </t>
    <phoneticPr fontId="7"/>
  </si>
  <si>
    <t>在庫日数：日
在庫率：％</t>
    <rPh sb="0" eb="2">
      <t>ザイコ</t>
    </rPh>
    <rPh sb="2" eb="4">
      <t>ニッスウ</t>
    </rPh>
    <rPh sb="5" eb="6">
      <t>ニチ</t>
    </rPh>
    <rPh sb="7" eb="10">
      <t>ザイコリツ</t>
    </rPh>
    <phoneticPr fontId="7"/>
  </si>
  <si>
    <r>
      <t>返品や</t>
    </r>
    <r>
      <rPr>
        <sz val="10"/>
        <rFont val="Meiryo UI"/>
        <family val="3"/>
        <charset val="128"/>
      </rPr>
      <t>賞味期限切れや品質問題等で廃棄された商品の損失金額。仕切り価格ベースで計上し、予算・前年との差異をSCM本部会議で報告する。菓子・アイス別に月次と年度累計で管理する。</t>
    </r>
    <rPh sb="0" eb="2">
      <t>ヘンピン</t>
    </rPh>
    <phoneticPr fontId="7"/>
  </si>
  <si>
    <t>返品や賞味期限切れや品質問題等で廃棄された商品の損失金額。原価価格ベースで計上し、予算・前年との差異をSCM本部会議で報告する。菓子・アイス別に月次と年度累計で管理する。</t>
    <rPh sb="0" eb="2">
      <t>ヘンピン</t>
    </rPh>
    <rPh sb="29" eb="31">
      <t>ゲンカ</t>
    </rPh>
    <phoneticPr fontId="7"/>
  </si>
  <si>
    <t>廃棄数量 × 標準原価金額</t>
    <rPh sb="7" eb="9">
      <t>ヒョウジュン</t>
    </rPh>
    <rPh sb="9" eb="11">
      <t>ゲンカ</t>
    </rPh>
    <rPh sb="11" eb="13">
      <t>キンガク</t>
    </rPh>
    <phoneticPr fontId="7"/>
  </si>
  <si>
    <t>ロス金額：製品製造に必要な原材料の標準値と実績値の差異
ロス率：ロス金額が実績値に占める割合</t>
  </si>
  <si>
    <t>ロス金額＝（標準原材料単価×実績使用量）ー（標準原材料単価×標準使用量）
ロス率＝ロス金額/（標準原材料単価×実績使用量）×100</t>
  </si>
  <si>
    <t>設備や器具に付着した洗い流されてしまう原料や半製品の発生率</t>
  </si>
  <si>
    <t>個/CS</t>
    <phoneticPr fontId="7"/>
  </si>
  <si>
    <t>倉庫での保管費および入出庫の荷役作業費。SCM費の構成項目の一つ。総売比または純売比で管理する。</t>
    <rPh sb="39" eb="41">
      <t>ジュンウ</t>
    </rPh>
    <rPh sb="41" eb="42">
      <t>ヒ</t>
    </rPh>
    <phoneticPr fontId="7"/>
  </si>
  <si>
    <t>収益企画</t>
    <rPh sb="0" eb="4">
      <t>シュウエキキカク</t>
    </rPh>
    <phoneticPr fontId="7"/>
  </si>
  <si>
    <t>収益企画
経理</t>
    <rPh sb="0" eb="4">
      <t>シュウエキキカク</t>
    </rPh>
    <rPh sb="5" eb="7">
      <t>ケイリ</t>
    </rPh>
    <phoneticPr fontId="7"/>
  </si>
  <si>
    <t>見込</t>
    <phoneticPr fontId="7"/>
  </si>
  <si>
    <t>売上債権÷当月単月の純売上（税込）×当月日数
税は菓子・アイスは純売上×1.08、ウエルネスは純売上×1.1</t>
    <rPh sb="0" eb="4">
      <t>ウリアゲサイケン</t>
    </rPh>
    <rPh sb="5" eb="7">
      <t>トウゲツ</t>
    </rPh>
    <rPh sb="7" eb="9">
      <t>タンゲツ</t>
    </rPh>
    <rPh sb="10" eb="13">
      <t>ジュンウリアゲ</t>
    </rPh>
    <rPh sb="14" eb="16">
      <t>ゼイコ</t>
    </rPh>
    <rPh sb="18" eb="22">
      <t>トウゲツニッスウ</t>
    </rPh>
    <rPh sb="24" eb="25">
      <t>ゼイ</t>
    </rPh>
    <rPh sb="26" eb="28">
      <t>カシ</t>
    </rPh>
    <rPh sb="33" eb="36">
      <t>ジュンウリアゲ</t>
    </rPh>
    <rPh sb="48" eb="51">
      <t>ジュンウリアゲ</t>
    </rPh>
    <phoneticPr fontId="7"/>
  </si>
  <si>
    <t>日</t>
    <rPh sb="0" eb="1">
      <t>ニチ</t>
    </rPh>
    <phoneticPr fontId="7"/>
  </si>
  <si>
    <t>特売実施で発生する経費全般。控除対象/控除対象外で区別。</t>
    <phoneticPr fontId="7"/>
  </si>
  <si>
    <t>特売費（控除対象）＋特売費（対象外）</t>
    <rPh sb="4" eb="8">
      <t>コウジョタイショウ</t>
    </rPh>
    <rPh sb="10" eb="13">
      <t>トクバイヒ</t>
    </rPh>
    <rPh sb="14" eb="17">
      <t>タイショウガイ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</si>
</sst>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Meiryo"/>
      <family val="2"/>
      <charset val="1"/>
    </font>
    <font>
      <sz val="11"/>
      <color theme="1"/>
      <name val="Meiryo UI"/>
      <family val="3"/>
      <charset val="128"/>
    </font>
    <font>
      <b/>
      <sz val="12"/>
      <color rgb="FFFFFFFF"/>
      <name val="Meiryo UI"/>
      <family val="3"/>
      <charset val="128"/>
    </font>
    <font>
      <b/>
      <sz val="10"/>
      <color rgb="FF000000"/>
      <name val="Meiryo UI"/>
      <family val="3"/>
      <charset val="128"/>
    </font>
    <font>
      <sz val="10"/>
      <color rgb="FF000000"/>
      <name val="Meiryo UI"/>
      <family val="3"/>
      <charset val="128"/>
    </font>
    <font>
      <b/>
      <sz val="10"/>
      <color rgb="FFFFFFFF"/>
      <name val="Meiryo UI"/>
      <family val="3"/>
      <charset val="128"/>
    </font>
    <font>
      <sz val="11"/>
      <color theme="1"/>
      <name val="Meiryo"/>
      <family val="2"/>
      <scheme val="minor"/>
    </font>
    <font>
      <sz val="6"/>
      <name val="ＭＳ Ｐゴシック"/>
      <family val="3"/>
      <charset val="128"/>
    </font>
    <font>
      <sz val="10"/>
      <color theme="1"/>
      <name val="Meiryo"/>
      <family val="3"/>
      <charset val="128"/>
    </font>
    <font>
      <sz val="11"/>
      <color theme="0" tint="-0.249977111117893"/>
      <name val="Meiryo UI"/>
      <family val="3"/>
      <charset val="128"/>
    </font>
    <font>
      <sz val="10"/>
      <color theme="0" tint="-0.249977111117893"/>
      <name val="Meiryo UI"/>
      <family val="3"/>
      <charset val="128"/>
    </font>
    <font>
      <sz val="10"/>
      <color theme="1"/>
      <name val="Meiryo UI"/>
      <family val="3"/>
      <charset val="128"/>
    </font>
    <font>
      <sz val="10"/>
      <color rgb="FFFF0000"/>
      <name val="Meiryo UI"/>
      <family val="3"/>
      <charset val="128"/>
    </font>
    <font>
      <b/>
      <sz val="10"/>
      <name val="Meiryo UI"/>
      <family val="3"/>
      <charset val="128"/>
    </font>
    <font>
      <sz val="10"/>
      <name val="Meiryo UI"/>
      <family val="3"/>
      <charset val="128"/>
    </font>
    <font>
      <b/>
      <sz val="10"/>
      <color theme="1"/>
      <name val="Meiryo UI"/>
      <family val="3"/>
      <charset val="128"/>
    </font>
    <font>
      <sz val="10"/>
      <color rgb="FFC00000"/>
      <name val="Meiryo UI"/>
      <family val="3"/>
      <charset val="128"/>
    </font>
    <font>
      <b/>
      <sz val="10"/>
      <color rgb="FFFF0000"/>
      <name val="Meiryo UI"/>
      <family val="3"/>
      <charset val="128"/>
    </font>
    <font>
      <b/>
      <u/>
      <sz val="11"/>
      <color theme="1"/>
      <name val="Meiryo"/>
      <family val="3"/>
      <charset val="128"/>
    </font>
    <font>
      <i/>
      <sz val="9"/>
      <color rgb="FF555555"/>
      <name val="Meiryo UI"/>
      <family val="3"/>
      <charset val="128"/>
    </font>
    <font>
      <b/>
      <sz val="11"/>
      <color theme="1"/>
      <name val="Meiryo"/>
      <family val="3"/>
      <charset val="128"/>
    </font>
    <font>
      <sz val="11"/>
      <color theme="1"/>
      <name val="Meiryo"/>
      <family val="2"/>
      <charset val="1"/>
    </font>
    <font>
      <sz val="11"/>
      <color theme="0" tint="-0.14999847407452621"/>
      <name val="Meiryo UI"/>
      <family val="3"/>
      <charset val="128"/>
    </font>
    <font>
      <sz val="11"/>
      <color theme="0" tint="-0.14999847407452621"/>
      <name val="Meiryo"/>
      <family val="2"/>
      <charset val="1"/>
    </font>
    <font>
      <sz val="10"/>
      <color theme="0" tint="-0.14999847407452621"/>
      <name val="Meiryo UI"/>
      <family val="3"/>
      <charset val="128"/>
    </font>
    <font>
      <b/>
      <sz val="10"/>
      <color theme="0" tint="-0.14999847407452621"/>
      <name val="Meiryo UI"/>
      <family val="3"/>
      <charset val="128"/>
    </font>
    <font>
      <sz val="9"/>
      <color indexed="81"/>
      <name val="MS P ゴシック"/>
      <family val="3"/>
      <charset val="128"/>
    </font>
    <font>
      <b/>
      <sz val="9"/>
      <color indexed="81"/>
      <name val="MS P ゴシック"/>
      <family val="3"/>
      <charset val="128"/>
    </font>
    <font>
      <sz val="11"/>
      <color rgb="FFFF0000"/>
      <name val="Meiryo"/>
      <family val="2"/>
      <charset val="1"/>
    </font>
    <font>
      <sz val="11"/>
      <color rgb="FFFF0000"/>
      <name val="Meiryo"/>
      <family val="3"/>
      <charset val="128"/>
    </font>
  </fonts>
  <fills count="43">
    <fill>
      <patternFill patternType="none"/>
    </fill>
    <fill>
      <patternFill patternType="gray125"/>
    </fill>
    <fill>
      <patternFill patternType="solid">
        <fgColor rgb="FFC00000"/>
        <bgColor rgb="FFA00000"/>
      </patternFill>
    </fill>
    <fill>
      <patternFill patternType="solid">
        <fgColor rgb="FFFFE0E0"/>
        <bgColor rgb="FFF5E0E0"/>
      </patternFill>
    </fill>
    <fill>
      <patternFill patternType="solid">
        <fgColor rgb="FF800000"/>
        <bgColor rgb="FFA00000"/>
      </patternFill>
    </fill>
    <fill>
      <patternFill patternType="solid">
        <fgColor rgb="FFFFE9CC"/>
        <bgColor rgb="FFFFF2CC"/>
      </patternFill>
    </fill>
    <fill>
      <patternFill patternType="solid">
        <fgColor rgb="FFE0EAFF"/>
        <bgColor rgb="FFE8E8E8"/>
      </patternFill>
    </fill>
    <fill>
      <patternFill patternType="solid">
        <fgColor rgb="FFE5F0E0"/>
        <bgColor rgb="FFE2EFDA"/>
      </patternFill>
    </fill>
    <fill>
      <patternFill patternType="solid">
        <fgColor rgb="FFEDE0F5"/>
        <bgColor rgb="FFE8E8E8"/>
      </patternFill>
    </fill>
    <fill>
      <patternFill patternType="solid">
        <fgColor rgb="FFF0E0D0"/>
        <bgColor rgb="FFF5E0E0"/>
      </patternFill>
    </fill>
    <fill>
      <patternFill patternType="solid">
        <fgColor rgb="FFE0F5F0"/>
        <bgColor rgb="FFE5F0E0"/>
      </patternFill>
    </fill>
    <fill>
      <patternFill patternType="solid">
        <fgColor rgb="FFF5E0E0"/>
        <bgColor rgb="FFFFE0E0"/>
      </patternFill>
    </fill>
    <fill>
      <patternFill patternType="solid">
        <fgColor rgb="FFE8E8E8"/>
        <bgColor rgb="FFE5F0E0"/>
      </patternFill>
    </fill>
    <fill>
      <patternFill patternType="solid">
        <fgColor rgb="FFF0F0E0"/>
        <bgColor rgb="FFE5F0E0"/>
      </patternFill>
    </fill>
    <fill>
      <patternFill patternType="solid">
        <fgColor rgb="FFFFFF00"/>
        <bgColor indexed="64"/>
      </patternFill>
    </fill>
    <fill>
      <patternFill patternType="solid">
        <fgColor theme="5" tint="0.79998168889431442"/>
        <bgColor rgb="FFA00000"/>
      </patternFill>
    </fill>
    <fill>
      <patternFill patternType="solid">
        <fgColor rgb="FFF2F2F2"/>
      </patternFill>
    </fill>
    <fill>
      <patternFill patternType="solid">
        <fgColor rgb="FFE0E8FF"/>
      </patternFill>
    </fill>
    <fill>
      <patternFill patternType="solid">
        <fgColor rgb="FFE0F0E0"/>
      </patternFill>
    </fill>
    <fill>
      <patternFill patternType="solid">
        <fgColor rgb="FF2E4057"/>
      </patternFill>
    </fill>
    <fill>
      <patternFill patternType="solid">
        <fgColor rgb="FFD9E8F5"/>
      </patternFill>
    </fill>
    <fill>
      <patternFill patternType="solid">
        <fgColor rgb="FFEDEDED"/>
      </patternFill>
    </fill>
    <fill>
      <patternFill patternType="solid">
        <fgColor rgb="FFE8F5E8"/>
      </patternFill>
    </fill>
    <fill>
      <patternFill patternType="solid">
        <fgColor rgb="FFE0EAFF"/>
      </patternFill>
    </fill>
    <fill>
      <patternFill patternType="solid">
        <fgColor rgb="FFFFFFFF"/>
      </patternFill>
    </fill>
    <fill>
      <patternFill patternType="solid">
        <fgColor rgb="FFFFE0E0"/>
      </patternFill>
    </fill>
    <fill>
      <patternFill patternType="solid">
        <fgColor rgb="FFF5E0E0"/>
      </patternFill>
    </fill>
    <fill>
      <patternFill patternType="solid">
        <fgColor rgb="FFF2F2F2"/>
      </patternFill>
    </fill>
    <fill>
      <patternFill patternType="solid">
        <fgColor rgb="FFE0FFE0"/>
      </patternFill>
    </fill>
    <fill>
      <patternFill patternType="solid">
        <fgColor rgb="FFE8E8E8"/>
      </patternFill>
    </fill>
    <fill>
      <patternFill patternType="solid">
        <fgColor rgb="FFE8F0FF"/>
      </patternFill>
    </fill>
    <fill>
      <patternFill patternType="solid">
        <fgColor rgb="FFE6E6FF"/>
      </patternFill>
    </fill>
    <fill>
      <patternFill patternType="solid">
        <fgColor rgb="FFF0E6FF"/>
      </patternFill>
    </fill>
    <fill>
      <patternFill patternType="solid">
        <fgColor rgb="FFEAFFD8"/>
      </patternFill>
    </fill>
    <fill>
      <patternFill patternType="solid">
        <fgColor rgb="FFFFE9CC"/>
      </patternFill>
    </fill>
    <fill>
      <patternFill patternType="solid">
        <fgColor rgb="FFE0F5F0"/>
      </patternFill>
    </fill>
    <fill>
      <patternFill patternType="solid">
        <fgColor theme="0"/>
        <bgColor indexed="64"/>
      </patternFill>
    </fill>
    <fill>
      <patternFill patternType="solid">
        <fgColor theme="9"/>
        <bgColor rgb="FFA00000"/>
      </patternFill>
    </fill>
    <fill>
      <patternFill patternType="solid">
        <fgColor theme="4"/>
        <bgColor rgb="FFA00000"/>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45">
    <border>
      <left/>
      <right/>
      <top/>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style="thin">
        <color rgb="FF888888"/>
      </top>
      <bottom/>
      <diagonal/>
    </border>
    <border>
      <left style="thin">
        <color rgb="FF888888"/>
      </left>
      <right style="thin">
        <color rgb="FF888888"/>
      </right>
      <top/>
      <bottom style="thin">
        <color rgb="FF888888"/>
      </bottom>
      <diagonal/>
    </border>
    <border>
      <left style="thick">
        <color rgb="FF888888"/>
      </left>
      <right style="thin">
        <color rgb="FF888888"/>
      </right>
      <top style="thin">
        <color rgb="FF888888"/>
      </top>
      <bottom style="thin">
        <color rgb="FF888888"/>
      </bottom>
      <diagonal/>
    </border>
    <border>
      <left style="thin">
        <color rgb="FF888888"/>
      </left>
      <right/>
      <top style="thin">
        <color rgb="FF888888"/>
      </top>
      <bottom/>
      <diagonal/>
    </border>
    <border>
      <left style="thin">
        <color rgb="FF888888"/>
      </left>
      <right/>
      <top style="thin">
        <color rgb="FF888888"/>
      </top>
      <bottom style="thin">
        <color rgb="FF888888"/>
      </bottom>
      <diagonal/>
    </border>
    <border>
      <left style="thick">
        <color rgb="FF888888"/>
      </left>
      <right style="thin">
        <color rgb="FF888888"/>
      </right>
      <top style="thin">
        <color rgb="FF888888"/>
      </top>
      <bottom/>
      <diagonal/>
    </border>
    <border>
      <left style="thin">
        <color rgb="FF888888"/>
      </left>
      <right style="thin">
        <color rgb="FF888888"/>
      </right>
      <top style="thin">
        <color rgb="FF888888"/>
      </top>
      <bottom style="thin">
        <color rgb="FF888888"/>
      </bottom>
      <diagonal/>
    </border>
    <border>
      <left style="thick">
        <color rgb="FF888888"/>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888888"/>
      </left>
      <right/>
      <top/>
      <bottom style="thin">
        <color rgb="FF888888"/>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888888"/>
      </left>
      <right style="thin">
        <color rgb="FF888888"/>
      </right>
      <top style="thin">
        <color rgb="FF888888"/>
      </top>
      <bottom style="hair">
        <color indexed="64"/>
      </bottom>
      <diagonal/>
    </border>
    <border>
      <left style="thin">
        <color rgb="FF888888"/>
      </left>
      <right/>
      <top style="thin">
        <color rgb="FF888888"/>
      </top>
      <bottom style="hair">
        <color indexed="64"/>
      </bottom>
      <diagonal/>
    </border>
    <border>
      <left style="thick">
        <color rgb="FF888888"/>
      </left>
      <right style="thin">
        <color rgb="FF888888"/>
      </right>
      <top style="thin">
        <color rgb="FF888888"/>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rgb="FF888888"/>
      </left>
      <right style="thin">
        <color rgb="FF888888"/>
      </right>
      <top style="hair">
        <color indexed="64"/>
      </top>
      <bottom style="hair">
        <color indexed="64"/>
      </bottom>
      <diagonal/>
    </border>
    <border>
      <left style="thin">
        <color rgb="FF888888"/>
      </left>
      <right/>
      <top style="hair">
        <color indexed="64"/>
      </top>
      <bottom style="hair">
        <color indexed="64"/>
      </bottom>
      <diagonal/>
    </border>
    <border>
      <left style="thick">
        <color rgb="FF888888"/>
      </left>
      <right style="thin">
        <color rgb="FF888888"/>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rgb="FF888888"/>
      </left>
      <right style="thin">
        <color rgb="FF888888"/>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rgb="FF888888"/>
      </right>
      <top style="hair">
        <color indexed="64"/>
      </top>
      <bottom style="hair">
        <color indexed="64"/>
      </bottom>
      <diagonal/>
    </border>
    <border>
      <left style="thick">
        <color rgb="FF888888"/>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ck">
        <color rgb="FF888888"/>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ck">
        <color rgb="FF888888"/>
      </right>
      <top style="hair">
        <color indexed="64"/>
      </top>
      <bottom style="thin">
        <color indexed="64"/>
      </bottom>
      <diagonal/>
    </border>
    <border>
      <left style="thin">
        <color indexed="64"/>
      </left>
      <right/>
      <top style="thin">
        <color indexed="64"/>
      </top>
      <bottom style="thin">
        <color indexed="64"/>
      </bottom>
      <diagonal/>
    </border>
    <border>
      <left style="thin">
        <color rgb="FF888888"/>
      </left>
      <right style="thin">
        <color rgb="FF888888"/>
      </right>
      <top/>
      <bottom style="hair">
        <color indexed="64"/>
      </bottom>
      <diagonal/>
    </border>
    <border>
      <left/>
      <right/>
      <top/>
      <bottom style="hair">
        <color indexed="64"/>
      </bottom>
      <diagonal/>
    </border>
    <border>
      <left/>
      <right/>
      <top style="thin">
        <color rgb="FF888888"/>
      </top>
      <bottom/>
      <diagonal/>
    </border>
    <border>
      <left/>
      <right/>
      <top style="thin">
        <color indexed="64"/>
      </top>
      <bottom/>
      <diagonal/>
    </border>
    <border>
      <left/>
      <right/>
      <top/>
      <bottom style="thin">
        <color indexed="64"/>
      </bottom>
      <diagonal/>
    </border>
  </borders>
  <cellStyleXfs count="3">
    <xf numFmtId="0" fontId="0" fillId="0" borderId="0"/>
    <xf numFmtId="0" fontId="6" fillId="0" borderId="0"/>
    <xf numFmtId="9" fontId="21" fillId="0" borderId="0" applyFont="0" applyFill="0" applyBorder="0" applyAlignment="0" applyProtection="0">
      <alignment vertical="center"/>
    </xf>
  </cellStyleXfs>
  <cellXfs count="209">
    <xf numFmtId="0" fontId="0" fillId="0" borderId="0" xfId="0"/>
    <xf numFmtId="0" fontId="1" fillId="0" borderId="0" xfId="0" applyFont="1"/>
    <xf numFmtId="0" fontId="9" fillId="0" borderId="0" xfId="0" applyFont="1"/>
    <xf numFmtId="0" fontId="10" fillId="0" borderId="0" xfId="0" applyFont="1"/>
    <xf numFmtId="0" fontId="11" fillId="0" borderId="0" xfId="0" applyFont="1"/>
    <xf numFmtId="0" fontId="5" fillId="4" borderId="2" xfId="0" applyFont="1" applyFill="1" applyBorder="1" applyAlignment="1">
      <alignment horizontal="center" vertical="center" wrapText="1"/>
    </xf>
    <xf numFmtId="0" fontId="5" fillId="4" borderId="2" xfId="0" applyFont="1" applyFill="1" applyBorder="1" applyAlignment="1">
      <alignment horizontal="centerContinuous" vertical="center" wrapText="1"/>
    </xf>
    <xf numFmtId="0" fontId="5" fillId="4" borderId="5" xfId="0" applyFont="1" applyFill="1" applyBorder="1" applyAlignment="1">
      <alignment horizontal="centerContinuous" vertical="center" wrapText="1"/>
    </xf>
    <xf numFmtId="0" fontId="5" fillId="4" borderId="7" xfId="0" applyFont="1" applyFill="1" applyBorder="1" applyAlignment="1">
      <alignment horizontal="centerContinuous" vertical="center" wrapText="1"/>
    </xf>
    <xf numFmtId="0" fontId="5" fillId="4" borderId="3"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3" fillId="15" borderId="4" xfId="0" applyFont="1" applyFill="1" applyBorder="1" applyAlignment="1">
      <alignment horizontal="center" vertical="center" wrapText="1"/>
    </xf>
    <xf numFmtId="0" fontId="0" fillId="0" borderId="0" xfId="0" applyAlignment="1">
      <alignment horizontal="left" vertical="center" indent="1"/>
    </xf>
    <xf numFmtId="0" fontId="18" fillId="0" borderId="0" xfId="0" applyFont="1"/>
    <xf numFmtId="0" fontId="13" fillId="20" borderId="9" xfId="0" applyFont="1" applyFill="1" applyBorder="1" applyAlignment="1">
      <alignment horizontal="center" vertical="top"/>
    </xf>
    <xf numFmtId="0" fontId="13" fillId="20" borderId="8" xfId="0" applyFont="1" applyFill="1" applyBorder="1" applyAlignment="1">
      <alignment horizontal="center" vertical="top"/>
    </xf>
    <xf numFmtId="0" fontId="13" fillId="21" borderId="8" xfId="0" applyFont="1" applyFill="1" applyBorder="1" applyAlignment="1">
      <alignment horizontal="center" vertical="top"/>
    </xf>
    <xf numFmtId="0" fontId="14" fillId="36" borderId="10" xfId="0" applyFont="1" applyFill="1" applyBorder="1" applyAlignment="1">
      <alignment horizontal="left" vertical="top" wrapText="1"/>
    </xf>
    <xf numFmtId="0" fontId="14" fillId="36" borderId="10" xfId="0" applyFont="1" applyFill="1" applyBorder="1" applyAlignment="1">
      <alignment horizontal="left" wrapText="1"/>
    </xf>
    <xf numFmtId="0" fontId="11" fillId="36" borderId="10" xfId="0" applyFont="1" applyFill="1" applyBorder="1" applyAlignment="1">
      <alignment horizontal="left" wrapText="1"/>
    </xf>
    <xf numFmtId="0" fontId="4" fillId="0" borderId="0" xfId="0" applyFont="1" applyAlignment="1">
      <alignment horizontal="left" vertical="top" wrapText="1"/>
    </xf>
    <xf numFmtId="0" fontId="5" fillId="37" borderId="13" xfId="0" applyFont="1" applyFill="1" applyBorder="1" applyAlignment="1">
      <alignment horizontal="centerContinuous" vertical="center" wrapText="1"/>
    </xf>
    <xf numFmtId="0" fontId="5" fillId="37" borderId="14" xfId="0" applyFont="1" applyFill="1" applyBorder="1" applyAlignment="1">
      <alignment horizontal="centerContinuous" vertical="center" wrapText="1"/>
    </xf>
    <xf numFmtId="0" fontId="5" fillId="4" borderId="5"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37" borderId="12" xfId="0" applyFont="1" applyFill="1" applyBorder="1" applyAlignment="1">
      <alignment horizontal="center" vertical="center" wrapText="1"/>
    </xf>
    <xf numFmtId="0" fontId="5" fillId="37" borderId="16" xfId="0" applyFont="1" applyFill="1" applyBorder="1" applyAlignment="1">
      <alignment horizontal="center" vertical="center" wrapText="1"/>
    </xf>
    <xf numFmtId="0" fontId="5" fillId="37" borderId="11" xfId="0" applyFont="1" applyFill="1" applyBorder="1" applyAlignment="1">
      <alignment horizontal="center" vertical="center" wrapText="1"/>
    </xf>
    <xf numFmtId="0" fontId="5" fillId="38" borderId="17" xfId="0" applyFont="1" applyFill="1" applyBorder="1" applyAlignment="1">
      <alignment horizontal="center" vertical="center" wrapText="1"/>
    </xf>
    <xf numFmtId="0" fontId="5" fillId="38" borderId="18" xfId="0" applyFont="1" applyFill="1" applyBorder="1" applyAlignment="1">
      <alignment horizontal="center" vertical="center" wrapText="1"/>
    </xf>
    <xf numFmtId="0" fontId="5" fillId="38" borderId="12" xfId="0" applyFont="1" applyFill="1" applyBorder="1" applyAlignment="1">
      <alignment horizontal="center" vertical="center" wrapText="1"/>
    </xf>
    <xf numFmtId="0" fontId="5" fillId="38" borderId="16" xfId="0" applyFont="1" applyFill="1" applyBorder="1" applyAlignment="1">
      <alignment horizontal="center" vertical="center" wrapText="1"/>
    </xf>
    <xf numFmtId="0" fontId="11" fillId="36" borderId="19" xfId="0" applyFont="1" applyFill="1" applyBorder="1" applyAlignment="1">
      <alignment vertical="top" wrapText="1"/>
    </xf>
    <xf numFmtId="0" fontId="11" fillId="36" borderId="19" xfId="0" applyFont="1" applyFill="1" applyBorder="1" applyAlignment="1">
      <alignment horizontal="left" vertical="top" wrapText="1"/>
    </xf>
    <xf numFmtId="0" fontId="11" fillId="36" borderId="20" xfId="0" applyFont="1" applyFill="1" applyBorder="1" applyAlignment="1">
      <alignment horizontal="left" vertical="top" wrapText="1"/>
    </xf>
    <xf numFmtId="0" fontId="11" fillId="36" borderId="21" xfId="0" applyFont="1" applyFill="1" applyBorder="1" applyAlignment="1">
      <alignment horizontal="left" vertical="top" wrapText="1"/>
    </xf>
    <xf numFmtId="0" fontId="14" fillId="0" borderId="20" xfId="0" applyFont="1" applyBorder="1" applyAlignment="1">
      <alignment vertical="top" wrapText="1"/>
    </xf>
    <xf numFmtId="0" fontId="14" fillId="0" borderId="22" xfId="0" applyFont="1" applyBorder="1" applyAlignment="1">
      <alignment vertical="top" wrapText="1"/>
    </xf>
    <xf numFmtId="0" fontId="14" fillId="0" borderId="23" xfId="0" applyFont="1" applyBorder="1" applyAlignment="1">
      <alignment vertical="top" wrapText="1"/>
    </xf>
    <xf numFmtId="0" fontId="11" fillId="36" borderId="24" xfId="0" applyFont="1" applyFill="1" applyBorder="1" applyAlignment="1">
      <alignment vertical="top" wrapText="1"/>
    </xf>
    <xf numFmtId="0" fontId="11" fillId="36" borderId="24" xfId="0" applyFont="1" applyFill="1" applyBorder="1" applyAlignment="1">
      <alignment horizontal="left" vertical="top" wrapText="1"/>
    </xf>
    <xf numFmtId="0" fontId="11" fillId="36" borderId="25" xfId="0" applyFont="1" applyFill="1" applyBorder="1" applyAlignment="1">
      <alignment horizontal="left" vertical="top" wrapText="1"/>
    </xf>
    <xf numFmtId="0" fontId="11" fillId="36" borderId="26" xfId="0" applyFont="1" applyFill="1" applyBorder="1" applyAlignment="1">
      <alignment horizontal="left" vertical="top" wrapText="1"/>
    </xf>
    <xf numFmtId="0" fontId="14" fillId="0" borderId="25" xfId="0" applyFont="1" applyBorder="1" applyAlignment="1">
      <alignment vertical="top" wrapText="1"/>
    </xf>
    <xf numFmtId="0" fontId="14" fillId="0" borderId="27" xfId="0" applyFont="1" applyBorder="1" applyAlignment="1">
      <alignment vertical="top" wrapText="1"/>
    </xf>
    <xf numFmtId="0" fontId="14" fillId="0" borderId="28" xfId="0" applyFont="1" applyBorder="1" applyAlignment="1">
      <alignment vertical="top" wrapText="1"/>
    </xf>
    <xf numFmtId="0" fontId="11" fillId="0" borderId="24" xfId="0" applyFont="1" applyBorder="1" applyAlignment="1">
      <alignmen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0" fontId="3" fillId="8" borderId="24" xfId="0" applyFont="1" applyFill="1" applyBorder="1" applyAlignment="1">
      <alignment horizontal="left" vertical="center" wrapText="1"/>
    </xf>
    <xf numFmtId="0" fontId="3" fillId="10" borderId="24" xfId="0" applyFont="1" applyFill="1" applyBorder="1" applyAlignment="1">
      <alignment horizontal="left" vertical="center" wrapText="1"/>
    </xf>
    <xf numFmtId="0" fontId="11" fillId="36" borderId="26" xfId="0" applyFont="1" applyFill="1" applyBorder="1" applyAlignment="1">
      <alignment horizontal="left" vertical="center" wrapText="1"/>
    </xf>
    <xf numFmtId="0" fontId="11" fillId="36" borderId="24" xfId="0" applyFont="1" applyFill="1" applyBorder="1" applyAlignment="1">
      <alignment horizontal="left" vertical="center" wrapText="1"/>
    </xf>
    <xf numFmtId="0" fontId="4" fillId="0" borderId="25"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17" fillId="36" borderId="24" xfId="0" applyFont="1" applyFill="1" applyBorder="1" applyAlignment="1">
      <alignment vertical="top" wrapText="1"/>
    </xf>
    <xf numFmtId="0" fontId="14" fillId="36" borderId="24" xfId="0" applyFont="1" applyFill="1" applyBorder="1" applyAlignment="1">
      <alignment vertical="top" wrapText="1"/>
    </xf>
    <xf numFmtId="0" fontId="14" fillId="0" borderId="24" xfId="0" applyFont="1" applyBorder="1" applyAlignment="1">
      <alignment vertical="top" wrapText="1"/>
    </xf>
    <xf numFmtId="0" fontId="11" fillId="14" borderId="24" xfId="0" applyFont="1" applyFill="1" applyBorder="1" applyAlignment="1">
      <alignment vertical="top" wrapText="1"/>
    </xf>
    <xf numFmtId="0" fontId="12" fillId="36" borderId="24" xfId="0" applyFont="1" applyFill="1" applyBorder="1" applyAlignment="1">
      <alignment vertical="top" wrapText="1"/>
    </xf>
    <xf numFmtId="0" fontId="12" fillId="14" borderId="24" xfId="0" applyFont="1" applyFill="1" applyBorder="1" applyAlignment="1">
      <alignment vertical="top" wrapText="1"/>
    </xf>
    <xf numFmtId="0" fontId="3" fillId="5" borderId="24" xfId="0" applyFont="1" applyFill="1" applyBorder="1" applyAlignment="1">
      <alignment horizontal="left" vertical="center" wrapText="1"/>
    </xf>
    <xf numFmtId="0" fontId="15" fillId="0" borderId="24" xfId="0" applyFont="1" applyBorder="1" applyAlignment="1">
      <alignment horizontal="left" vertical="center" wrapText="1"/>
    </xf>
    <xf numFmtId="0" fontId="3" fillId="11" borderId="24" xfId="0" applyFont="1" applyFill="1" applyBorder="1" applyAlignment="1">
      <alignment horizontal="left" vertical="center" wrapText="1"/>
    </xf>
    <xf numFmtId="0" fontId="3" fillId="9" borderId="24" xfId="0" applyFont="1" applyFill="1" applyBorder="1" applyAlignment="1">
      <alignment horizontal="left" vertical="center" wrapText="1"/>
    </xf>
    <xf numFmtId="0" fontId="16" fillId="36" borderId="24" xfId="0" applyFont="1" applyFill="1" applyBorder="1" applyAlignment="1">
      <alignment vertical="top" wrapText="1"/>
    </xf>
    <xf numFmtId="0" fontId="3" fillId="0" borderId="24" xfId="0" applyFont="1" applyBorder="1" applyAlignment="1">
      <alignment horizontal="left" vertical="center" wrapText="1"/>
    </xf>
    <xf numFmtId="0" fontId="12" fillId="36" borderId="24" xfId="0" applyFont="1" applyFill="1" applyBorder="1" applyAlignment="1">
      <alignment horizontal="left" vertical="top" wrapText="1"/>
    </xf>
    <xf numFmtId="0" fontId="3" fillId="3" borderId="24" xfId="0" applyFont="1" applyFill="1" applyBorder="1" applyAlignment="1">
      <alignment horizontal="left" vertical="center" wrapText="1"/>
    </xf>
    <xf numFmtId="0" fontId="11" fillId="14" borderId="24" xfId="0" applyFont="1" applyFill="1" applyBorder="1" applyAlignment="1">
      <alignment horizontal="left" vertical="top" wrapText="1"/>
    </xf>
    <xf numFmtId="0" fontId="11" fillId="36" borderId="29" xfId="0" applyFont="1" applyFill="1" applyBorder="1" applyAlignment="1">
      <alignment horizontal="left" vertical="center" wrapText="1"/>
    </xf>
    <xf numFmtId="0" fontId="11" fillId="36" borderId="29" xfId="0" applyFont="1" applyFill="1" applyBorder="1" applyAlignment="1">
      <alignment horizontal="left" vertical="top" wrapText="1"/>
    </xf>
    <xf numFmtId="0" fontId="11" fillId="0" borderId="29" xfId="0" applyFont="1" applyBorder="1" applyAlignment="1">
      <alignment horizontal="left" vertical="top" wrapText="1"/>
    </xf>
    <xf numFmtId="0" fontId="11" fillId="36" borderId="30" xfId="0" applyFont="1" applyFill="1" applyBorder="1" applyAlignment="1">
      <alignment horizontal="left" vertical="top" wrapText="1"/>
    </xf>
    <xf numFmtId="0" fontId="17" fillId="8" borderId="24" xfId="0" applyFont="1" applyFill="1" applyBorder="1" applyAlignment="1">
      <alignment horizontal="left" vertical="center" wrapText="1"/>
    </xf>
    <xf numFmtId="0" fontId="17" fillId="10" borderId="24" xfId="0" applyFont="1" applyFill="1" applyBorder="1" applyAlignment="1">
      <alignment horizontal="left" vertical="center" wrapText="1"/>
    </xf>
    <xf numFmtId="0" fontId="14" fillId="0" borderId="24" xfId="0" applyFont="1" applyBorder="1" applyAlignment="1">
      <alignment horizontal="left" vertical="top" wrapText="1"/>
    </xf>
    <xf numFmtId="0" fontId="14" fillId="36" borderId="24" xfId="0" applyFont="1" applyFill="1" applyBorder="1" applyAlignment="1">
      <alignment horizontal="left" vertical="top" wrapText="1"/>
    </xf>
    <xf numFmtId="0" fontId="3" fillId="7" borderId="24" xfId="0" applyFont="1" applyFill="1" applyBorder="1" applyAlignment="1">
      <alignment horizontal="left" vertical="center" wrapText="1"/>
    </xf>
    <xf numFmtId="0" fontId="3" fillId="13" borderId="24" xfId="0" applyFont="1" applyFill="1" applyBorder="1" applyAlignment="1">
      <alignment horizontal="left" vertical="center" wrapText="1"/>
    </xf>
    <xf numFmtId="0" fontId="3" fillId="12" borderId="24" xfId="0" applyFont="1" applyFill="1" applyBorder="1" applyAlignment="1">
      <alignment horizontal="left" vertical="center" wrapText="1"/>
    </xf>
    <xf numFmtId="0" fontId="12" fillId="0" borderId="24" xfId="0" applyFont="1" applyBorder="1" applyAlignment="1">
      <alignment vertical="top" wrapText="1"/>
    </xf>
    <xf numFmtId="0" fontId="3" fillId="6" borderId="24" xfId="0" applyFont="1" applyFill="1" applyBorder="1" applyAlignment="1">
      <alignment horizontal="left" vertical="center" wrapText="1"/>
    </xf>
    <xf numFmtId="0" fontId="15" fillId="3" borderId="24" xfId="0" applyFont="1" applyFill="1" applyBorder="1" applyAlignment="1">
      <alignment horizontal="left" vertical="center" wrapText="1"/>
    </xf>
    <xf numFmtId="0" fontId="11" fillId="36" borderId="27" xfId="0" applyFont="1" applyFill="1" applyBorder="1" applyAlignment="1">
      <alignment horizontal="left" vertical="top" wrapText="1"/>
    </xf>
    <xf numFmtId="0" fontId="11" fillId="36" borderId="27" xfId="0" applyFont="1" applyFill="1" applyBorder="1" applyAlignment="1">
      <alignment horizontal="left" vertical="center" wrapText="1"/>
    </xf>
    <xf numFmtId="0" fontId="4" fillId="0" borderId="31" xfId="0" applyFont="1" applyBorder="1" applyAlignment="1">
      <alignment horizontal="left" vertical="top" wrapText="1"/>
    </xf>
    <xf numFmtId="0" fontId="11" fillId="36" borderId="27" xfId="0" applyFont="1" applyFill="1" applyBorder="1" applyAlignment="1">
      <alignment vertical="top" wrapText="1"/>
    </xf>
    <xf numFmtId="0" fontId="14" fillId="0" borderId="31" xfId="0" applyFont="1" applyBorder="1" applyAlignment="1">
      <alignment vertical="top" wrapText="1"/>
    </xf>
    <xf numFmtId="0" fontId="11" fillId="36" borderId="32" xfId="0" applyFont="1" applyFill="1" applyBorder="1" applyAlignment="1">
      <alignment horizontal="left" vertical="top" wrapText="1"/>
    </xf>
    <xf numFmtId="0" fontId="11" fillId="36" borderId="33" xfId="0" applyFont="1" applyFill="1" applyBorder="1" applyAlignment="1">
      <alignment horizontal="left" vertical="top" wrapText="1"/>
    </xf>
    <xf numFmtId="0" fontId="11" fillId="36" borderId="34" xfId="0" applyFont="1" applyFill="1" applyBorder="1" applyAlignment="1">
      <alignment horizontal="left" vertical="top" wrapText="1"/>
    </xf>
    <xf numFmtId="0" fontId="11" fillId="36" borderId="35" xfId="0" applyFont="1" applyFill="1" applyBorder="1" applyAlignment="1">
      <alignment horizontal="left" vertical="top" wrapText="1"/>
    </xf>
    <xf numFmtId="0" fontId="15" fillId="0" borderId="0" xfId="0" applyFont="1" applyAlignment="1">
      <alignment vertical="center"/>
    </xf>
    <xf numFmtId="0" fontId="13" fillId="16" borderId="19" xfId="0" applyFont="1" applyFill="1" applyBorder="1" applyAlignment="1">
      <alignment vertical="center" wrapText="1"/>
    </xf>
    <xf numFmtId="0" fontId="13" fillId="16" borderId="24" xfId="0" applyFont="1" applyFill="1" applyBorder="1" applyAlignment="1">
      <alignment vertical="center" wrapText="1"/>
    </xf>
    <xf numFmtId="0" fontId="13" fillId="18" borderId="24" xfId="0" applyFont="1" applyFill="1" applyBorder="1" applyAlignment="1">
      <alignment vertical="center" wrapText="1"/>
    </xf>
    <xf numFmtId="0" fontId="13" fillId="0" borderId="24" xfId="0" applyFont="1" applyBorder="1" applyAlignment="1">
      <alignment vertical="center" wrapText="1"/>
    </xf>
    <xf numFmtId="0" fontId="13" fillId="25" borderId="24" xfId="0" applyFont="1" applyFill="1" applyBorder="1" applyAlignment="1">
      <alignment vertical="center" wrapText="1"/>
    </xf>
    <xf numFmtId="0" fontId="13" fillId="33" borderId="24" xfId="0" applyFont="1" applyFill="1" applyBorder="1" applyAlignment="1">
      <alignment vertical="center" wrapText="1"/>
    </xf>
    <xf numFmtId="0" fontId="13" fillId="27" borderId="24" xfId="0" applyFont="1" applyFill="1" applyBorder="1" applyAlignment="1">
      <alignment vertical="center" wrapText="1"/>
    </xf>
    <xf numFmtId="0" fontId="13" fillId="22" borderId="24" xfId="0" applyFont="1" applyFill="1" applyBorder="1" applyAlignment="1">
      <alignment vertical="center" wrapText="1"/>
    </xf>
    <xf numFmtId="0" fontId="13" fillId="29" borderId="24" xfId="0" applyFont="1" applyFill="1" applyBorder="1" applyAlignment="1">
      <alignment vertical="center" wrapText="1"/>
    </xf>
    <xf numFmtId="0" fontId="13" fillId="32" borderId="24" xfId="0" applyFont="1" applyFill="1" applyBorder="1" applyAlignment="1">
      <alignment vertical="center" wrapText="1"/>
    </xf>
    <xf numFmtId="0" fontId="13" fillId="17" borderId="24" xfId="0" applyFont="1" applyFill="1" applyBorder="1" applyAlignment="1">
      <alignment vertical="center" wrapText="1"/>
    </xf>
    <xf numFmtId="0" fontId="13" fillId="14" borderId="24" xfId="0" applyFont="1" applyFill="1" applyBorder="1" applyAlignment="1">
      <alignment vertical="center" wrapText="1"/>
    </xf>
    <xf numFmtId="0" fontId="13" fillId="26" borderId="24" xfId="0" applyFont="1" applyFill="1" applyBorder="1" applyAlignment="1">
      <alignment vertical="center" wrapText="1"/>
    </xf>
    <xf numFmtId="0" fontId="13" fillId="35" borderId="24" xfId="0" applyFont="1" applyFill="1" applyBorder="1" applyAlignment="1">
      <alignment vertical="center" wrapText="1"/>
    </xf>
    <xf numFmtId="0" fontId="13" fillId="23" borderId="24" xfId="0" applyFont="1" applyFill="1" applyBorder="1" applyAlignment="1">
      <alignment vertical="center" wrapText="1"/>
    </xf>
    <xf numFmtId="0" fontId="13" fillId="31" borderId="24" xfId="0" applyFont="1" applyFill="1" applyBorder="1" applyAlignment="1">
      <alignment vertical="center" wrapText="1"/>
    </xf>
    <xf numFmtId="0" fontId="13" fillId="34" borderId="24" xfId="0" applyFont="1" applyFill="1" applyBorder="1" applyAlignment="1">
      <alignment vertical="center" wrapText="1"/>
    </xf>
    <xf numFmtId="0" fontId="13" fillId="30" borderId="24" xfId="0" applyFont="1" applyFill="1" applyBorder="1" applyAlignment="1">
      <alignment vertical="center" wrapText="1"/>
    </xf>
    <xf numFmtId="0" fontId="13" fillId="36" borderId="24" xfId="0" applyFont="1" applyFill="1" applyBorder="1" applyAlignment="1">
      <alignment vertical="center" wrapText="1"/>
    </xf>
    <xf numFmtId="0" fontId="17" fillId="16" borderId="24" xfId="0" applyFont="1" applyFill="1" applyBorder="1" applyAlignment="1">
      <alignment vertical="center" wrapText="1"/>
    </xf>
    <xf numFmtId="0" fontId="13" fillId="28" borderId="24" xfId="0" applyFont="1" applyFill="1" applyBorder="1" applyAlignment="1">
      <alignment vertical="center" wrapText="1"/>
    </xf>
    <xf numFmtId="0" fontId="13" fillId="24" borderId="24" xfId="0" applyFont="1" applyFill="1" applyBorder="1" applyAlignment="1">
      <alignment vertical="center" wrapText="1"/>
    </xf>
    <xf numFmtId="0" fontId="13" fillId="16" borderId="27" xfId="0" applyFont="1" applyFill="1" applyBorder="1" applyAlignment="1">
      <alignment vertical="center" wrapText="1"/>
    </xf>
    <xf numFmtId="0" fontId="13" fillId="33" borderId="27" xfId="0" applyFont="1" applyFill="1" applyBorder="1" applyAlignment="1">
      <alignment vertical="center" wrapText="1"/>
    </xf>
    <xf numFmtId="0" fontId="13" fillId="27" borderId="27" xfId="0" applyFont="1" applyFill="1" applyBorder="1" applyAlignment="1">
      <alignment vertical="center" wrapText="1"/>
    </xf>
    <xf numFmtId="0" fontId="13" fillId="0" borderId="27" xfId="0" applyFont="1" applyBorder="1" applyAlignment="1">
      <alignment vertical="center" wrapText="1"/>
    </xf>
    <xf numFmtId="0" fontId="12" fillId="0" borderId="24" xfId="0" applyFont="1" applyBorder="1"/>
    <xf numFmtId="0" fontId="11" fillId="0" borderId="0" xfId="0" applyFont="1" applyAlignment="1">
      <alignment vertical="center"/>
    </xf>
    <xf numFmtId="0" fontId="11" fillId="36" borderId="19" xfId="0" applyFont="1" applyFill="1" applyBorder="1" applyAlignment="1">
      <alignment vertical="center" wrapText="1"/>
    </xf>
    <xf numFmtId="0" fontId="11" fillId="36" borderId="24" xfId="0" applyFont="1" applyFill="1" applyBorder="1" applyAlignment="1">
      <alignment vertical="center" wrapText="1"/>
    </xf>
    <xf numFmtId="0" fontId="14" fillId="0" borderId="24" xfId="0" applyFont="1" applyBorder="1" applyAlignment="1">
      <alignment vertical="center" wrapText="1"/>
    </xf>
    <xf numFmtId="0" fontId="12" fillId="36" borderId="24" xfId="0" applyFont="1" applyFill="1" applyBorder="1" applyAlignment="1">
      <alignment vertical="center" wrapText="1"/>
    </xf>
    <xf numFmtId="0" fontId="11" fillId="0" borderId="24" xfId="0" applyFont="1" applyBorder="1" applyAlignment="1">
      <alignment vertical="center" wrapText="1"/>
    </xf>
    <xf numFmtId="0" fontId="11" fillId="36" borderId="27" xfId="0" applyFont="1" applyFill="1" applyBorder="1" applyAlignment="1">
      <alignment vertical="center" wrapText="1"/>
    </xf>
    <xf numFmtId="0" fontId="11" fillId="36" borderId="38" xfId="0" applyFont="1" applyFill="1" applyBorder="1" applyAlignment="1">
      <alignment horizontal="left" vertical="top" wrapText="1"/>
    </xf>
    <xf numFmtId="0" fontId="13" fillId="16" borderId="34" xfId="0" applyFont="1" applyFill="1" applyBorder="1" applyAlignment="1">
      <alignment vertical="center" wrapText="1"/>
    </xf>
    <xf numFmtId="0" fontId="13" fillId="14" borderId="27" xfId="0" applyFont="1" applyFill="1" applyBorder="1" applyAlignment="1">
      <alignment vertical="center" wrapText="1"/>
    </xf>
    <xf numFmtId="0" fontId="13" fillId="25" borderId="19" xfId="0" applyFont="1" applyFill="1" applyBorder="1" applyAlignment="1">
      <alignment vertical="center" wrapText="1"/>
    </xf>
    <xf numFmtId="0" fontId="3" fillId="13" borderId="27" xfId="0" applyFont="1" applyFill="1" applyBorder="1" applyAlignment="1">
      <alignment horizontal="left" vertical="center" wrapText="1"/>
    </xf>
    <xf numFmtId="0" fontId="11" fillId="36" borderId="34" xfId="0" applyFont="1" applyFill="1" applyBorder="1" applyAlignment="1">
      <alignment horizontal="left" vertical="center" wrapText="1"/>
    </xf>
    <xf numFmtId="0" fontId="11" fillId="36" borderId="36" xfId="0" applyFont="1" applyFill="1" applyBorder="1" applyAlignment="1">
      <alignment horizontal="left" vertical="center" wrapText="1"/>
    </xf>
    <xf numFmtId="0" fontId="4" fillId="0" borderId="34" xfId="0" applyFont="1" applyBorder="1" applyAlignment="1">
      <alignment horizontal="left" vertical="top" wrapText="1"/>
    </xf>
    <xf numFmtId="0" fontId="4" fillId="0" borderId="37" xfId="0" applyFont="1" applyBorder="1" applyAlignment="1">
      <alignment horizontal="left" vertical="top" wrapText="1"/>
    </xf>
    <xf numFmtId="0" fontId="13" fillId="25" borderId="34" xfId="0" applyFont="1" applyFill="1" applyBorder="1" applyAlignment="1">
      <alignment vertical="center" wrapText="1"/>
    </xf>
    <xf numFmtId="0" fontId="3" fillId="0" borderId="34" xfId="0" applyFont="1" applyBorder="1" applyAlignment="1">
      <alignment horizontal="left" vertical="center" wrapText="1"/>
    </xf>
    <xf numFmtId="0" fontId="15" fillId="36" borderId="27" xfId="0" applyFont="1" applyFill="1" applyBorder="1" applyAlignment="1">
      <alignment vertical="center" wrapText="1"/>
    </xf>
    <xf numFmtId="0" fontId="3" fillId="7" borderId="34" xfId="0" applyFont="1" applyFill="1" applyBorder="1" applyAlignment="1">
      <alignment horizontal="left" vertical="center" wrapText="1"/>
    </xf>
    <xf numFmtId="0" fontId="14" fillId="27" borderId="19" xfId="0" applyFont="1" applyFill="1" applyBorder="1" applyAlignment="1">
      <alignment vertical="center" wrapText="1"/>
    </xf>
    <xf numFmtId="0" fontId="1" fillId="0" borderId="39" xfId="0" applyFont="1" applyBorder="1"/>
    <xf numFmtId="0" fontId="4" fillId="0" borderId="11" xfId="0" applyFont="1" applyBorder="1" applyAlignment="1">
      <alignment horizontal="left" vertical="top" wrapText="1"/>
    </xf>
    <xf numFmtId="0" fontId="11" fillId="0" borderId="11" xfId="0" applyFont="1" applyBorder="1"/>
    <xf numFmtId="0" fontId="14" fillId="27" borderId="40" xfId="0" applyFont="1" applyFill="1" applyBorder="1" applyAlignment="1">
      <alignment vertical="center" wrapText="1"/>
    </xf>
    <xf numFmtId="0" fontId="14" fillId="27" borderId="41" xfId="0" applyFont="1" applyFill="1" applyBorder="1" applyAlignment="1">
      <alignment vertical="center" wrapText="1"/>
    </xf>
    <xf numFmtId="0" fontId="14" fillId="27" borderId="0" xfId="0" applyFont="1" applyFill="1" applyAlignment="1">
      <alignment vertical="center" wrapText="1"/>
    </xf>
    <xf numFmtId="0" fontId="11" fillId="36" borderId="34" xfId="0" applyFont="1" applyFill="1" applyBorder="1" applyAlignment="1">
      <alignment vertical="center" wrapText="1"/>
    </xf>
    <xf numFmtId="0" fontId="11" fillId="36" borderId="34" xfId="0" applyFont="1" applyFill="1" applyBorder="1" applyAlignment="1">
      <alignment vertical="top" wrapText="1"/>
    </xf>
    <xf numFmtId="0" fontId="11" fillId="36" borderId="36" xfId="0" applyFont="1" applyFill="1" applyBorder="1" applyAlignment="1">
      <alignment horizontal="left" vertical="top" wrapText="1"/>
    </xf>
    <xf numFmtId="0" fontId="14" fillId="0" borderId="34" xfId="0" applyFont="1" applyBorder="1" applyAlignment="1">
      <alignment vertical="top" wrapText="1"/>
    </xf>
    <xf numFmtId="0" fontId="14" fillId="0" borderId="37" xfId="0" applyFont="1" applyBorder="1" applyAlignment="1">
      <alignment vertical="top" wrapText="1"/>
    </xf>
    <xf numFmtId="0" fontId="5" fillId="4" borderId="42" xfId="0" applyFont="1" applyFill="1" applyBorder="1" applyAlignment="1">
      <alignment horizontal="center" vertical="center" wrapText="1"/>
    </xf>
    <xf numFmtId="0" fontId="14" fillId="0" borderId="0" xfId="0" applyFont="1" applyAlignment="1">
      <alignment horizontal="center" vertical="center" wrapText="1"/>
    </xf>
    <xf numFmtId="0" fontId="1" fillId="0" borderId="43" xfId="0" applyFont="1" applyBorder="1"/>
    <xf numFmtId="0" fontId="1" fillId="39" borderId="0" xfId="0" applyFont="1" applyFill="1"/>
    <xf numFmtId="0" fontId="1" fillId="39" borderId="43" xfId="0" applyFont="1" applyFill="1" applyBorder="1"/>
    <xf numFmtId="0" fontId="20" fillId="0" borderId="0" xfId="0" applyFont="1" applyAlignment="1">
      <alignment horizontal="center" vertical="center" wrapText="1"/>
    </xf>
    <xf numFmtId="0" fontId="0" fillId="0" borderId="0" xfId="0" applyAlignment="1">
      <alignment vertical="center" wrapText="1"/>
    </xf>
    <xf numFmtId="0" fontId="15" fillId="0" borderId="27" xfId="0" applyFont="1" applyBorder="1" applyAlignment="1">
      <alignment vertical="center" wrapText="1"/>
    </xf>
    <xf numFmtId="0" fontId="11" fillId="36" borderId="30" xfId="0" applyFont="1" applyFill="1" applyBorder="1" applyAlignment="1">
      <alignment vertical="top" wrapText="1"/>
    </xf>
    <xf numFmtId="0" fontId="15" fillId="0" borderId="24" xfId="0" applyFont="1" applyBorder="1" applyAlignment="1">
      <alignment vertical="center" wrapText="1"/>
    </xf>
    <xf numFmtId="0" fontId="15" fillId="0" borderId="19" xfId="0" applyFont="1" applyBorder="1" applyAlignment="1">
      <alignment vertical="center" wrapText="1"/>
    </xf>
    <xf numFmtId="0" fontId="15" fillId="0" borderId="40" xfId="0" applyFont="1" applyBorder="1" applyAlignment="1">
      <alignment vertical="center" wrapText="1"/>
    </xf>
    <xf numFmtId="0" fontId="15" fillId="0" borderId="27" xfId="0" applyFont="1" applyBorder="1" applyAlignment="1">
      <alignment horizontal="left" vertical="center" wrapText="1"/>
    </xf>
    <xf numFmtId="0" fontId="15" fillId="0" borderId="34" xfId="0" applyFont="1" applyBorder="1" applyAlignment="1">
      <alignment vertical="center" wrapText="1"/>
    </xf>
    <xf numFmtId="0" fontId="0" fillId="39" borderId="0" xfId="0" applyFill="1"/>
    <xf numFmtId="0" fontId="1" fillId="39" borderId="44" xfId="0" applyFont="1" applyFill="1" applyBorder="1"/>
    <xf numFmtId="0" fontId="1" fillId="39" borderId="13" xfId="0" applyFont="1" applyFill="1" applyBorder="1"/>
    <xf numFmtId="0" fontId="22" fillId="0" borderId="0" xfId="0" applyFont="1"/>
    <xf numFmtId="0" fontId="23" fillId="0" borderId="0" xfId="0" applyFont="1"/>
    <xf numFmtId="9" fontId="22" fillId="0" borderId="43" xfId="2" applyFont="1" applyBorder="1" applyAlignment="1"/>
    <xf numFmtId="0" fontId="24" fillId="0" borderId="0" xfId="0" applyFont="1"/>
    <xf numFmtId="0" fontId="24" fillId="0" borderId="0" xfId="0" applyFont="1" applyAlignment="1">
      <alignment vertical="center"/>
    </xf>
    <xf numFmtId="0" fontId="25" fillId="0" borderId="0" xfId="0" applyFont="1" applyAlignment="1">
      <alignment vertical="center"/>
    </xf>
    <xf numFmtId="0" fontId="11" fillId="40" borderId="24" xfId="0" applyFont="1" applyFill="1" applyBorder="1" applyAlignment="1">
      <alignment vertical="top" wrapText="1"/>
    </xf>
    <xf numFmtId="0" fontId="14" fillId="40" borderId="27" xfId="0" applyFont="1" applyFill="1" applyBorder="1" applyAlignment="1">
      <alignment vertical="top" wrapText="1"/>
    </xf>
    <xf numFmtId="0" fontId="11" fillId="14" borderId="24" xfId="0" applyFont="1" applyFill="1" applyBorder="1" applyAlignment="1">
      <alignment horizontal="left" vertical="center" wrapText="1"/>
    </xf>
    <xf numFmtId="0" fontId="15" fillId="41" borderId="0" xfId="0" applyFont="1" applyFill="1" applyAlignment="1">
      <alignment vertical="center"/>
    </xf>
    <xf numFmtId="0" fontId="14" fillId="41" borderId="27" xfId="0" applyFont="1" applyFill="1" applyBorder="1" applyAlignment="1">
      <alignment vertical="top" wrapText="1"/>
    </xf>
    <xf numFmtId="0" fontId="14" fillId="40" borderId="22" xfId="0" applyFont="1" applyFill="1" applyBorder="1" applyAlignment="1">
      <alignment vertical="top" wrapText="1"/>
    </xf>
    <xf numFmtId="0" fontId="4" fillId="40" borderId="27" xfId="0" applyFont="1" applyFill="1" applyBorder="1" applyAlignment="1">
      <alignment horizontal="left" vertical="top" wrapText="1"/>
    </xf>
    <xf numFmtId="0" fontId="4" fillId="42" borderId="27" xfId="0" applyFont="1" applyFill="1" applyBorder="1" applyAlignment="1">
      <alignment horizontal="left" vertical="top" wrapText="1"/>
    </xf>
    <xf numFmtId="0" fontId="11" fillId="0" borderId="0" xfId="0" applyFont="1" applyAlignment="1">
      <alignment horizontal="center"/>
    </xf>
    <xf numFmtId="0" fontId="4" fillId="0" borderId="28" xfId="0" applyFont="1" applyBorder="1" applyAlignment="1">
      <alignment horizontal="center" vertical="top" wrapText="1"/>
    </xf>
    <xf numFmtId="0" fontId="14" fillId="0" borderId="28" xfId="0" applyFont="1" applyBorder="1" applyAlignment="1">
      <alignment horizontal="center" vertical="top" wrapText="1"/>
    </xf>
    <xf numFmtId="0" fontId="14" fillId="0" borderId="23" xfId="0" applyFont="1" applyBorder="1" applyAlignment="1">
      <alignment horizontal="center" vertical="top" wrapText="1"/>
    </xf>
    <xf numFmtId="0" fontId="20" fillId="0" borderId="0" xfId="0" applyFont="1"/>
    <xf numFmtId="0" fontId="28" fillId="0" borderId="0" xfId="0" applyFont="1"/>
    <xf numFmtId="0" fontId="29" fillId="0" borderId="0" xfId="0" applyFont="1"/>
    <xf numFmtId="0" fontId="0" fillId="41" borderId="0" xfId="0" applyFill="1"/>
    <xf numFmtId="0" fontId="4" fillId="0" borderId="27" xfId="0" applyFont="1" applyBorder="1" applyAlignment="1">
      <alignment horizontal="center" vertical="top" wrapText="1"/>
    </xf>
    <xf numFmtId="0" fontId="14" fillId="0" borderId="27" xfId="0" applyFont="1" applyBorder="1" applyAlignment="1">
      <alignment horizontal="center" vertical="top" wrapText="1"/>
    </xf>
    <xf numFmtId="0" fontId="14" fillId="0" borderId="22" xfId="0" applyFont="1" applyBorder="1" applyAlignment="1">
      <alignment horizontal="center" vertical="top" wrapText="1"/>
    </xf>
    <xf numFmtId="0" fontId="2" fillId="19" borderId="0" xfId="0" applyFont="1" applyFill="1" applyAlignment="1">
      <alignment horizontal="center" vertical="top"/>
    </xf>
    <xf numFmtId="0" fontId="1" fillId="0" borderId="0" xfId="0" applyFont="1"/>
    <xf numFmtId="0" fontId="19" fillId="0" borderId="0" xfId="0" applyFont="1" applyAlignment="1">
      <alignment horizontal="left" vertical="top"/>
    </xf>
    <xf numFmtId="0" fontId="2" fillId="2" borderId="0" xfId="0" applyFont="1" applyFill="1" applyAlignment="1">
      <alignment horizontal="center" vertical="distributed" wrapText="1"/>
    </xf>
    <xf numFmtId="0" fontId="15" fillId="0" borderId="24" xfId="0" applyFont="1" applyFill="1" applyBorder="1" applyAlignment="1">
      <alignment vertical="center" wrapText="1"/>
    </xf>
    <xf numFmtId="0" fontId="15" fillId="0" borderId="24" xfId="0" applyFont="1" applyFill="1" applyBorder="1" applyAlignment="1">
      <alignment horizontal="left" vertical="center" wrapText="1"/>
    </xf>
    <xf numFmtId="0" fontId="14" fillId="0" borderId="25" xfId="0" applyFont="1" applyFill="1" applyBorder="1" applyAlignment="1">
      <alignment vertical="top" wrapText="1"/>
    </xf>
    <xf numFmtId="0" fontId="14" fillId="0" borderId="27" xfId="0" applyFont="1" applyFill="1" applyBorder="1" applyAlignment="1">
      <alignment vertical="top" wrapText="1"/>
    </xf>
    <xf numFmtId="0" fontId="11" fillId="40" borderId="24" xfId="0" applyFont="1" applyFill="1" applyBorder="1" applyAlignment="1">
      <alignment horizontal="left" vertical="top" wrapText="1"/>
    </xf>
    <xf numFmtId="0" fontId="11" fillId="0" borderId="24" xfId="0" applyFont="1" applyFill="1" applyBorder="1" applyAlignment="1">
      <alignment horizontal="left" vertical="top" wrapText="1"/>
    </xf>
    <xf numFmtId="0" fontId="11" fillId="0" borderId="24" xfId="0" applyFont="1" applyFill="1" applyBorder="1" applyAlignment="1">
      <alignment vertical="top" wrapText="1"/>
    </xf>
  </cellXfs>
  <cellStyles count="3">
    <cellStyle name="パーセント" xfId="2" builtinId="5"/>
    <cellStyle name="標準" xfId="0" builtinId="0"/>
    <cellStyle name="標準 2" xfId="1" xr:uid="{00000000-0005-0000-0000-000001000000}"/>
  </cellStyles>
  <dxfs count="7">
    <dxf>
      <fill>
        <patternFill patternType="solid">
          <fgColor indexed="64"/>
          <bgColor rgb="FFF5F5F5"/>
        </patternFill>
      </fill>
    </dxf>
    <dxf>
      <fill>
        <patternFill patternType="solid">
          <fgColor indexed="64"/>
          <bgColor rgb="FFE2EFDA"/>
        </patternFill>
      </fill>
    </dxf>
    <dxf>
      <fill>
        <patternFill patternType="solid">
          <fgColor indexed="64"/>
          <bgColor rgb="FFDEEBF7"/>
        </patternFill>
      </fill>
    </dxf>
    <dxf>
      <font>
        <color rgb="FF008000"/>
      </font>
    </dxf>
    <dxf>
      <font>
        <color rgb="FF008000"/>
      </font>
    </dxf>
    <dxf>
      <font>
        <color rgb="FF008000"/>
      </font>
    </dxf>
    <dxf>
      <font>
        <color rgb="FF008000"/>
      </font>
    </dxf>
  </dxfs>
  <tableStyles count="1" defaultTableStyle="TableStyleMedium2" defaultPivotStyle="PivotStyleLight16">
    <tableStyle name="Invisible" pivot="0" table="0" count="0" xr9:uid="{00000000-0011-0000-FFFF-FFFF00000000}"/>
  </tableStyles>
  <colors>
    <indexedColors>
      <rgbColor rgb="FF000000"/>
      <rgbColor rgb="FFFFFFFF"/>
      <rgbColor rgb="FFC00000"/>
      <rgbColor rgb="FF00FF00"/>
      <rgbColor rgb="FF0000FF"/>
      <rgbColor rgb="FFFFE9CC"/>
      <rgbColor rgb="FFFF00FF"/>
      <rgbColor rgb="FF00FFFF"/>
      <rgbColor rgb="FF800000"/>
      <rgbColor rgb="FF008000"/>
      <rgbColor rgb="FF000080"/>
      <rgbColor rgb="FF808000"/>
      <rgbColor rgb="FF800080"/>
      <rgbColor rgb="FF008080"/>
      <rgbColor rgb="FFF0E0D0"/>
      <rgbColor rgb="FF888888"/>
      <rgbColor rgb="FFE8E8E8"/>
      <rgbColor rgb="FF993366"/>
      <rgbColor rgb="FFFFF9E6"/>
      <rgbColor rgb="FFE0F5F0"/>
      <rgbColor rgb="FF660066"/>
      <rgbColor rgb="FFF2F2F2"/>
      <rgbColor rgb="FF0066CC"/>
      <rgbColor rgb="FFD9D9D9"/>
      <rgbColor rgb="FF000080"/>
      <rgbColor rgb="FFFF00FF"/>
      <rgbColor rgb="FFFFEFE0"/>
      <rgbColor rgb="FF00FFFF"/>
      <rgbColor rgb="FF800080"/>
      <rgbColor rgb="FFA00000"/>
      <rgbColor rgb="FF008080"/>
      <rgbColor rgb="FF0000FF"/>
      <rgbColor rgb="FF00CCFF"/>
      <rgbColor rgb="FFE0EAFF"/>
      <rgbColor rgb="FFE2EFDA"/>
      <rgbColor rgb="FFFFF2CC"/>
      <rgbColor rgb="FFEDE0F5"/>
      <rgbColor rgb="FFFFE0E0"/>
      <rgbColor rgb="FFF5E0E0"/>
      <rgbColor rgb="FFF8CBAD"/>
      <rgbColor rgb="FF3366FF"/>
      <rgbColor rgb="FF33CCCC"/>
      <rgbColor rgb="FF99CC00"/>
      <rgbColor rgb="FFF0F0E0"/>
      <rgbColor rgb="FFFF9900"/>
      <rgbColor rgb="FFFF6600"/>
      <rgbColor rgb="FF606060"/>
      <rgbColor rgb="FFE5F0E0"/>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E8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67758</xdr:colOff>
      <xdr:row>190</xdr:row>
      <xdr:rowOff>54285</xdr:rowOff>
    </xdr:from>
    <xdr:to>
      <xdr:col>18</xdr:col>
      <xdr:colOff>990012</xdr:colOff>
      <xdr:row>193</xdr:row>
      <xdr:rowOff>172203</xdr:rowOff>
    </xdr:to>
    <xdr:sp macro="" textlink="">
      <xdr:nvSpPr>
        <xdr:cNvPr id="6" name="四角形: 角を丸くする 5">
          <a:extLst>
            <a:ext uri="{FF2B5EF4-FFF2-40B4-BE49-F238E27FC236}">
              <a16:creationId xmlns:a16="http://schemas.microsoft.com/office/drawing/2014/main" id="{296AF704-7741-4D55-AD80-A13DB1C00F15}"/>
            </a:ext>
          </a:extLst>
        </xdr:cNvPr>
        <xdr:cNvSpPr/>
      </xdr:nvSpPr>
      <xdr:spPr>
        <a:xfrm>
          <a:off x="13319932" y="84982084"/>
          <a:ext cx="5374156" cy="1494902"/>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ここから営業部門ないしはマーケ</a:t>
          </a:r>
        </a:p>
      </xdr:txBody>
    </xdr:sp>
    <xdr:clientData/>
  </xdr:twoCellAnchor>
  <xdr:twoCellAnchor>
    <xdr:from>
      <xdr:col>36</xdr:col>
      <xdr:colOff>497416</xdr:colOff>
      <xdr:row>10</xdr:row>
      <xdr:rowOff>169334</xdr:rowOff>
    </xdr:from>
    <xdr:to>
      <xdr:col>36</xdr:col>
      <xdr:colOff>2084917</xdr:colOff>
      <xdr:row>12</xdr:row>
      <xdr:rowOff>296333</xdr:rowOff>
    </xdr:to>
    <xdr:sp macro="" textlink="">
      <xdr:nvSpPr>
        <xdr:cNvPr id="2" name="正方形/長方形 1">
          <a:extLst>
            <a:ext uri="{FF2B5EF4-FFF2-40B4-BE49-F238E27FC236}">
              <a16:creationId xmlns:a16="http://schemas.microsoft.com/office/drawing/2014/main" id="{8B13BA52-623A-3D71-B3F8-CF9320D122AC}"/>
            </a:ext>
          </a:extLst>
        </xdr:cNvPr>
        <xdr:cNvSpPr/>
      </xdr:nvSpPr>
      <xdr:spPr>
        <a:xfrm>
          <a:off x="41603083" y="3069167"/>
          <a:ext cx="1587501" cy="6455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薄紫：勘定科目マスタで対応可能か？</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34211</xdr:colOff>
      <xdr:row>3</xdr:row>
      <xdr:rowOff>65225</xdr:rowOff>
    </xdr:from>
    <xdr:to>
      <xdr:col>18</xdr:col>
      <xdr:colOff>959640</xdr:colOff>
      <xdr:row>10</xdr:row>
      <xdr:rowOff>363387</xdr:rowOff>
    </xdr:to>
    <xdr:sp macro="" textlink="">
      <xdr:nvSpPr>
        <xdr:cNvPr id="8" name="四角形: 角を丸くする 7">
          <a:extLst>
            <a:ext uri="{FF2B5EF4-FFF2-40B4-BE49-F238E27FC236}">
              <a16:creationId xmlns:a16="http://schemas.microsoft.com/office/drawing/2014/main" id="{FBE084A7-DA36-4D76-BCC2-E1C9D2CBE1D2}"/>
            </a:ext>
          </a:extLst>
        </xdr:cNvPr>
        <xdr:cNvSpPr/>
      </xdr:nvSpPr>
      <xdr:spPr>
        <a:xfrm>
          <a:off x="13270786" y="153544725"/>
          <a:ext cx="5379954" cy="3723987"/>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ここの商品名・ブランドはいらない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毎年商品などの紐付けが変わるため、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毎年定義を変更しないといけない。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どのようなマスタ連携が必要かなど議論が必要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ラインなどは管理必要あるのかも議論</a:t>
          </a:r>
        </a:p>
      </xdr:txBody>
    </xdr:sp>
    <xdr:clientData/>
  </xdr:twoCellAnchor>
  <xdr:twoCellAnchor>
    <xdr:from>
      <xdr:col>17</xdr:col>
      <xdr:colOff>31060</xdr:colOff>
      <xdr:row>132</xdr:row>
      <xdr:rowOff>455544</xdr:rowOff>
    </xdr:from>
    <xdr:to>
      <xdr:col>18</xdr:col>
      <xdr:colOff>953314</xdr:colOff>
      <xdr:row>137</xdr:row>
      <xdr:rowOff>137767</xdr:rowOff>
    </xdr:to>
    <xdr:sp macro="" textlink="">
      <xdr:nvSpPr>
        <xdr:cNvPr id="9" name="四角形: 角を丸くする 8">
          <a:extLst>
            <a:ext uri="{FF2B5EF4-FFF2-40B4-BE49-F238E27FC236}">
              <a16:creationId xmlns:a16="http://schemas.microsoft.com/office/drawing/2014/main" id="{C8AE068A-3EAA-497F-B4BB-70DEA804CC4D}"/>
            </a:ext>
          </a:extLst>
        </xdr:cNvPr>
        <xdr:cNvSpPr/>
      </xdr:nvSpPr>
      <xdr:spPr>
        <a:xfrm>
          <a:off x="13267635" y="218739969"/>
          <a:ext cx="5373604" cy="1914248"/>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市販用や重点・主力ブランドなど</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商品の区分は定義づけ必要</a:t>
          </a:r>
        </a:p>
      </xdr:txBody>
    </xdr:sp>
    <xdr:clientData/>
  </xdr:twoCellAnchor>
  <xdr:twoCellAnchor>
    <xdr:from>
      <xdr:col>16</xdr:col>
      <xdr:colOff>1601582</xdr:colOff>
      <xdr:row>155</xdr:row>
      <xdr:rowOff>69297</xdr:rowOff>
    </xdr:from>
    <xdr:to>
      <xdr:col>18</xdr:col>
      <xdr:colOff>931780</xdr:colOff>
      <xdr:row>162</xdr:row>
      <xdr:rowOff>72473</xdr:rowOff>
    </xdr:to>
    <xdr:sp macro="" textlink="">
      <xdr:nvSpPr>
        <xdr:cNvPr id="12" name="四角形: 角を丸くする 11">
          <a:extLst>
            <a:ext uri="{FF2B5EF4-FFF2-40B4-BE49-F238E27FC236}">
              <a16:creationId xmlns:a16="http://schemas.microsoft.com/office/drawing/2014/main" id="{79A1021C-6577-4EB3-A39F-2B3E29A56A71}"/>
            </a:ext>
          </a:extLst>
        </xdr:cNvPr>
        <xdr:cNvSpPr/>
      </xdr:nvSpPr>
      <xdr:spPr>
        <a:xfrm>
          <a:off x="13241132" y="229666247"/>
          <a:ext cx="5378573" cy="1203326"/>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プラントはリストで管理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SCM</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に要確認</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65294</xdr:colOff>
      <xdr:row>4</xdr:row>
      <xdr:rowOff>165653</xdr:rowOff>
    </xdr:from>
    <xdr:to>
      <xdr:col>18</xdr:col>
      <xdr:colOff>974848</xdr:colOff>
      <xdr:row>20</xdr:row>
      <xdr:rowOff>151202</xdr:rowOff>
    </xdr:to>
    <xdr:sp macro="" textlink="">
      <xdr:nvSpPr>
        <xdr:cNvPr id="10" name="四角形: 角を丸くする 9">
          <a:extLst>
            <a:ext uri="{FF2B5EF4-FFF2-40B4-BE49-F238E27FC236}">
              <a16:creationId xmlns:a16="http://schemas.microsoft.com/office/drawing/2014/main" id="{0CE58607-F99B-4778-B614-5380C651B7D0}"/>
            </a:ext>
          </a:extLst>
        </xdr:cNvPr>
        <xdr:cNvSpPr/>
      </xdr:nvSpPr>
      <xdr:spPr>
        <a:xfrm>
          <a:off x="13308219" y="232334353"/>
          <a:ext cx="5357729" cy="3589174"/>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チャネル区分はもっと細かいので整理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営業部門と他部門で違うのか？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菓子とアイスでも違うので要確認</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マスタ管理したい</a:t>
          </a:r>
        </a:p>
      </xdr:txBody>
    </xdr:sp>
    <xdr:clientData/>
  </xdr:twoCellAnchor>
  <xdr:twoCellAnchor>
    <xdr:from>
      <xdr:col>17</xdr:col>
      <xdr:colOff>59467</xdr:colOff>
      <xdr:row>56</xdr:row>
      <xdr:rowOff>104637</xdr:rowOff>
    </xdr:from>
    <xdr:to>
      <xdr:col>18</xdr:col>
      <xdr:colOff>1000771</xdr:colOff>
      <xdr:row>58</xdr:row>
      <xdr:rowOff>229082</xdr:rowOff>
    </xdr:to>
    <xdr:sp macro="" textlink="">
      <xdr:nvSpPr>
        <xdr:cNvPr id="11" name="四角形: 角を丸くする 10">
          <a:extLst>
            <a:ext uri="{FF2B5EF4-FFF2-40B4-BE49-F238E27FC236}">
              <a16:creationId xmlns:a16="http://schemas.microsoft.com/office/drawing/2014/main" id="{4738CA8A-60C2-490E-A4DB-238A26FE9E81}"/>
            </a:ext>
          </a:extLst>
        </xdr:cNvPr>
        <xdr:cNvSpPr/>
      </xdr:nvSpPr>
      <xdr:spPr>
        <a:xfrm>
          <a:off x="13299217" y="248910337"/>
          <a:ext cx="5386304" cy="1149970"/>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品番系もチェックしたい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用語がいろいろあるはず</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販売ではない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17</xdr:col>
      <xdr:colOff>126920</xdr:colOff>
      <xdr:row>295</xdr:row>
      <xdr:rowOff>237963</xdr:rowOff>
    </xdr:from>
    <xdr:to>
      <xdr:col>18</xdr:col>
      <xdr:colOff>1036474</xdr:colOff>
      <xdr:row>299</xdr:row>
      <xdr:rowOff>168798</xdr:rowOff>
    </xdr:to>
    <xdr:sp macro="" textlink="">
      <xdr:nvSpPr>
        <xdr:cNvPr id="14" name="四角形: 角を丸くする 13">
          <a:extLst>
            <a:ext uri="{FF2B5EF4-FFF2-40B4-BE49-F238E27FC236}">
              <a16:creationId xmlns:a16="http://schemas.microsoft.com/office/drawing/2014/main" id="{90AFE442-861A-4AEA-9DDE-1E1206934B59}"/>
            </a:ext>
          </a:extLst>
        </xdr:cNvPr>
        <xdr:cNvSpPr/>
      </xdr:nvSpPr>
      <xdr:spPr>
        <a:xfrm>
          <a:off x="13363495" y="347970313"/>
          <a:ext cx="5364079" cy="1127810"/>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会議名称などのリストや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組織部署名のリストなどは辞書として必要？</a:t>
          </a:r>
        </a:p>
      </xdr:txBody>
    </xdr:sp>
    <xdr:clientData/>
  </xdr:twoCellAnchor>
  <xdr:twoCellAnchor editAs="oneCell">
    <xdr:from>
      <xdr:col>1</xdr:col>
      <xdr:colOff>0</xdr:colOff>
      <xdr:row>308</xdr:row>
      <xdr:rowOff>0</xdr:rowOff>
    </xdr:from>
    <xdr:to>
      <xdr:col>17</xdr:col>
      <xdr:colOff>2683126</xdr:colOff>
      <xdr:row>345</xdr:row>
      <xdr:rowOff>81637</xdr:rowOff>
    </xdr:to>
    <xdr:pic>
      <xdr:nvPicPr>
        <xdr:cNvPr id="3" name="図 2">
          <a:extLst>
            <a:ext uri="{FF2B5EF4-FFF2-40B4-BE49-F238E27FC236}">
              <a16:creationId xmlns:a16="http://schemas.microsoft.com/office/drawing/2014/main" id="{3236630C-E249-4554-BF5F-9D5EC8CE120B}"/>
            </a:ext>
          </a:extLst>
        </xdr:cNvPr>
        <xdr:cNvPicPr>
          <a:picLocks noChangeAspect="1"/>
        </xdr:cNvPicPr>
      </xdr:nvPicPr>
      <xdr:blipFill>
        <a:blip xmlns:r="http://schemas.openxmlformats.org/officeDocument/2006/relationships" r:embed="rId1"/>
        <a:stretch>
          <a:fillRect/>
        </a:stretch>
      </xdr:blipFill>
      <xdr:spPr>
        <a:xfrm>
          <a:off x="308429" y="12745357"/>
          <a:ext cx="11545911" cy="6458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626643</xdr:colOff>
      <xdr:row>10</xdr:row>
      <xdr:rowOff>167104</xdr:rowOff>
    </xdr:from>
    <xdr:to>
      <xdr:col>15</xdr:col>
      <xdr:colOff>1545722</xdr:colOff>
      <xdr:row>20</xdr:row>
      <xdr:rowOff>317499</xdr:rowOff>
    </xdr:to>
    <xdr:sp macro="" textlink="">
      <xdr:nvSpPr>
        <xdr:cNvPr id="2" name="四角形: 角を丸くする 1">
          <a:extLst>
            <a:ext uri="{FF2B5EF4-FFF2-40B4-BE49-F238E27FC236}">
              <a16:creationId xmlns:a16="http://schemas.microsoft.com/office/drawing/2014/main" id="{7983622E-240A-6B3C-E8E4-3482CD18CEC6}"/>
            </a:ext>
          </a:extLst>
        </xdr:cNvPr>
        <xdr:cNvSpPr/>
      </xdr:nvSpPr>
      <xdr:spPr>
        <a:xfrm>
          <a:off x="8079538" y="4135854"/>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特売費はそもそも売上ではない！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また、この中で控除と控除外の特売費があるので</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仕分けが必要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endParaRPr kumimoji="1" lang="ja-JP" altLang="en-US"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14</xdr:col>
      <xdr:colOff>259013</xdr:colOff>
      <xdr:row>28</xdr:row>
      <xdr:rowOff>116974</xdr:rowOff>
    </xdr:from>
    <xdr:to>
      <xdr:col>15</xdr:col>
      <xdr:colOff>1178092</xdr:colOff>
      <xdr:row>29</xdr:row>
      <xdr:rowOff>434474</xdr:rowOff>
    </xdr:to>
    <xdr:sp macro="" textlink="">
      <xdr:nvSpPr>
        <xdr:cNvPr id="3" name="四角形: 角を丸くする 2">
          <a:extLst>
            <a:ext uri="{FF2B5EF4-FFF2-40B4-BE49-F238E27FC236}">
              <a16:creationId xmlns:a16="http://schemas.microsoft.com/office/drawing/2014/main" id="{FF064334-2B5A-478C-9C5B-04596A18001F}"/>
            </a:ext>
          </a:extLst>
        </xdr:cNvPr>
        <xdr:cNvSpPr/>
      </xdr:nvSpPr>
      <xdr:spPr>
        <a:xfrm>
          <a:off x="7711908" y="10611185"/>
          <a:ext cx="5364079" cy="835526"/>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特売費はそもそも売上ではない！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また、この中で控除と控除外の特売費があるので</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仕分けが必要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endParaRPr kumimoji="1" lang="ja-JP" altLang="en-US"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14</xdr:col>
      <xdr:colOff>375987</xdr:colOff>
      <xdr:row>37</xdr:row>
      <xdr:rowOff>459539</xdr:rowOff>
    </xdr:from>
    <xdr:to>
      <xdr:col>15</xdr:col>
      <xdr:colOff>1295066</xdr:colOff>
      <xdr:row>44</xdr:row>
      <xdr:rowOff>50131</xdr:rowOff>
    </xdr:to>
    <xdr:sp macro="" textlink="">
      <xdr:nvSpPr>
        <xdr:cNvPr id="4" name="四角形: 角を丸くする 3">
          <a:extLst>
            <a:ext uri="{FF2B5EF4-FFF2-40B4-BE49-F238E27FC236}">
              <a16:creationId xmlns:a16="http://schemas.microsoft.com/office/drawing/2014/main" id="{C52C9FE4-B5E5-4A5E-B266-05E4842F2333}"/>
            </a:ext>
          </a:extLst>
        </xdr:cNvPr>
        <xdr:cNvSpPr/>
      </xdr:nvSpPr>
      <xdr:spPr>
        <a:xfrm>
          <a:off x="7828882" y="15599276"/>
          <a:ext cx="5364079" cy="5080000"/>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原価ではない！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運賃保管料の各種費用項目である。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一次物流・二次物流・保管料・荷役などに分類される。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経費（勘定科目）マスタとかないのか？？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経理確認であるのでは？</a:t>
          </a:r>
        </a:p>
      </xdr:txBody>
    </xdr:sp>
    <xdr:clientData/>
  </xdr:twoCellAnchor>
  <xdr:twoCellAnchor>
    <xdr:from>
      <xdr:col>14</xdr:col>
      <xdr:colOff>125329</xdr:colOff>
      <xdr:row>102</xdr:row>
      <xdr:rowOff>108619</xdr:rowOff>
    </xdr:from>
    <xdr:to>
      <xdr:col>15</xdr:col>
      <xdr:colOff>1044408</xdr:colOff>
      <xdr:row>111</xdr:row>
      <xdr:rowOff>33422</xdr:rowOff>
    </xdr:to>
    <xdr:sp macro="" textlink="">
      <xdr:nvSpPr>
        <xdr:cNvPr id="5" name="四角形: 角を丸くする 4">
          <a:extLst>
            <a:ext uri="{FF2B5EF4-FFF2-40B4-BE49-F238E27FC236}">
              <a16:creationId xmlns:a16="http://schemas.microsoft.com/office/drawing/2014/main" id="{B445027C-6B38-45DA-966A-D857A5550484}"/>
            </a:ext>
          </a:extLst>
        </xdr:cNvPr>
        <xdr:cNvSpPr/>
      </xdr:nvSpPr>
      <xdr:spPr>
        <a:xfrm>
          <a:off x="7578224" y="43957040"/>
          <a:ext cx="5364079" cy="2523290"/>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経理確認案件</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BS/CF</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項目</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おそらく社内ルールなどありそう</a:t>
          </a:r>
        </a:p>
      </xdr:txBody>
    </xdr:sp>
    <xdr:clientData/>
  </xdr:twoCellAnchor>
  <xdr:twoCellAnchor>
    <xdr:from>
      <xdr:col>14</xdr:col>
      <xdr:colOff>100263</xdr:colOff>
      <xdr:row>185</xdr:row>
      <xdr:rowOff>75197</xdr:rowOff>
    </xdr:from>
    <xdr:to>
      <xdr:col>15</xdr:col>
      <xdr:colOff>1019342</xdr:colOff>
      <xdr:row>194</xdr:row>
      <xdr:rowOff>208881</xdr:rowOff>
    </xdr:to>
    <xdr:sp macro="" textlink="">
      <xdr:nvSpPr>
        <xdr:cNvPr id="6" name="四角形: 角を丸くする 5">
          <a:extLst>
            <a:ext uri="{FF2B5EF4-FFF2-40B4-BE49-F238E27FC236}">
              <a16:creationId xmlns:a16="http://schemas.microsoft.com/office/drawing/2014/main" id="{03C8B61F-0677-457A-9567-DB3414593AAF}"/>
            </a:ext>
          </a:extLst>
        </xdr:cNvPr>
        <xdr:cNvSpPr/>
      </xdr:nvSpPr>
      <xdr:spPr>
        <a:xfrm>
          <a:off x="7553158" y="82825723"/>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ここから営業部門ないしはマーケ</a:t>
          </a:r>
        </a:p>
      </xdr:txBody>
    </xdr:sp>
    <xdr:clientData/>
  </xdr:twoCellAnchor>
  <xdr:twoCellAnchor>
    <xdr:from>
      <xdr:col>14</xdr:col>
      <xdr:colOff>66842</xdr:colOff>
      <xdr:row>112</xdr:row>
      <xdr:rowOff>208882</xdr:rowOff>
    </xdr:from>
    <xdr:to>
      <xdr:col>15</xdr:col>
      <xdr:colOff>985921</xdr:colOff>
      <xdr:row>118</xdr:row>
      <xdr:rowOff>676777</xdr:rowOff>
    </xdr:to>
    <xdr:sp macro="" textlink="">
      <xdr:nvSpPr>
        <xdr:cNvPr id="7" name="四角形: 角を丸くする 6">
          <a:extLst>
            <a:ext uri="{FF2B5EF4-FFF2-40B4-BE49-F238E27FC236}">
              <a16:creationId xmlns:a16="http://schemas.microsoft.com/office/drawing/2014/main" id="{A1C7FFFD-49F1-4FB2-863D-907CC9D80057}"/>
            </a:ext>
          </a:extLst>
        </xdr:cNvPr>
        <xdr:cNvSpPr/>
      </xdr:nvSpPr>
      <xdr:spPr>
        <a:xfrm>
          <a:off x="7519737" y="46831250"/>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ここから生産</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項目多くて生産戦略がいいのか、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工場経理系がいいのか？</a:t>
          </a:r>
        </a:p>
      </xdr:txBody>
    </xdr:sp>
    <xdr:clientData/>
  </xdr:twoCellAnchor>
  <xdr:twoCellAnchor>
    <xdr:from>
      <xdr:col>14</xdr:col>
      <xdr:colOff>83553</xdr:colOff>
      <xdr:row>365</xdr:row>
      <xdr:rowOff>142040</xdr:rowOff>
    </xdr:from>
    <xdr:to>
      <xdr:col>15</xdr:col>
      <xdr:colOff>1002632</xdr:colOff>
      <xdr:row>372</xdr:row>
      <xdr:rowOff>267370</xdr:rowOff>
    </xdr:to>
    <xdr:sp macro="" textlink="">
      <xdr:nvSpPr>
        <xdr:cNvPr id="10" name="四角形: 角を丸くする 9">
          <a:extLst>
            <a:ext uri="{FF2B5EF4-FFF2-40B4-BE49-F238E27FC236}">
              <a16:creationId xmlns:a16="http://schemas.microsoft.com/office/drawing/2014/main" id="{4BC81923-70A5-4AAD-95C5-6BCB8FB823DE}"/>
            </a:ext>
          </a:extLst>
        </xdr:cNvPr>
        <xdr:cNvSpPr/>
      </xdr:nvSpPr>
      <xdr:spPr>
        <a:xfrm>
          <a:off x="7536448" y="162150593"/>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ここの商品名・ブランドはいらない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毎年商品などの紐付けが変わるため、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毎年定義を変更しないといけない。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どのようなマスタ連携が必要かなど議論が必要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ラインなどは管理必要あるのかも議論</a:t>
          </a:r>
        </a:p>
      </xdr:txBody>
    </xdr:sp>
    <xdr:clientData/>
  </xdr:twoCellAnchor>
  <xdr:twoCellAnchor>
    <xdr:from>
      <xdr:col>14</xdr:col>
      <xdr:colOff>0</xdr:colOff>
      <xdr:row>459</xdr:row>
      <xdr:rowOff>0</xdr:rowOff>
    </xdr:from>
    <xdr:to>
      <xdr:col>15</xdr:col>
      <xdr:colOff>919079</xdr:colOff>
      <xdr:row>467</xdr:row>
      <xdr:rowOff>300790</xdr:rowOff>
    </xdr:to>
    <xdr:sp macro="" textlink="">
      <xdr:nvSpPr>
        <xdr:cNvPr id="11" name="四角形: 角を丸くする 10">
          <a:extLst>
            <a:ext uri="{FF2B5EF4-FFF2-40B4-BE49-F238E27FC236}">
              <a16:creationId xmlns:a16="http://schemas.microsoft.com/office/drawing/2014/main" id="{6B4BD89A-A746-4999-9803-0E21C9279055}"/>
            </a:ext>
          </a:extLst>
        </xdr:cNvPr>
        <xdr:cNvSpPr/>
      </xdr:nvSpPr>
      <xdr:spPr>
        <a:xfrm>
          <a:off x="7452895" y="211020526"/>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市販用や重点・主力ブランドなど</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商品の区分は定義づけ必要</a:t>
          </a:r>
        </a:p>
      </xdr:txBody>
    </xdr:sp>
    <xdr:clientData/>
  </xdr:twoCellAnchor>
  <xdr:twoCellAnchor>
    <xdr:from>
      <xdr:col>14</xdr:col>
      <xdr:colOff>0</xdr:colOff>
      <xdr:row>329</xdr:row>
      <xdr:rowOff>0</xdr:rowOff>
    </xdr:from>
    <xdr:to>
      <xdr:col>15</xdr:col>
      <xdr:colOff>919079</xdr:colOff>
      <xdr:row>343</xdr:row>
      <xdr:rowOff>100263</xdr:rowOff>
    </xdr:to>
    <xdr:sp macro="" textlink="">
      <xdr:nvSpPr>
        <xdr:cNvPr id="13" name="四角形: 角を丸くする 12">
          <a:extLst>
            <a:ext uri="{FF2B5EF4-FFF2-40B4-BE49-F238E27FC236}">
              <a16:creationId xmlns:a16="http://schemas.microsoft.com/office/drawing/2014/main" id="{E702FAB9-74D4-4B97-A6BB-8A4B304B0308}"/>
            </a:ext>
          </a:extLst>
        </xdr:cNvPr>
        <xdr:cNvSpPr/>
      </xdr:nvSpPr>
      <xdr:spPr>
        <a:xfrm>
          <a:off x="7452895" y="150762368"/>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チャネル区分はもっと細かいので整理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営業部門と他部門で違うのか？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菓子とアイスでも違うので要確認</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マスタ管理したい</a:t>
          </a:r>
        </a:p>
      </xdr:txBody>
    </xdr:sp>
    <xdr:clientData/>
  </xdr:twoCellAnchor>
  <xdr:twoCellAnchor>
    <xdr:from>
      <xdr:col>14</xdr:col>
      <xdr:colOff>0</xdr:colOff>
      <xdr:row>642</xdr:row>
      <xdr:rowOff>0</xdr:rowOff>
    </xdr:from>
    <xdr:to>
      <xdr:col>15</xdr:col>
      <xdr:colOff>919079</xdr:colOff>
      <xdr:row>648</xdr:row>
      <xdr:rowOff>309145</xdr:rowOff>
    </xdr:to>
    <xdr:sp macro="" textlink="">
      <xdr:nvSpPr>
        <xdr:cNvPr id="14" name="四角形: 角を丸くする 13">
          <a:extLst>
            <a:ext uri="{FF2B5EF4-FFF2-40B4-BE49-F238E27FC236}">
              <a16:creationId xmlns:a16="http://schemas.microsoft.com/office/drawing/2014/main" id="{5B03D0FA-1FF5-4D68-97B8-6F47F1740375}"/>
            </a:ext>
          </a:extLst>
        </xdr:cNvPr>
        <xdr:cNvSpPr/>
      </xdr:nvSpPr>
      <xdr:spPr>
        <a:xfrm>
          <a:off x="7452895" y="288899934"/>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品番系もチェックしたい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用語がいろいろあるはず</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販売ではない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14</xdr:col>
      <xdr:colOff>0</xdr:colOff>
      <xdr:row>696</xdr:row>
      <xdr:rowOff>0</xdr:rowOff>
    </xdr:from>
    <xdr:to>
      <xdr:col>15</xdr:col>
      <xdr:colOff>919079</xdr:colOff>
      <xdr:row>705</xdr:row>
      <xdr:rowOff>284079</xdr:rowOff>
    </xdr:to>
    <xdr:sp macro="" textlink="">
      <xdr:nvSpPr>
        <xdr:cNvPr id="15" name="四角形: 角を丸くする 14">
          <a:extLst>
            <a:ext uri="{FF2B5EF4-FFF2-40B4-BE49-F238E27FC236}">
              <a16:creationId xmlns:a16="http://schemas.microsoft.com/office/drawing/2014/main" id="{118E45F4-4C85-41C4-955E-C2BF74015D04}"/>
            </a:ext>
          </a:extLst>
        </xdr:cNvPr>
        <xdr:cNvSpPr/>
      </xdr:nvSpPr>
      <xdr:spPr>
        <a:xfrm>
          <a:off x="7452895" y="311500921"/>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プラントはリストで管理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SCM</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に要確認</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twoCellAnchor>
    <xdr:from>
      <xdr:col>14</xdr:col>
      <xdr:colOff>0</xdr:colOff>
      <xdr:row>744</xdr:row>
      <xdr:rowOff>0</xdr:rowOff>
    </xdr:from>
    <xdr:to>
      <xdr:col>15</xdr:col>
      <xdr:colOff>919079</xdr:colOff>
      <xdr:row>755</xdr:row>
      <xdr:rowOff>116974</xdr:rowOff>
    </xdr:to>
    <xdr:sp macro="" textlink="">
      <xdr:nvSpPr>
        <xdr:cNvPr id="16" name="四角形: 角を丸くする 15">
          <a:extLst>
            <a:ext uri="{FF2B5EF4-FFF2-40B4-BE49-F238E27FC236}">
              <a16:creationId xmlns:a16="http://schemas.microsoft.com/office/drawing/2014/main" id="{659CA6D2-3B6D-4534-9405-6BCF58C03DB3}"/>
            </a:ext>
          </a:extLst>
        </xdr:cNvPr>
        <xdr:cNvSpPr/>
      </xdr:nvSpPr>
      <xdr:spPr>
        <a:xfrm>
          <a:off x="7452895" y="332364013"/>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システムに関しては</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ICT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で一括に確認してもらったほうがいい？？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各部門で確認してもらってもいいが、、、</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全て</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ICT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把握が基本か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そもそも</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Saas</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のリストなどあるのでは？</a:t>
          </a:r>
        </a:p>
      </xdr:txBody>
    </xdr:sp>
    <xdr:clientData/>
  </xdr:twoCellAnchor>
  <xdr:twoCellAnchor>
    <xdr:from>
      <xdr:col>14</xdr:col>
      <xdr:colOff>0</xdr:colOff>
      <xdr:row>777</xdr:row>
      <xdr:rowOff>0</xdr:rowOff>
    </xdr:from>
    <xdr:to>
      <xdr:col>15</xdr:col>
      <xdr:colOff>919079</xdr:colOff>
      <xdr:row>788</xdr:row>
      <xdr:rowOff>125329</xdr:rowOff>
    </xdr:to>
    <xdr:sp macro="" textlink="">
      <xdr:nvSpPr>
        <xdr:cNvPr id="17" name="四角形: 角を丸くする 16">
          <a:extLst>
            <a:ext uri="{FF2B5EF4-FFF2-40B4-BE49-F238E27FC236}">
              <a16:creationId xmlns:a16="http://schemas.microsoft.com/office/drawing/2014/main" id="{6F5C683A-FED6-458B-BA4F-9809EA2E8A80}"/>
            </a:ext>
          </a:extLst>
        </xdr:cNvPr>
        <xdr:cNvSpPr/>
      </xdr:nvSpPr>
      <xdr:spPr>
        <a:xfrm>
          <a:off x="7452895" y="343092171"/>
          <a:ext cx="5364079" cy="357605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会議名称などのリストや</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組織部署名のリストなどは辞書として必要？</a:t>
          </a:r>
        </a:p>
      </xdr:txBody>
    </xdr:sp>
    <xdr:clientData/>
  </xdr:twoCellAnchor>
  <xdr:twoCellAnchor>
    <xdr:from>
      <xdr:col>9</xdr:col>
      <xdr:colOff>136072</xdr:colOff>
      <xdr:row>799</xdr:row>
      <xdr:rowOff>90715</xdr:rowOff>
    </xdr:from>
    <xdr:to>
      <xdr:col>12</xdr:col>
      <xdr:colOff>1535937</xdr:colOff>
      <xdr:row>829</xdr:row>
      <xdr:rowOff>18144</xdr:rowOff>
    </xdr:to>
    <xdr:sp macro="" textlink="">
      <xdr:nvSpPr>
        <xdr:cNvPr id="18" name="四角形: 角を丸くする 17">
          <a:extLst>
            <a:ext uri="{FF2B5EF4-FFF2-40B4-BE49-F238E27FC236}">
              <a16:creationId xmlns:a16="http://schemas.microsoft.com/office/drawing/2014/main" id="{66172E88-420C-4050-B2BC-0E7C001C3D49}"/>
            </a:ext>
          </a:extLst>
        </xdr:cNvPr>
        <xdr:cNvSpPr/>
      </xdr:nvSpPr>
      <xdr:spPr>
        <a:xfrm>
          <a:off x="5624286" y="349295358"/>
          <a:ext cx="4810722" cy="5098143"/>
        </a:xfrm>
        <a:prstGeom prst="roundRect">
          <a:avLst/>
        </a:prstGeom>
        <a:solidFill>
          <a:schemeClr val="bg2">
            <a:lumMod val="75000"/>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追加で必要なものは</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経営戦略</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事業予算関係・グル責関係・投資ルール・モニタリング</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営業</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得意先</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企業・卸</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リスト・統括支店・支店リスト・販売費詳細</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生産・資材</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原料・包材リスト・調達先・外注リスト・製造ライン</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【SCM】</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プラント</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備蓄倉庫・営業倉庫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リスト・</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マーケ</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商品マスタ・宣伝・</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EC</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関連・</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研究</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経理</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勘定科目リスト・</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PL</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ロジック・配賦ロジック・</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総務</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規程・決裁権限区分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人事</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業務分掌・</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グローバル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【ICT】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システム一覧</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サステナ</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ミライチャレンジ</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(KPI)</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・サステナビリティレポート</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ウェルネス</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新領域</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課のミッション評価で主要</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KPI</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は集まる？？（人事からもらう）</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経営ダッシュボードに関わるものだけにどう絞るか？（優先順位づけと）</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部門別に何が過不足化をどう判断するか？（部門判断できる？？）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⇒経営ダッシュボードの説明（何を実現したいか！）</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　経営ダッシュボード⇒</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9</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つのユースケース</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⇒経営ダッシュボードフラグと確認部門欄は必要</a:t>
          </a:r>
          <a:endParaRPr kumimoji="1" lang="en-US" altLang="ja-JP" sz="1100">
            <a:solidFill>
              <a:sysClr val="windowText" lastClr="000000"/>
            </a:solidFill>
            <a:latin typeface="BIZ UDPゴシック" panose="020B0400000000000000" pitchFamily="50" charset="-128"/>
            <a:ea typeface="BIZ UDPゴシック" panose="020B0400000000000000" pitchFamily="50" charset="-128"/>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a:ea typeface=""/>
        <a:cs typeface="Meiryo"/>
      </a:majorFont>
      <a:minorFont>
        <a:latin typeface="Meiryo"/>
        <a:ea typeface=""/>
        <a:cs typeface="Meiryo"/>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9931-C1C0-42E3-BDC0-733BD77D7F95}">
  <sheetPr filterMode="1">
    <tabColor theme="1"/>
  </sheetPr>
  <dimension ref="A2:AL350"/>
  <sheetViews>
    <sheetView showGridLines="0" zoomScale="60" zoomScaleNormal="60" workbookViewId="0">
      <pane xSplit="16" ySplit="3" topLeftCell="AI4" activePane="bottomRight" state="frozen"/>
      <selection pane="topRight" activeCell="F1" sqref="F1"/>
      <selection pane="bottomLeft" activeCell="A4" sqref="A4"/>
      <selection pane="bottomRight" activeCell="AJ9" sqref="AJ9"/>
    </sheetView>
  </sheetViews>
  <sheetFormatPr defaultColWidth="8.5703125" defaultRowHeight="13.5" outlineLevelCol="1"/>
  <cols>
    <col min="1" max="1" width="3.42578125" style="4" customWidth="1"/>
    <col min="2" max="2" width="5.42578125" style="124" customWidth="1"/>
    <col min="3" max="3" width="8.5703125" style="124" customWidth="1" outlineLevel="1"/>
    <col min="4" max="4" width="8.5703125" style="124" hidden="1" customWidth="1" outlineLevel="1"/>
    <col min="5" max="10" width="6.42578125" style="124" hidden="1" customWidth="1" outlineLevel="1"/>
    <col min="11" max="13" width="8.35546875" style="96" customWidth="1"/>
    <col min="14" max="16" width="22" style="96" customWidth="1"/>
    <col min="17" max="17" width="18" style="124" customWidth="1"/>
    <col min="18" max="18" width="50" style="4" customWidth="1"/>
    <col min="19" max="19" width="30" style="4" customWidth="1"/>
    <col min="20" max="20" width="12" style="4" customWidth="1"/>
    <col min="21" max="25" width="13.640625" style="4" customWidth="1"/>
    <col min="26" max="26" width="13.640625" style="4" customWidth="1" collapsed="1"/>
    <col min="27" max="30" width="13.640625" style="4" customWidth="1"/>
    <col min="31" max="31" width="10.42578125" style="4" customWidth="1"/>
    <col min="32" max="32" width="8.5" style="187" customWidth="1"/>
    <col min="33" max="33" width="8.5" style="4" customWidth="1"/>
    <col min="34" max="34" width="15.42578125" style="187" customWidth="1"/>
    <col min="35" max="37" width="32" style="4" customWidth="1"/>
    <col min="38" max="38" width="8.5703125" style="4" customWidth="1"/>
    <col min="39" max="16384" width="8.5703125" style="4"/>
  </cols>
  <sheetData>
    <row r="2" spans="2:38" ht="27">
      <c r="B2" s="5" t="s">
        <v>96</v>
      </c>
      <c r="C2" s="5" t="s">
        <v>3337</v>
      </c>
      <c r="D2" s="5" t="s">
        <v>3338</v>
      </c>
      <c r="E2" s="5" t="s">
        <v>3339</v>
      </c>
      <c r="F2" s="5" t="s">
        <v>3340</v>
      </c>
      <c r="G2" s="5" t="s">
        <v>3341</v>
      </c>
      <c r="H2" s="5" t="s">
        <v>3342</v>
      </c>
      <c r="I2" s="5" t="s">
        <v>3343</v>
      </c>
      <c r="J2" s="5" t="s">
        <v>3344</v>
      </c>
      <c r="K2" s="5" t="s">
        <v>2107</v>
      </c>
      <c r="L2" s="5" t="s">
        <v>3345</v>
      </c>
      <c r="M2" s="5" t="s">
        <v>3346</v>
      </c>
      <c r="N2" s="5" t="s">
        <v>3617</v>
      </c>
      <c r="O2" s="5" t="s">
        <v>3347</v>
      </c>
      <c r="P2" s="5" t="s">
        <v>3643</v>
      </c>
      <c r="Q2" s="5" t="s">
        <v>100</v>
      </c>
      <c r="R2" s="5" t="s">
        <v>101</v>
      </c>
      <c r="S2" s="5" t="s">
        <v>102</v>
      </c>
      <c r="T2" s="5" t="s">
        <v>103</v>
      </c>
      <c r="U2" s="6" t="s">
        <v>104</v>
      </c>
      <c r="V2" s="6"/>
      <c r="W2" s="6"/>
      <c r="X2" s="6"/>
      <c r="Y2" s="7"/>
      <c r="Z2" s="8" t="s">
        <v>105</v>
      </c>
      <c r="AA2" s="6"/>
      <c r="AB2" s="6"/>
      <c r="AC2" s="6"/>
      <c r="AD2" s="6"/>
      <c r="AE2" s="24"/>
      <c r="AF2" s="31"/>
      <c r="AG2" s="29"/>
      <c r="AH2" s="26" t="s">
        <v>2975</v>
      </c>
      <c r="AI2" s="22" t="s">
        <v>2083</v>
      </c>
      <c r="AJ2" s="22"/>
      <c r="AK2" s="23"/>
      <c r="AL2" s="3" t="s">
        <v>1583</v>
      </c>
    </row>
    <row r="3" spans="2:38" ht="27">
      <c r="B3" s="9"/>
      <c r="C3" s="9"/>
      <c r="D3" s="9"/>
      <c r="E3" s="9"/>
      <c r="F3" s="9"/>
      <c r="G3" s="9"/>
      <c r="H3" s="9"/>
      <c r="I3" s="9"/>
      <c r="J3" s="9"/>
      <c r="K3" s="9"/>
      <c r="L3" s="9"/>
      <c r="M3" s="9"/>
      <c r="N3" s="9"/>
      <c r="O3" s="9"/>
      <c r="P3" s="9"/>
      <c r="Q3" s="9"/>
      <c r="R3" s="9"/>
      <c r="S3" s="9"/>
      <c r="T3" s="9"/>
      <c r="U3" s="10" t="s">
        <v>106</v>
      </c>
      <c r="V3" s="10" t="s">
        <v>107</v>
      </c>
      <c r="W3" s="10" t="s">
        <v>108</v>
      </c>
      <c r="X3" s="10" t="s">
        <v>2460</v>
      </c>
      <c r="Y3" s="11" t="s">
        <v>110</v>
      </c>
      <c r="Z3" s="12" t="s">
        <v>106</v>
      </c>
      <c r="AA3" s="10" t="s">
        <v>107</v>
      </c>
      <c r="AB3" s="10" t="s">
        <v>108</v>
      </c>
      <c r="AC3" s="10" t="s">
        <v>109</v>
      </c>
      <c r="AD3" s="10" t="s">
        <v>110</v>
      </c>
      <c r="AE3" s="25" t="s">
        <v>1584</v>
      </c>
      <c r="AF3" s="32" t="s">
        <v>2978</v>
      </c>
      <c r="AG3" s="30" t="s">
        <v>2979</v>
      </c>
      <c r="AH3" s="27" t="s">
        <v>2976</v>
      </c>
      <c r="AI3" s="28" t="s">
        <v>2977</v>
      </c>
      <c r="AJ3" s="28" t="s">
        <v>102</v>
      </c>
      <c r="AK3" s="28" t="s">
        <v>103</v>
      </c>
      <c r="AL3" s="3" t="s">
        <v>1583</v>
      </c>
    </row>
    <row r="4" spans="2:38" ht="27">
      <c r="B4" s="144">
        <f>ROW()-3</f>
        <v>1</v>
      </c>
      <c r="C4" s="148" t="s">
        <v>3731</v>
      </c>
      <c r="D4" s="148"/>
      <c r="E4" s="148"/>
      <c r="F4" s="148"/>
      <c r="G4" s="148"/>
      <c r="H4" s="148"/>
      <c r="I4" s="148"/>
      <c r="J4" s="148"/>
      <c r="K4" s="165" t="s">
        <v>3659</v>
      </c>
      <c r="L4" s="65" t="s">
        <v>3644</v>
      </c>
      <c r="M4" s="65" t="s">
        <v>3684</v>
      </c>
      <c r="N4" s="65" t="s">
        <v>3304</v>
      </c>
      <c r="O4" s="65" t="s">
        <v>111</v>
      </c>
      <c r="P4" s="65" t="s">
        <v>111</v>
      </c>
      <c r="Q4" s="54" t="s">
        <v>112</v>
      </c>
      <c r="R4" s="41" t="s">
        <v>2196</v>
      </c>
      <c r="S4" s="41" t="s">
        <v>2197</v>
      </c>
      <c r="T4" s="41" t="s">
        <v>192</v>
      </c>
      <c r="U4" s="41" t="s">
        <v>113</v>
      </c>
      <c r="V4" s="41" t="s">
        <v>139</v>
      </c>
      <c r="W4" s="41" t="s">
        <v>139</v>
      </c>
      <c r="X4" s="41" t="s">
        <v>2198</v>
      </c>
      <c r="Y4" s="42" t="s">
        <v>1914</v>
      </c>
      <c r="Z4" s="53" t="s">
        <v>114</v>
      </c>
      <c r="AA4" s="54" t="s">
        <v>139</v>
      </c>
      <c r="AB4" s="54" t="s">
        <v>139</v>
      </c>
      <c r="AC4" s="54" t="s">
        <v>2199</v>
      </c>
      <c r="AD4" s="54" t="s">
        <v>1912</v>
      </c>
      <c r="AE4" s="55"/>
      <c r="AF4" s="195" t="s">
        <v>3992</v>
      </c>
      <c r="AG4" s="56"/>
      <c r="AH4" s="188">
        <v>1</v>
      </c>
      <c r="AI4" s="41" t="s">
        <v>3734</v>
      </c>
      <c r="AJ4" s="41" t="s">
        <v>3735</v>
      </c>
      <c r="AK4" s="56" t="s">
        <v>1645</v>
      </c>
      <c r="AL4" s="3" t="s">
        <v>1582</v>
      </c>
    </row>
    <row r="5" spans="2:38" ht="40.5" hidden="1">
      <c r="B5" s="144">
        <f t="shared" ref="B5:B71" si="0">ROW()-3</f>
        <v>2</v>
      </c>
      <c r="C5" s="148" t="s">
        <v>3732</v>
      </c>
      <c r="D5" s="148"/>
      <c r="E5" s="148"/>
      <c r="F5" s="148"/>
      <c r="G5" s="148"/>
      <c r="H5" s="148"/>
      <c r="I5" s="148"/>
      <c r="J5" s="148"/>
      <c r="K5" s="165" t="s">
        <v>3659</v>
      </c>
      <c r="L5" s="65" t="s">
        <v>3644</v>
      </c>
      <c r="M5" s="65" t="s">
        <v>3684</v>
      </c>
      <c r="N5" s="65" t="s">
        <v>3304</v>
      </c>
      <c r="O5" s="65" t="s">
        <v>111</v>
      </c>
      <c r="P5" s="65" t="s">
        <v>2960</v>
      </c>
      <c r="Q5" s="54" t="s">
        <v>1637</v>
      </c>
      <c r="R5" s="41" t="s">
        <v>2961</v>
      </c>
      <c r="S5" s="41" t="s">
        <v>3615</v>
      </c>
      <c r="T5" s="41" t="s">
        <v>1645</v>
      </c>
      <c r="U5" s="41" t="s">
        <v>2963</v>
      </c>
      <c r="V5" s="41" t="s">
        <v>139</v>
      </c>
      <c r="W5" s="41" t="s">
        <v>139</v>
      </c>
      <c r="X5" s="41" t="s">
        <v>139</v>
      </c>
      <c r="Y5" s="42" t="s">
        <v>139</v>
      </c>
      <c r="Z5" s="53" t="s">
        <v>2935</v>
      </c>
      <c r="AA5" s="54" t="s">
        <v>139</v>
      </c>
      <c r="AB5" s="54" t="s">
        <v>139</v>
      </c>
      <c r="AC5" s="54" t="s">
        <v>139</v>
      </c>
      <c r="AD5" s="54" t="s">
        <v>139</v>
      </c>
      <c r="AE5" s="55"/>
      <c r="AF5" s="56"/>
      <c r="AG5" s="56"/>
      <c r="AH5" s="57"/>
      <c r="AI5" s="56"/>
      <c r="AJ5" s="56"/>
      <c r="AK5" s="56"/>
      <c r="AL5" s="3" t="s">
        <v>1582</v>
      </c>
    </row>
    <row r="6" spans="2:38" ht="40.5">
      <c r="B6" s="144">
        <f t="shared" si="0"/>
        <v>3</v>
      </c>
      <c r="C6" s="148" t="s">
        <v>3731</v>
      </c>
      <c r="D6" s="148"/>
      <c r="E6" s="148"/>
      <c r="F6" s="148"/>
      <c r="G6" s="148"/>
      <c r="H6" s="148"/>
      <c r="I6" s="148"/>
      <c r="J6" s="148"/>
      <c r="K6" s="165" t="s">
        <v>3659</v>
      </c>
      <c r="L6" s="65" t="s">
        <v>3644</v>
      </c>
      <c r="M6" s="65" t="s">
        <v>3684</v>
      </c>
      <c r="N6" s="65" t="s">
        <v>3304</v>
      </c>
      <c r="O6" s="65" t="s">
        <v>3360</v>
      </c>
      <c r="P6" s="65" t="s">
        <v>2230</v>
      </c>
      <c r="Q6" s="54" t="s">
        <v>2229</v>
      </c>
      <c r="R6" s="41" t="s">
        <v>2200</v>
      </c>
      <c r="S6" s="41" t="s">
        <v>115</v>
      </c>
      <c r="T6" s="41" t="s">
        <v>192</v>
      </c>
      <c r="U6" s="41" t="s">
        <v>116</v>
      </c>
      <c r="V6" s="41" t="s">
        <v>2723</v>
      </c>
      <c r="W6" s="41" t="s">
        <v>139</v>
      </c>
      <c r="X6" s="41" t="s">
        <v>139</v>
      </c>
      <c r="Y6" s="42" t="s">
        <v>1914</v>
      </c>
      <c r="Z6" s="53" t="s">
        <v>117</v>
      </c>
      <c r="AA6" s="54" t="s">
        <v>1261</v>
      </c>
      <c r="AB6" s="54" t="s">
        <v>139</v>
      </c>
      <c r="AC6" s="54" t="s">
        <v>139</v>
      </c>
      <c r="AD6" s="54" t="s">
        <v>2014</v>
      </c>
      <c r="AE6" s="55"/>
      <c r="AF6" s="195" t="s">
        <v>3992</v>
      </c>
      <c r="AG6" s="56"/>
      <c r="AH6" s="188">
        <v>1</v>
      </c>
      <c r="AI6" s="41" t="s">
        <v>3760</v>
      </c>
      <c r="AJ6" s="41" t="s">
        <v>3759</v>
      </c>
      <c r="AK6" s="41" t="s">
        <v>192</v>
      </c>
      <c r="AL6" s="3" t="s">
        <v>1582</v>
      </c>
    </row>
    <row r="7" spans="2:38" ht="27">
      <c r="B7" s="144">
        <f t="shared" si="0"/>
        <v>4</v>
      </c>
      <c r="C7" s="148" t="s">
        <v>3731</v>
      </c>
      <c r="D7" s="148"/>
      <c r="E7" s="148"/>
      <c r="F7" s="148"/>
      <c r="G7" s="148"/>
      <c r="H7" s="148"/>
      <c r="I7" s="148"/>
      <c r="J7" s="148"/>
      <c r="K7" s="165" t="s">
        <v>3659</v>
      </c>
      <c r="L7" s="65" t="s">
        <v>3644</v>
      </c>
      <c r="M7" s="65" t="s">
        <v>3684</v>
      </c>
      <c r="N7" s="65" t="s">
        <v>3304</v>
      </c>
      <c r="O7" s="165" t="s">
        <v>3613</v>
      </c>
      <c r="P7" s="165" t="s">
        <v>1654</v>
      </c>
      <c r="Q7" s="126" t="s">
        <v>3304</v>
      </c>
      <c r="R7" s="40" t="s">
        <v>1653</v>
      </c>
      <c r="S7" s="62"/>
      <c r="T7" s="40" t="s">
        <v>1645</v>
      </c>
      <c r="U7" s="41" t="s">
        <v>139</v>
      </c>
      <c r="V7" s="41" t="s">
        <v>139</v>
      </c>
      <c r="W7" s="41" t="s">
        <v>139</v>
      </c>
      <c r="X7" s="41" t="s">
        <v>139</v>
      </c>
      <c r="Y7" s="42" t="s">
        <v>302</v>
      </c>
      <c r="Z7" s="43" t="s">
        <v>139</v>
      </c>
      <c r="AA7" s="41" t="s">
        <v>139</v>
      </c>
      <c r="AB7" s="41" t="s">
        <v>139</v>
      </c>
      <c r="AC7" s="41" t="s">
        <v>139</v>
      </c>
      <c r="AD7" s="41" t="s">
        <v>1600</v>
      </c>
      <c r="AE7" s="44"/>
      <c r="AF7" s="196"/>
      <c r="AG7" s="45"/>
      <c r="AH7" s="189"/>
      <c r="AI7" s="45"/>
      <c r="AJ7" s="45"/>
      <c r="AK7" s="45"/>
      <c r="AL7" s="3" t="s">
        <v>1582</v>
      </c>
    </row>
    <row r="8" spans="2:38" ht="27" hidden="1">
      <c r="B8" s="144">
        <f t="shared" si="0"/>
        <v>5</v>
      </c>
      <c r="C8" s="148" t="s">
        <v>3732</v>
      </c>
      <c r="D8" s="148"/>
      <c r="E8" s="148"/>
      <c r="F8" s="148"/>
      <c r="G8" s="148"/>
      <c r="H8" s="148"/>
      <c r="I8" s="148"/>
      <c r="J8" s="148"/>
      <c r="K8" s="165" t="s">
        <v>3659</v>
      </c>
      <c r="L8" s="65" t="s">
        <v>3644</v>
      </c>
      <c r="M8" s="65" t="s">
        <v>3684</v>
      </c>
      <c r="N8" s="65" t="s">
        <v>3304</v>
      </c>
      <c r="O8" s="165" t="s">
        <v>3359</v>
      </c>
      <c r="P8" s="165" t="s">
        <v>3305</v>
      </c>
      <c r="Q8" s="126" t="s">
        <v>1039</v>
      </c>
      <c r="R8" s="40" t="s">
        <v>1603</v>
      </c>
      <c r="S8" s="40" t="s">
        <v>1040</v>
      </c>
      <c r="T8" s="40" t="s">
        <v>192</v>
      </c>
      <c r="U8" s="41" t="s">
        <v>139</v>
      </c>
      <c r="V8" s="41" t="s">
        <v>139</v>
      </c>
      <c r="W8" s="41" t="s">
        <v>139</v>
      </c>
      <c r="X8" s="41" t="s">
        <v>139</v>
      </c>
      <c r="Y8" s="42" t="s">
        <v>1041</v>
      </c>
      <c r="Z8" s="43" t="s">
        <v>139</v>
      </c>
      <c r="AA8" s="41" t="s">
        <v>139</v>
      </c>
      <c r="AB8" s="41" t="s">
        <v>139</v>
      </c>
      <c r="AC8" s="41" t="s">
        <v>139</v>
      </c>
      <c r="AD8" s="41" t="s">
        <v>1017</v>
      </c>
      <c r="AE8" s="44"/>
      <c r="AF8" s="45"/>
      <c r="AG8" s="45"/>
      <c r="AH8" s="46"/>
      <c r="AI8" s="45"/>
      <c r="AJ8" s="45"/>
      <c r="AK8" s="45"/>
      <c r="AL8" s="3" t="s">
        <v>1582</v>
      </c>
    </row>
    <row r="9" spans="2:38" ht="67.5">
      <c r="B9" s="144">
        <f t="shared" si="0"/>
        <v>6</v>
      </c>
      <c r="C9" s="148" t="s">
        <v>3731</v>
      </c>
      <c r="D9" s="148"/>
      <c r="E9" s="148"/>
      <c r="F9" s="148"/>
      <c r="G9" s="148"/>
      <c r="H9" s="148"/>
      <c r="I9" s="148"/>
      <c r="J9" s="148"/>
      <c r="K9" s="165" t="s">
        <v>3659</v>
      </c>
      <c r="L9" s="65" t="s">
        <v>3644</v>
      </c>
      <c r="M9" s="65" t="s">
        <v>3684</v>
      </c>
      <c r="N9" s="65" t="s">
        <v>3304</v>
      </c>
      <c r="O9" s="165" t="s">
        <v>1021</v>
      </c>
      <c r="P9" s="165" t="s">
        <v>1021</v>
      </c>
      <c r="Q9" s="126" t="s">
        <v>1022</v>
      </c>
      <c r="R9" s="40" t="s">
        <v>1023</v>
      </c>
      <c r="S9" s="40" t="s">
        <v>1587</v>
      </c>
      <c r="T9" s="40" t="s">
        <v>192</v>
      </c>
      <c r="U9" s="41" t="s">
        <v>139</v>
      </c>
      <c r="V9" s="41" t="s">
        <v>139</v>
      </c>
      <c r="W9" s="41" t="s">
        <v>139</v>
      </c>
      <c r="X9" s="41" t="s">
        <v>139</v>
      </c>
      <c r="Y9" s="42" t="s">
        <v>1024</v>
      </c>
      <c r="Z9" s="43" t="s">
        <v>139</v>
      </c>
      <c r="AA9" s="41" t="s">
        <v>139</v>
      </c>
      <c r="AB9" s="41" t="s">
        <v>139</v>
      </c>
      <c r="AC9" s="41" t="s">
        <v>139</v>
      </c>
      <c r="AD9" s="41" t="s">
        <v>1600</v>
      </c>
      <c r="AE9" s="44"/>
      <c r="AF9" s="196" t="s">
        <v>3993</v>
      </c>
      <c r="AG9" s="45"/>
      <c r="AH9" s="189">
        <v>1</v>
      </c>
      <c r="AI9" s="40" t="s">
        <v>1023</v>
      </c>
      <c r="AJ9" s="208" t="s">
        <v>3757</v>
      </c>
      <c r="AK9" s="40" t="s">
        <v>192</v>
      </c>
      <c r="AL9" s="3" t="s">
        <v>1582</v>
      </c>
    </row>
    <row r="10" spans="2:38" ht="27" hidden="1">
      <c r="B10" s="144">
        <f t="shared" si="0"/>
        <v>7</v>
      </c>
      <c r="C10" s="148" t="s">
        <v>3732</v>
      </c>
      <c r="D10" s="148"/>
      <c r="E10" s="148"/>
      <c r="F10" s="148"/>
      <c r="G10" s="148"/>
      <c r="H10" s="148"/>
      <c r="I10" s="148"/>
      <c r="J10" s="148"/>
      <c r="K10" s="165" t="s">
        <v>3659</v>
      </c>
      <c r="L10" s="65" t="s">
        <v>3644</v>
      </c>
      <c r="M10" s="165" t="s">
        <v>3684</v>
      </c>
      <c r="N10" s="165" t="s">
        <v>3649</v>
      </c>
      <c r="O10" s="65" t="s">
        <v>3385</v>
      </c>
      <c r="P10" s="65" t="s">
        <v>3069</v>
      </c>
      <c r="Q10" s="54" t="s">
        <v>3070</v>
      </c>
      <c r="R10" s="41" t="s">
        <v>251</v>
      </c>
      <c r="S10" s="70" t="s">
        <v>252</v>
      </c>
      <c r="T10" s="41" t="s">
        <v>266</v>
      </c>
      <c r="U10" s="41" t="s">
        <v>253</v>
      </c>
      <c r="V10" s="41" t="s">
        <v>139</v>
      </c>
      <c r="W10" s="41" t="s">
        <v>139</v>
      </c>
      <c r="X10" s="41" t="s">
        <v>139</v>
      </c>
      <c r="Y10" s="42" t="s">
        <v>139</v>
      </c>
      <c r="Z10" s="53" t="s">
        <v>213</v>
      </c>
      <c r="AA10" s="54" t="s">
        <v>139</v>
      </c>
      <c r="AB10" s="54" t="s">
        <v>139</v>
      </c>
      <c r="AC10" s="54" t="s">
        <v>139</v>
      </c>
      <c r="AD10" s="54" t="s">
        <v>139</v>
      </c>
      <c r="AE10" s="55"/>
      <c r="AF10" s="56"/>
      <c r="AG10" s="56"/>
      <c r="AH10" s="57"/>
      <c r="AI10" s="56"/>
      <c r="AJ10" s="56"/>
      <c r="AK10" s="56"/>
      <c r="AL10" s="3" t="s">
        <v>1582</v>
      </c>
    </row>
    <row r="11" spans="2:38" ht="40.5">
      <c r="B11" s="144">
        <f t="shared" si="0"/>
        <v>8</v>
      </c>
      <c r="C11" s="148" t="s">
        <v>3731</v>
      </c>
      <c r="D11" s="148"/>
      <c r="E11" s="148"/>
      <c r="F11" s="148"/>
      <c r="G11" s="148"/>
      <c r="H11" s="148"/>
      <c r="I11" s="148"/>
      <c r="J11" s="148"/>
      <c r="K11" s="165" t="s">
        <v>3659</v>
      </c>
      <c r="L11" s="65" t="s">
        <v>3644</v>
      </c>
      <c r="M11" s="65" t="s">
        <v>3684</v>
      </c>
      <c r="N11" s="65" t="s">
        <v>3646</v>
      </c>
      <c r="O11" s="165" t="s">
        <v>1011</v>
      </c>
      <c r="P11" s="165" t="s">
        <v>1011</v>
      </c>
      <c r="Q11" s="126" t="s">
        <v>1012</v>
      </c>
      <c r="R11" s="40" t="s">
        <v>1013</v>
      </c>
      <c r="S11" s="40" t="s">
        <v>1014</v>
      </c>
      <c r="T11" s="40" t="s">
        <v>1645</v>
      </c>
      <c r="U11" s="41" t="s">
        <v>139</v>
      </c>
      <c r="V11" s="41" t="s">
        <v>139</v>
      </c>
      <c r="W11" s="41" t="s">
        <v>139</v>
      </c>
      <c r="X11" s="41" t="s">
        <v>139</v>
      </c>
      <c r="Y11" s="42" t="s">
        <v>1984</v>
      </c>
      <c r="Z11" s="43" t="s">
        <v>139</v>
      </c>
      <c r="AA11" s="41" t="s">
        <v>139</v>
      </c>
      <c r="AB11" s="41" t="s">
        <v>139</v>
      </c>
      <c r="AC11" s="41" t="s">
        <v>139</v>
      </c>
      <c r="AD11" s="41" t="s">
        <v>1655</v>
      </c>
      <c r="AE11" s="44"/>
      <c r="AF11" s="196" t="s">
        <v>3992</v>
      </c>
      <c r="AG11" s="45"/>
      <c r="AH11" s="189">
        <v>1</v>
      </c>
      <c r="AI11" s="40" t="s">
        <v>3755</v>
      </c>
      <c r="AJ11" s="40" t="s">
        <v>3756</v>
      </c>
      <c r="AK11" s="40" t="s">
        <v>1645</v>
      </c>
      <c r="AL11" s="3" t="s">
        <v>1582</v>
      </c>
    </row>
    <row r="12" spans="2:38" ht="27" hidden="1">
      <c r="B12" s="144">
        <f t="shared" si="0"/>
        <v>9</v>
      </c>
      <c r="C12" s="148" t="s">
        <v>3732</v>
      </c>
      <c r="D12" s="148"/>
      <c r="E12" s="148"/>
      <c r="F12" s="148"/>
      <c r="G12" s="148"/>
      <c r="H12" s="148"/>
      <c r="I12" s="148"/>
      <c r="J12" s="148"/>
      <c r="K12" s="165" t="s">
        <v>3659</v>
      </c>
      <c r="L12" s="65" t="s">
        <v>3644</v>
      </c>
      <c r="M12" s="65" t="s">
        <v>3684</v>
      </c>
      <c r="N12" s="65" t="s">
        <v>3646</v>
      </c>
      <c r="O12" s="65" t="s">
        <v>3370</v>
      </c>
      <c r="P12" s="65" t="s">
        <v>2871</v>
      </c>
      <c r="Q12" s="54" t="s">
        <v>2677</v>
      </c>
      <c r="R12" s="70" t="s">
        <v>2995</v>
      </c>
      <c r="S12" s="40"/>
      <c r="T12" s="41" t="s">
        <v>1637</v>
      </c>
      <c r="U12" s="41" t="s">
        <v>139</v>
      </c>
      <c r="V12" s="41" t="s">
        <v>139</v>
      </c>
      <c r="W12" s="41" t="s">
        <v>139</v>
      </c>
      <c r="X12" s="41" t="s">
        <v>2875</v>
      </c>
      <c r="Y12" s="42" t="s">
        <v>139</v>
      </c>
      <c r="Z12" s="53" t="s">
        <v>139</v>
      </c>
      <c r="AA12" s="54" t="s">
        <v>139</v>
      </c>
      <c r="AB12" s="54" t="s">
        <v>139</v>
      </c>
      <c r="AC12" s="54" t="s">
        <v>1635</v>
      </c>
      <c r="AD12" s="54" t="s">
        <v>139</v>
      </c>
      <c r="AE12" s="55"/>
      <c r="AF12" s="56"/>
      <c r="AG12" s="56"/>
      <c r="AH12" s="57"/>
      <c r="AI12" s="56"/>
      <c r="AJ12" s="56"/>
      <c r="AK12" s="56"/>
      <c r="AL12" s="3" t="s">
        <v>1582</v>
      </c>
    </row>
    <row r="13" spans="2:38" ht="40.5">
      <c r="B13" s="144">
        <f t="shared" si="0"/>
        <v>10</v>
      </c>
      <c r="C13" s="148" t="s">
        <v>3731</v>
      </c>
      <c r="D13" s="148"/>
      <c r="E13" s="148"/>
      <c r="F13" s="148"/>
      <c r="G13" s="148"/>
      <c r="H13" s="148"/>
      <c r="I13" s="148"/>
      <c r="J13" s="148"/>
      <c r="K13" s="165" t="s">
        <v>3659</v>
      </c>
      <c r="L13" s="65" t="s">
        <v>3644</v>
      </c>
      <c r="M13" s="65" t="s">
        <v>3684</v>
      </c>
      <c r="N13" s="65" t="s">
        <v>3646</v>
      </c>
      <c r="O13" s="65" t="s">
        <v>236</v>
      </c>
      <c r="P13" s="65" t="s">
        <v>236</v>
      </c>
      <c r="Q13" s="54" t="s">
        <v>139</v>
      </c>
      <c r="R13" s="41" t="s">
        <v>237</v>
      </c>
      <c r="S13" s="41" t="s">
        <v>238</v>
      </c>
      <c r="T13" s="41" t="s">
        <v>192</v>
      </c>
      <c r="U13" s="41" t="s">
        <v>239</v>
      </c>
      <c r="V13" s="41" t="s">
        <v>139</v>
      </c>
      <c r="W13" s="41" t="s">
        <v>139</v>
      </c>
      <c r="X13" s="41" t="s">
        <v>240</v>
      </c>
      <c r="Y13" s="42" t="s">
        <v>139</v>
      </c>
      <c r="Z13" s="53" t="s">
        <v>114</v>
      </c>
      <c r="AA13" s="54" t="s">
        <v>139</v>
      </c>
      <c r="AB13" s="54" t="s">
        <v>139</v>
      </c>
      <c r="AC13" s="54" t="s">
        <v>241</v>
      </c>
      <c r="AD13" s="54" t="s">
        <v>139</v>
      </c>
      <c r="AE13" s="55"/>
      <c r="AF13" s="196" t="s">
        <v>3992</v>
      </c>
      <c r="AG13" s="56"/>
      <c r="AH13" s="188">
        <v>1</v>
      </c>
      <c r="AI13" s="207" t="s">
        <v>3997</v>
      </c>
      <c r="AJ13" s="206" t="s">
        <v>3998</v>
      </c>
      <c r="AK13" s="41" t="s">
        <v>192</v>
      </c>
      <c r="AL13" s="3" t="s">
        <v>1582</v>
      </c>
    </row>
    <row r="14" spans="2:38" ht="40.5">
      <c r="B14" s="144">
        <f t="shared" si="0"/>
        <v>11</v>
      </c>
      <c r="C14" s="148" t="s">
        <v>3731</v>
      </c>
      <c r="D14" s="148"/>
      <c r="E14" s="148"/>
      <c r="F14" s="148"/>
      <c r="G14" s="148"/>
      <c r="H14" s="148"/>
      <c r="I14" s="148"/>
      <c r="J14" s="148"/>
      <c r="K14" s="165" t="s">
        <v>3659</v>
      </c>
      <c r="L14" s="65" t="s">
        <v>3644</v>
      </c>
      <c r="M14" s="65" t="s">
        <v>3684</v>
      </c>
      <c r="N14" s="65" t="s">
        <v>3646</v>
      </c>
      <c r="O14" s="65" t="s">
        <v>242</v>
      </c>
      <c r="P14" s="65" t="s">
        <v>242</v>
      </c>
      <c r="Q14" s="54" t="s">
        <v>139</v>
      </c>
      <c r="R14" s="70" t="s">
        <v>2758</v>
      </c>
      <c r="S14" s="70" t="s">
        <v>3616</v>
      </c>
      <c r="T14" s="41" t="s">
        <v>161</v>
      </c>
      <c r="U14" s="41" t="s">
        <v>244</v>
      </c>
      <c r="V14" s="41" t="s">
        <v>2731</v>
      </c>
      <c r="W14" s="41" t="s">
        <v>139</v>
      </c>
      <c r="X14" s="41" t="s">
        <v>1635</v>
      </c>
      <c r="Y14" s="42" t="s">
        <v>245</v>
      </c>
      <c r="Z14" s="53" t="s">
        <v>114</v>
      </c>
      <c r="AA14" s="54" t="s">
        <v>2730</v>
      </c>
      <c r="AB14" s="54" t="s">
        <v>139</v>
      </c>
      <c r="AC14" s="54" t="s">
        <v>2759</v>
      </c>
      <c r="AD14" s="54" t="s">
        <v>302</v>
      </c>
      <c r="AE14" s="55"/>
      <c r="AF14" s="195" t="s">
        <v>3992</v>
      </c>
      <c r="AG14" s="56"/>
      <c r="AH14" s="188">
        <v>1</v>
      </c>
      <c r="AI14" s="80" t="s">
        <v>3758</v>
      </c>
      <c r="AJ14" s="80" t="s">
        <v>3801</v>
      </c>
      <c r="AK14" s="41" t="s">
        <v>161</v>
      </c>
      <c r="AL14" s="3" t="s">
        <v>1582</v>
      </c>
    </row>
    <row r="15" spans="2:38" ht="40.5" hidden="1">
      <c r="B15" s="144">
        <f t="shared" si="0"/>
        <v>12</v>
      </c>
      <c r="C15" s="148" t="s">
        <v>3732</v>
      </c>
      <c r="D15" s="148"/>
      <c r="E15" s="148"/>
      <c r="F15" s="148"/>
      <c r="G15" s="148"/>
      <c r="H15" s="148"/>
      <c r="I15" s="148"/>
      <c r="J15" s="148"/>
      <c r="K15" s="165" t="s">
        <v>3659</v>
      </c>
      <c r="L15" s="65" t="s">
        <v>3644</v>
      </c>
      <c r="M15" s="65" t="s">
        <v>3684</v>
      </c>
      <c r="N15" s="65" t="s">
        <v>3646</v>
      </c>
      <c r="O15" s="165" t="s">
        <v>3371</v>
      </c>
      <c r="P15" s="165" t="s">
        <v>3306</v>
      </c>
      <c r="Q15" s="126" t="s">
        <v>1278</v>
      </c>
      <c r="R15" s="40" t="s">
        <v>1279</v>
      </c>
      <c r="S15" s="40" t="s">
        <v>3356</v>
      </c>
      <c r="T15" s="40" t="s">
        <v>161</v>
      </c>
      <c r="U15" s="41" t="s">
        <v>1281</v>
      </c>
      <c r="V15" s="41" t="s">
        <v>139</v>
      </c>
      <c r="W15" s="41" t="s">
        <v>139</v>
      </c>
      <c r="X15" s="41" t="s">
        <v>139</v>
      </c>
      <c r="Y15" s="42" t="s">
        <v>139</v>
      </c>
      <c r="Z15" s="43" t="s">
        <v>1277</v>
      </c>
      <c r="AA15" s="41" t="s">
        <v>139</v>
      </c>
      <c r="AB15" s="41" t="s">
        <v>139</v>
      </c>
      <c r="AC15" s="41" t="s">
        <v>139</v>
      </c>
      <c r="AD15" s="41" t="s">
        <v>139</v>
      </c>
      <c r="AE15" s="44"/>
      <c r="AF15" s="45"/>
      <c r="AG15" s="45"/>
      <c r="AH15" s="46"/>
      <c r="AI15" s="45"/>
      <c r="AJ15" s="45"/>
      <c r="AK15" s="45"/>
      <c r="AL15" s="3" t="s">
        <v>1582</v>
      </c>
    </row>
    <row r="16" spans="2:38" ht="67.5">
      <c r="B16" s="144">
        <f t="shared" si="0"/>
        <v>13</v>
      </c>
      <c r="C16" s="148" t="s">
        <v>3731</v>
      </c>
      <c r="D16" s="148"/>
      <c r="E16" s="148"/>
      <c r="F16" s="148"/>
      <c r="G16" s="148"/>
      <c r="H16" s="148"/>
      <c r="I16" s="148"/>
      <c r="J16" s="148"/>
      <c r="K16" s="165" t="s">
        <v>3659</v>
      </c>
      <c r="L16" s="65" t="s">
        <v>3644</v>
      </c>
      <c r="M16" s="165" t="s">
        <v>3684</v>
      </c>
      <c r="N16" s="165" t="s">
        <v>3647</v>
      </c>
      <c r="O16" s="165" t="s">
        <v>3619</v>
      </c>
      <c r="P16" s="165" t="s">
        <v>3618</v>
      </c>
      <c r="Q16" s="126"/>
      <c r="R16" s="40" t="s">
        <v>3631</v>
      </c>
      <c r="S16" s="40" t="s">
        <v>3636</v>
      </c>
      <c r="T16" s="40"/>
      <c r="U16" s="41"/>
      <c r="V16" s="41"/>
      <c r="W16" s="41"/>
      <c r="X16" s="41"/>
      <c r="Y16" s="42"/>
      <c r="Z16" s="43"/>
      <c r="AA16" s="41"/>
      <c r="AB16" s="41"/>
      <c r="AC16" s="41"/>
      <c r="AD16" s="41"/>
      <c r="AE16" s="44"/>
      <c r="AF16" s="196"/>
      <c r="AG16" s="45"/>
      <c r="AH16" s="189"/>
      <c r="AI16" s="45"/>
      <c r="AJ16" s="45"/>
      <c r="AK16" s="45"/>
      <c r="AL16" s="3" t="s">
        <v>1582</v>
      </c>
    </row>
    <row r="17" spans="2:38" ht="27" hidden="1">
      <c r="B17" s="144">
        <f t="shared" si="0"/>
        <v>14</v>
      </c>
      <c r="C17" s="148" t="s">
        <v>3732</v>
      </c>
      <c r="D17" s="148"/>
      <c r="E17" s="148"/>
      <c r="F17" s="148"/>
      <c r="G17" s="148"/>
      <c r="H17" s="148"/>
      <c r="I17" s="148"/>
      <c r="J17" s="148"/>
      <c r="K17" s="165" t="s">
        <v>3659</v>
      </c>
      <c r="L17" s="65" t="s">
        <v>3644</v>
      </c>
      <c r="M17" s="165" t="s">
        <v>3684</v>
      </c>
      <c r="N17" s="165" t="s">
        <v>3647</v>
      </c>
      <c r="O17" s="165" t="s">
        <v>3620</v>
      </c>
      <c r="P17" s="165" t="s">
        <v>3620</v>
      </c>
      <c r="Q17" s="126"/>
      <c r="R17" s="40" t="s">
        <v>3632</v>
      </c>
      <c r="S17" s="40" t="s">
        <v>3635</v>
      </c>
      <c r="T17" s="40"/>
      <c r="U17" s="41"/>
      <c r="V17" s="41"/>
      <c r="W17" s="41"/>
      <c r="X17" s="41"/>
      <c r="Y17" s="42"/>
      <c r="Z17" s="43"/>
      <c r="AA17" s="41"/>
      <c r="AB17" s="41"/>
      <c r="AC17" s="41"/>
      <c r="AD17" s="41"/>
      <c r="AE17" s="44"/>
      <c r="AF17" s="45"/>
      <c r="AG17" s="45"/>
      <c r="AH17" s="46"/>
      <c r="AI17" s="45"/>
      <c r="AJ17" s="45"/>
      <c r="AK17" s="45"/>
      <c r="AL17" s="3" t="s">
        <v>1582</v>
      </c>
    </row>
    <row r="18" spans="2:38" ht="27" hidden="1">
      <c r="B18" s="144">
        <f t="shared" si="0"/>
        <v>15</v>
      </c>
      <c r="C18" s="148" t="s">
        <v>3732</v>
      </c>
      <c r="D18" s="148"/>
      <c r="E18" s="148"/>
      <c r="F18" s="148"/>
      <c r="G18" s="148"/>
      <c r="H18" s="148"/>
      <c r="I18" s="148"/>
      <c r="J18" s="148"/>
      <c r="K18" s="165" t="s">
        <v>3659</v>
      </c>
      <c r="L18" s="65" t="s">
        <v>3644</v>
      </c>
      <c r="M18" s="165" t="s">
        <v>3684</v>
      </c>
      <c r="N18" s="165" t="s">
        <v>3647</v>
      </c>
      <c r="O18" s="165" t="s">
        <v>3621</v>
      </c>
      <c r="P18" s="165" t="s">
        <v>3621</v>
      </c>
      <c r="Q18" s="126"/>
      <c r="R18" s="40" t="s">
        <v>3632</v>
      </c>
      <c r="S18" s="40" t="s">
        <v>3634</v>
      </c>
      <c r="T18" s="40"/>
      <c r="U18" s="41"/>
      <c r="V18" s="41"/>
      <c r="W18" s="41"/>
      <c r="X18" s="41"/>
      <c r="Y18" s="42"/>
      <c r="Z18" s="43"/>
      <c r="AA18" s="41"/>
      <c r="AB18" s="41"/>
      <c r="AC18" s="41"/>
      <c r="AD18" s="41"/>
      <c r="AE18" s="44"/>
      <c r="AF18" s="45"/>
      <c r="AG18" s="45"/>
      <c r="AH18" s="46"/>
      <c r="AI18" s="45"/>
      <c r="AJ18" s="45"/>
      <c r="AK18" s="45"/>
      <c r="AL18" s="3" t="s">
        <v>1582</v>
      </c>
    </row>
    <row r="19" spans="2:38" ht="27">
      <c r="B19" s="144">
        <f t="shared" si="0"/>
        <v>16</v>
      </c>
      <c r="C19" s="148" t="s">
        <v>3731</v>
      </c>
      <c r="D19" s="148"/>
      <c r="E19" s="148"/>
      <c r="F19" s="148"/>
      <c r="G19" s="148"/>
      <c r="H19" s="148"/>
      <c r="I19" s="148"/>
      <c r="J19" s="148"/>
      <c r="K19" s="165" t="s">
        <v>3659</v>
      </c>
      <c r="L19" s="65" t="s">
        <v>3644</v>
      </c>
      <c r="M19" s="165" t="s">
        <v>3684</v>
      </c>
      <c r="N19" s="165" t="s">
        <v>3647</v>
      </c>
      <c r="O19" s="165" t="s">
        <v>3806</v>
      </c>
      <c r="P19" s="165" t="s">
        <v>3622</v>
      </c>
      <c r="Q19" s="126"/>
      <c r="R19" s="40" t="s">
        <v>3633</v>
      </c>
      <c r="S19" s="40"/>
      <c r="T19" s="40"/>
      <c r="U19" s="41"/>
      <c r="V19" s="41"/>
      <c r="W19" s="41"/>
      <c r="X19" s="41"/>
      <c r="Y19" s="42"/>
      <c r="Z19" s="43"/>
      <c r="AA19" s="41"/>
      <c r="AB19" s="41"/>
      <c r="AC19" s="41"/>
      <c r="AD19" s="41"/>
      <c r="AE19" s="44"/>
      <c r="AF19" s="196"/>
      <c r="AG19" s="45"/>
      <c r="AH19" s="189">
        <v>1</v>
      </c>
      <c r="AI19" s="180"/>
      <c r="AJ19" s="180"/>
      <c r="AK19" s="41" t="s">
        <v>192</v>
      </c>
      <c r="AL19" s="3" t="s">
        <v>1582</v>
      </c>
    </row>
    <row r="20" spans="2:38" ht="27">
      <c r="B20" s="144">
        <f t="shared" si="0"/>
        <v>17</v>
      </c>
      <c r="C20" s="148" t="s">
        <v>3731</v>
      </c>
      <c r="D20" s="148"/>
      <c r="E20" s="148"/>
      <c r="F20" s="148"/>
      <c r="G20" s="148"/>
      <c r="H20" s="148"/>
      <c r="I20" s="148"/>
      <c r="J20" s="148"/>
      <c r="K20" s="165" t="s">
        <v>3659</v>
      </c>
      <c r="L20" s="65" t="s">
        <v>3644</v>
      </c>
      <c r="M20" s="165" t="s">
        <v>3684</v>
      </c>
      <c r="N20" s="165" t="s">
        <v>3647</v>
      </c>
      <c r="O20" s="165" t="s">
        <v>3623</v>
      </c>
      <c r="P20" s="165" t="s">
        <v>3623</v>
      </c>
      <c r="Q20" s="126"/>
      <c r="R20" s="40" t="s">
        <v>3633</v>
      </c>
      <c r="S20" s="40"/>
      <c r="T20" s="40"/>
      <c r="U20" s="41"/>
      <c r="V20" s="41"/>
      <c r="W20" s="41"/>
      <c r="X20" s="41"/>
      <c r="Y20" s="42"/>
      <c r="Z20" s="43"/>
      <c r="AA20" s="41"/>
      <c r="AB20" s="41"/>
      <c r="AC20" s="41"/>
      <c r="AD20" s="41"/>
      <c r="AE20" s="44"/>
      <c r="AF20" s="196"/>
      <c r="AG20" s="45"/>
      <c r="AH20" s="189">
        <v>1</v>
      </c>
      <c r="AI20" s="180"/>
      <c r="AJ20" s="180"/>
      <c r="AK20" s="41" t="s">
        <v>192</v>
      </c>
      <c r="AL20" s="3" t="s">
        <v>1582</v>
      </c>
    </row>
    <row r="21" spans="2:38" ht="25" customHeight="1">
      <c r="B21" s="144"/>
      <c r="C21" s="148" t="s">
        <v>3731</v>
      </c>
      <c r="D21" s="148"/>
      <c r="E21" s="148"/>
      <c r="F21" s="148"/>
      <c r="G21" s="148"/>
      <c r="H21" s="148"/>
      <c r="I21" s="148"/>
      <c r="J21" s="148"/>
      <c r="K21" s="165" t="s">
        <v>3659</v>
      </c>
      <c r="L21" s="65" t="s">
        <v>3644</v>
      </c>
      <c r="M21" s="165" t="s">
        <v>3684</v>
      </c>
      <c r="N21" s="165" t="s">
        <v>3647</v>
      </c>
      <c r="O21" s="165" t="s">
        <v>3622</v>
      </c>
      <c r="P21" s="165"/>
      <c r="Q21" s="126"/>
      <c r="R21" s="40"/>
      <c r="S21" s="40"/>
      <c r="T21" s="40"/>
      <c r="U21" s="41"/>
      <c r="V21" s="41"/>
      <c r="W21" s="41"/>
      <c r="X21" s="41"/>
      <c r="Y21" s="42"/>
      <c r="Z21" s="43"/>
      <c r="AA21" s="41"/>
      <c r="AB21" s="41"/>
      <c r="AC21" s="41"/>
      <c r="AD21" s="41"/>
      <c r="AE21" s="44"/>
      <c r="AF21" s="196"/>
      <c r="AG21" s="45"/>
      <c r="AH21" s="189">
        <v>1</v>
      </c>
      <c r="AI21" s="180"/>
      <c r="AJ21" s="180" t="s">
        <v>3807</v>
      </c>
      <c r="AK21" s="41" t="s">
        <v>192</v>
      </c>
      <c r="AL21" s="3"/>
    </row>
    <row r="22" spans="2:38" ht="27">
      <c r="B22" s="144">
        <f t="shared" si="0"/>
        <v>19</v>
      </c>
      <c r="C22" s="148" t="s">
        <v>3731</v>
      </c>
      <c r="D22" s="148"/>
      <c r="E22" s="148"/>
      <c r="F22" s="148"/>
      <c r="G22" s="148"/>
      <c r="H22" s="148"/>
      <c r="I22" s="148"/>
      <c r="J22" s="148"/>
      <c r="K22" s="165" t="s">
        <v>3659</v>
      </c>
      <c r="L22" s="65" t="s">
        <v>3644</v>
      </c>
      <c r="M22" s="165" t="s">
        <v>3684</v>
      </c>
      <c r="N22" s="165" t="s">
        <v>3647</v>
      </c>
      <c r="O22" s="165" t="s">
        <v>3624</v>
      </c>
      <c r="P22" s="165" t="s">
        <v>3624</v>
      </c>
      <c r="Q22" s="126"/>
      <c r="R22" s="40" t="s">
        <v>3633</v>
      </c>
      <c r="S22" s="40"/>
      <c r="T22" s="40"/>
      <c r="U22" s="41"/>
      <c r="V22" s="41"/>
      <c r="W22" s="41"/>
      <c r="X22" s="41"/>
      <c r="Y22" s="42"/>
      <c r="Z22" s="43"/>
      <c r="AA22" s="41"/>
      <c r="AB22" s="41"/>
      <c r="AC22" s="41"/>
      <c r="AD22" s="41"/>
      <c r="AE22" s="44"/>
      <c r="AF22" s="196"/>
      <c r="AG22" s="45"/>
      <c r="AH22" s="189">
        <v>1</v>
      </c>
      <c r="AJ22" s="180"/>
      <c r="AK22" s="41" t="s">
        <v>192</v>
      </c>
      <c r="AL22" s="3" t="s">
        <v>1582</v>
      </c>
    </row>
    <row r="23" spans="2:38" ht="27">
      <c r="B23" s="144">
        <f t="shared" si="0"/>
        <v>20</v>
      </c>
      <c r="C23" s="148" t="s">
        <v>3731</v>
      </c>
      <c r="D23" s="148"/>
      <c r="E23" s="148"/>
      <c r="F23" s="148"/>
      <c r="G23" s="148"/>
      <c r="H23" s="148"/>
      <c r="I23" s="148"/>
      <c r="J23" s="148"/>
      <c r="K23" s="165" t="s">
        <v>3659</v>
      </c>
      <c r="L23" s="65" t="s">
        <v>3644</v>
      </c>
      <c r="M23" s="165" t="s">
        <v>3684</v>
      </c>
      <c r="N23" s="165" t="s">
        <v>3647</v>
      </c>
      <c r="O23" s="165" t="s">
        <v>3625</v>
      </c>
      <c r="P23" s="165" t="s">
        <v>3625</v>
      </c>
      <c r="Q23" s="126"/>
      <c r="R23" s="40" t="s">
        <v>3633</v>
      </c>
      <c r="S23" s="40"/>
      <c r="T23" s="40"/>
      <c r="U23" s="41"/>
      <c r="V23" s="41"/>
      <c r="W23" s="41"/>
      <c r="X23" s="41"/>
      <c r="Y23" s="42"/>
      <c r="Z23" s="43"/>
      <c r="AA23" s="41"/>
      <c r="AB23" s="41"/>
      <c r="AC23" s="41"/>
      <c r="AD23" s="41"/>
      <c r="AE23" s="44"/>
      <c r="AF23" s="196"/>
      <c r="AG23" s="45"/>
      <c r="AH23" s="189">
        <v>1</v>
      </c>
      <c r="AI23" s="180"/>
      <c r="AJ23" s="180"/>
      <c r="AK23" s="41" t="s">
        <v>192</v>
      </c>
      <c r="AL23" s="3" t="s">
        <v>1582</v>
      </c>
    </row>
    <row r="24" spans="2:38" ht="27">
      <c r="B24" s="144">
        <f t="shared" si="0"/>
        <v>21</v>
      </c>
      <c r="C24" s="148" t="s">
        <v>3731</v>
      </c>
      <c r="D24" s="148"/>
      <c r="E24" s="148"/>
      <c r="F24" s="148"/>
      <c r="G24" s="148"/>
      <c r="H24" s="148"/>
      <c r="I24" s="148"/>
      <c r="J24" s="148"/>
      <c r="K24" s="165" t="s">
        <v>3659</v>
      </c>
      <c r="L24" s="65" t="s">
        <v>3644</v>
      </c>
      <c r="M24" s="165" t="s">
        <v>3684</v>
      </c>
      <c r="N24" s="165" t="s">
        <v>3647</v>
      </c>
      <c r="O24" s="165" t="s">
        <v>3626</v>
      </c>
      <c r="P24" s="165" t="s">
        <v>3626</v>
      </c>
      <c r="Q24" s="126"/>
      <c r="R24" s="40" t="s">
        <v>3633</v>
      </c>
      <c r="S24" s="40"/>
      <c r="T24" s="40"/>
      <c r="U24" s="41"/>
      <c r="V24" s="41"/>
      <c r="W24" s="41"/>
      <c r="X24" s="41"/>
      <c r="Y24" s="42"/>
      <c r="Z24" s="43"/>
      <c r="AA24" s="41"/>
      <c r="AB24" s="41"/>
      <c r="AC24" s="41"/>
      <c r="AD24" s="41"/>
      <c r="AE24" s="44"/>
      <c r="AF24" s="196"/>
      <c r="AG24" s="45"/>
      <c r="AH24" s="189">
        <v>1</v>
      </c>
      <c r="AI24" s="180"/>
      <c r="AJ24" s="180"/>
      <c r="AK24" s="41" t="s">
        <v>192</v>
      </c>
      <c r="AL24" s="3" t="s">
        <v>1582</v>
      </c>
    </row>
    <row r="25" spans="2:38" ht="27">
      <c r="B25" s="144">
        <f t="shared" si="0"/>
        <v>22</v>
      </c>
      <c r="C25" s="148" t="s">
        <v>3731</v>
      </c>
      <c r="D25" s="148"/>
      <c r="E25" s="148"/>
      <c r="F25" s="148"/>
      <c r="G25" s="148"/>
      <c r="H25" s="148"/>
      <c r="I25" s="148"/>
      <c r="J25" s="148"/>
      <c r="K25" s="165" t="s">
        <v>3659</v>
      </c>
      <c r="L25" s="65" t="s">
        <v>3644</v>
      </c>
      <c r="M25" s="165" t="s">
        <v>3684</v>
      </c>
      <c r="N25" s="165" t="s">
        <v>3647</v>
      </c>
      <c r="O25" s="165" t="s">
        <v>3627</v>
      </c>
      <c r="P25" s="165" t="s">
        <v>3627</v>
      </c>
      <c r="Q25" s="126"/>
      <c r="R25" s="40" t="s">
        <v>3637</v>
      </c>
      <c r="S25" s="40"/>
      <c r="T25" s="40"/>
      <c r="U25" s="41"/>
      <c r="V25" s="41"/>
      <c r="W25" s="41"/>
      <c r="X25" s="41"/>
      <c r="Y25" s="42"/>
      <c r="Z25" s="43"/>
      <c r="AA25" s="41"/>
      <c r="AB25" s="41"/>
      <c r="AC25" s="41"/>
      <c r="AD25" s="41"/>
      <c r="AE25" s="44"/>
      <c r="AF25" s="196"/>
      <c r="AG25" s="45"/>
      <c r="AH25" s="189">
        <v>1</v>
      </c>
      <c r="AI25" s="180"/>
      <c r="AJ25" s="180"/>
      <c r="AK25" s="41" t="s">
        <v>192</v>
      </c>
      <c r="AL25" s="3" t="s">
        <v>1582</v>
      </c>
    </row>
    <row r="26" spans="2:38" ht="27">
      <c r="B26" s="144">
        <f t="shared" si="0"/>
        <v>23</v>
      </c>
      <c r="C26" s="148" t="s">
        <v>3731</v>
      </c>
      <c r="D26" s="148"/>
      <c r="E26" s="148"/>
      <c r="F26" s="148"/>
      <c r="G26" s="148"/>
      <c r="H26" s="148"/>
      <c r="I26" s="148"/>
      <c r="J26" s="148"/>
      <c r="K26" s="165" t="s">
        <v>3659</v>
      </c>
      <c r="L26" s="65" t="s">
        <v>3644</v>
      </c>
      <c r="M26" s="165" t="s">
        <v>3684</v>
      </c>
      <c r="N26" s="165" t="s">
        <v>3647</v>
      </c>
      <c r="O26" s="165" t="s">
        <v>3628</v>
      </c>
      <c r="P26" s="165" t="s">
        <v>3628</v>
      </c>
      <c r="Q26" s="126"/>
      <c r="R26" s="40" t="s">
        <v>3637</v>
      </c>
      <c r="S26" s="40"/>
      <c r="T26" s="40"/>
      <c r="U26" s="41"/>
      <c r="V26" s="41"/>
      <c r="W26" s="41"/>
      <c r="X26" s="41"/>
      <c r="Y26" s="42"/>
      <c r="Z26" s="43"/>
      <c r="AA26" s="41"/>
      <c r="AB26" s="41"/>
      <c r="AC26" s="41"/>
      <c r="AD26" s="41"/>
      <c r="AE26" s="44"/>
      <c r="AF26" s="196"/>
      <c r="AG26" s="45"/>
      <c r="AH26" s="189">
        <v>1</v>
      </c>
      <c r="AI26" s="180"/>
      <c r="AJ26" s="180"/>
      <c r="AK26" s="41" t="s">
        <v>192</v>
      </c>
      <c r="AL26" s="3" t="s">
        <v>1582</v>
      </c>
    </row>
    <row r="27" spans="2:38" ht="27">
      <c r="B27" s="144">
        <f t="shared" si="0"/>
        <v>24</v>
      </c>
      <c r="C27" s="148" t="s">
        <v>3731</v>
      </c>
      <c r="D27" s="148"/>
      <c r="E27" s="148"/>
      <c r="F27" s="148"/>
      <c r="G27" s="148"/>
      <c r="H27" s="148"/>
      <c r="I27" s="148"/>
      <c r="J27" s="148"/>
      <c r="K27" s="165" t="s">
        <v>3659</v>
      </c>
      <c r="L27" s="65" t="s">
        <v>3644</v>
      </c>
      <c r="M27" s="165" t="s">
        <v>3684</v>
      </c>
      <c r="N27" s="165" t="s">
        <v>3647</v>
      </c>
      <c r="O27" s="165" t="s">
        <v>3629</v>
      </c>
      <c r="P27" s="165" t="s">
        <v>3629</v>
      </c>
      <c r="Q27" s="126"/>
      <c r="R27" s="40" t="s">
        <v>3637</v>
      </c>
      <c r="S27" s="40"/>
      <c r="T27" s="40"/>
      <c r="U27" s="41"/>
      <c r="V27" s="41"/>
      <c r="W27" s="41"/>
      <c r="X27" s="41"/>
      <c r="Y27" s="42"/>
      <c r="Z27" s="43"/>
      <c r="AA27" s="41"/>
      <c r="AB27" s="41"/>
      <c r="AC27" s="41"/>
      <c r="AD27" s="41"/>
      <c r="AE27" s="44"/>
      <c r="AF27" s="196"/>
      <c r="AG27" s="45"/>
      <c r="AH27" s="189">
        <v>1</v>
      </c>
      <c r="AI27" s="180"/>
      <c r="AJ27" s="180"/>
      <c r="AK27" s="41" t="s">
        <v>192</v>
      </c>
      <c r="AL27" s="3" t="s">
        <v>1582</v>
      </c>
    </row>
    <row r="28" spans="2:38" ht="27">
      <c r="B28" s="144">
        <f t="shared" si="0"/>
        <v>25</v>
      </c>
      <c r="C28" s="148" t="s">
        <v>3731</v>
      </c>
      <c r="D28" s="148"/>
      <c r="E28" s="148"/>
      <c r="F28" s="148"/>
      <c r="G28" s="148"/>
      <c r="H28" s="148"/>
      <c r="I28" s="148"/>
      <c r="J28" s="148"/>
      <c r="K28" s="165" t="s">
        <v>3659</v>
      </c>
      <c r="L28" s="65" t="s">
        <v>3644</v>
      </c>
      <c r="M28" s="165" t="s">
        <v>3684</v>
      </c>
      <c r="N28" s="165" t="s">
        <v>3647</v>
      </c>
      <c r="O28" s="165" t="s">
        <v>3630</v>
      </c>
      <c r="P28" s="165" t="s">
        <v>3630</v>
      </c>
      <c r="Q28" s="126"/>
      <c r="R28" s="40" t="s">
        <v>3637</v>
      </c>
      <c r="S28" s="40"/>
      <c r="T28" s="40"/>
      <c r="U28" s="41"/>
      <c r="V28" s="41"/>
      <c r="W28" s="41"/>
      <c r="X28" s="41"/>
      <c r="Y28" s="42"/>
      <c r="Z28" s="43"/>
      <c r="AA28" s="41"/>
      <c r="AB28" s="41"/>
      <c r="AC28" s="41"/>
      <c r="AD28" s="41"/>
      <c r="AE28" s="44"/>
      <c r="AF28" s="196"/>
      <c r="AG28" s="45"/>
      <c r="AH28" s="189">
        <v>1</v>
      </c>
      <c r="AI28" s="180"/>
      <c r="AJ28" s="180"/>
      <c r="AK28" s="41" t="s">
        <v>192</v>
      </c>
      <c r="AL28" s="3" t="s">
        <v>1582</v>
      </c>
    </row>
    <row r="29" spans="2:38" ht="108">
      <c r="B29" s="144">
        <f t="shared" si="0"/>
        <v>26</v>
      </c>
      <c r="C29" s="148" t="s">
        <v>3731</v>
      </c>
      <c r="D29" s="148"/>
      <c r="E29" s="148"/>
      <c r="F29" s="148"/>
      <c r="G29" s="148"/>
      <c r="H29" s="148"/>
      <c r="I29" s="148"/>
      <c r="J29" s="148"/>
      <c r="K29" s="165" t="s">
        <v>3659</v>
      </c>
      <c r="L29" s="65" t="s">
        <v>3644</v>
      </c>
      <c r="M29" s="165" t="s">
        <v>3684</v>
      </c>
      <c r="N29" s="165" t="s">
        <v>3647</v>
      </c>
      <c r="O29" s="165" t="s">
        <v>1355</v>
      </c>
      <c r="P29" s="165" t="s">
        <v>1355</v>
      </c>
      <c r="Q29" s="126" t="s">
        <v>1356</v>
      </c>
      <c r="R29" s="40" t="s">
        <v>1357</v>
      </c>
      <c r="S29" s="40" t="s">
        <v>1358</v>
      </c>
      <c r="T29" s="40" t="s">
        <v>161</v>
      </c>
      <c r="U29" s="41" t="s">
        <v>139</v>
      </c>
      <c r="V29" s="41" t="s">
        <v>139</v>
      </c>
      <c r="W29" s="41" t="s">
        <v>1359</v>
      </c>
      <c r="X29" s="41" t="s">
        <v>139</v>
      </c>
      <c r="Y29" s="42" t="s">
        <v>1600</v>
      </c>
      <c r="Z29" s="43" t="s">
        <v>139</v>
      </c>
      <c r="AA29" s="41" t="s">
        <v>139</v>
      </c>
      <c r="AB29" s="41" t="s">
        <v>1100</v>
      </c>
      <c r="AC29" s="41" t="s">
        <v>139</v>
      </c>
      <c r="AD29" s="41" t="s">
        <v>3036</v>
      </c>
      <c r="AE29" s="44" t="s">
        <v>1933</v>
      </c>
      <c r="AF29" s="196" t="s">
        <v>3992</v>
      </c>
      <c r="AG29" s="45"/>
      <c r="AH29" s="189">
        <v>1</v>
      </c>
      <c r="AI29" s="47" t="s">
        <v>3803</v>
      </c>
      <c r="AJ29" s="47" t="s">
        <v>3802</v>
      </c>
      <c r="AK29" s="40" t="s">
        <v>161</v>
      </c>
      <c r="AL29" s="3" t="s">
        <v>1582</v>
      </c>
    </row>
    <row r="30" spans="2:38" ht="40.5">
      <c r="B30" s="144">
        <f t="shared" si="0"/>
        <v>27</v>
      </c>
      <c r="C30" s="148" t="s">
        <v>3731</v>
      </c>
      <c r="D30" s="148"/>
      <c r="E30" s="148"/>
      <c r="F30" s="148"/>
      <c r="G30" s="148"/>
      <c r="H30" s="148"/>
      <c r="I30" s="148"/>
      <c r="J30" s="148"/>
      <c r="K30" s="165" t="s">
        <v>3659</v>
      </c>
      <c r="L30" s="65" t="s">
        <v>3644</v>
      </c>
      <c r="M30" s="165" t="s">
        <v>3684</v>
      </c>
      <c r="N30" s="165" t="s">
        <v>3647</v>
      </c>
      <c r="O30" s="165" t="s">
        <v>1370</v>
      </c>
      <c r="P30" s="165" t="s">
        <v>1370</v>
      </c>
      <c r="Q30" s="126" t="s">
        <v>139</v>
      </c>
      <c r="R30" s="40" t="s">
        <v>1371</v>
      </c>
      <c r="S30" s="40" t="s">
        <v>1372</v>
      </c>
      <c r="T30" s="40" t="s">
        <v>161</v>
      </c>
      <c r="U30" s="41" t="s">
        <v>139</v>
      </c>
      <c r="V30" s="41" t="s">
        <v>2717</v>
      </c>
      <c r="W30" s="41" t="s">
        <v>1373</v>
      </c>
      <c r="X30" s="41" t="s">
        <v>139</v>
      </c>
      <c r="Y30" s="42" t="s">
        <v>1688</v>
      </c>
      <c r="Z30" s="43" t="s">
        <v>139</v>
      </c>
      <c r="AA30" s="41" t="s">
        <v>2730</v>
      </c>
      <c r="AB30" s="41" t="s">
        <v>1374</v>
      </c>
      <c r="AC30" s="41" t="s">
        <v>139</v>
      </c>
      <c r="AD30" s="41" t="s">
        <v>157</v>
      </c>
      <c r="AE30" s="44"/>
      <c r="AF30" s="196" t="s">
        <v>3992</v>
      </c>
      <c r="AG30" s="45"/>
      <c r="AH30" s="189">
        <v>1</v>
      </c>
      <c r="AI30" s="45" t="s">
        <v>3804</v>
      </c>
      <c r="AJ30" s="45" t="s">
        <v>3805</v>
      </c>
      <c r="AK30" s="40" t="s">
        <v>1666</v>
      </c>
      <c r="AL30" s="3" t="s">
        <v>1582</v>
      </c>
    </row>
    <row r="31" spans="2:38" ht="27">
      <c r="B31" s="144">
        <f t="shared" si="0"/>
        <v>28</v>
      </c>
      <c r="C31" s="148" t="s">
        <v>3731</v>
      </c>
      <c r="D31" s="148"/>
      <c r="E31" s="148"/>
      <c r="F31" s="148"/>
      <c r="G31" s="148"/>
      <c r="H31" s="148"/>
      <c r="I31" s="148"/>
      <c r="J31" s="148"/>
      <c r="K31" s="165" t="s">
        <v>3659</v>
      </c>
      <c r="L31" s="65" t="s">
        <v>3644</v>
      </c>
      <c r="M31" s="165" t="s">
        <v>3684</v>
      </c>
      <c r="N31" s="165" t="s">
        <v>3648</v>
      </c>
      <c r="O31" s="165" t="s">
        <v>1018</v>
      </c>
      <c r="P31" s="165" t="s">
        <v>1018</v>
      </c>
      <c r="Q31" s="126" t="s">
        <v>139</v>
      </c>
      <c r="R31" s="40" t="s">
        <v>1019</v>
      </c>
      <c r="S31" s="40" t="s">
        <v>1020</v>
      </c>
      <c r="T31" s="40" t="s">
        <v>192</v>
      </c>
      <c r="U31" s="41" t="s">
        <v>139</v>
      </c>
      <c r="V31" s="41" t="s">
        <v>139</v>
      </c>
      <c r="W31" s="41" t="s">
        <v>139</v>
      </c>
      <c r="X31" s="41" t="s">
        <v>139</v>
      </c>
      <c r="Y31" s="42" t="s">
        <v>1015</v>
      </c>
      <c r="Z31" s="43" t="s">
        <v>139</v>
      </c>
      <c r="AA31" s="41" t="s">
        <v>139</v>
      </c>
      <c r="AB31" s="41" t="s">
        <v>139</v>
      </c>
      <c r="AC31" s="41" t="s">
        <v>139</v>
      </c>
      <c r="AD31" s="41" t="s">
        <v>1017</v>
      </c>
      <c r="AE31" s="44"/>
      <c r="AF31" s="196"/>
      <c r="AG31" s="45"/>
      <c r="AH31" s="189">
        <v>1</v>
      </c>
      <c r="AI31" s="179" t="s">
        <v>1019</v>
      </c>
      <c r="AJ31" s="179" t="s">
        <v>3761</v>
      </c>
      <c r="AK31" s="40" t="s">
        <v>192</v>
      </c>
      <c r="AL31" s="3" t="s">
        <v>1582</v>
      </c>
    </row>
    <row r="32" spans="2:38" ht="54">
      <c r="B32" s="144">
        <f t="shared" si="0"/>
        <v>29</v>
      </c>
      <c r="C32" s="148" t="s">
        <v>3731</v>
      </c>
      <c r="D32" s="148"/>
      <c r="E32" s="148"/>
      <c r="F32" s="148"/>
      <c r="G32" s="148"/>
      <c r="H32" s="148"/>
      <c r="I32" s="148"/>
      <c r="J32" s="148"/>
      <c r="K32" s="165" t="s">
        <v>3659</v>
      </c>
      <c r="L32" s="65" t="s">
        <v>3644</v>
      </c>
      <c r="M32" s="165" t="s">
        <v>3684</v>
      </c>
      <c r="N32" s="165" t="s">
        <v>3648</v>
      </c>
      <c r="O32" s="165" t="s">
        <v>3382</v>
      </c>
      <c r="P32" s="165" t="s">
        <v>1987</v>
      </c>
      <c r="Q32" s="126" t="s">
        <v>1637</v>
      </c>
      <c r="R32" s="40" t="s">
        <v>1988</v>
      </c>
      <c r="S32" s="40" t="s">
        <v>1989</v>
      </c>
      <c r="T32" s="40" t="s">
        <v>1645</v>
      </c>
      <c r="U32" s="41" t="s">
        <v>139</v>
      </c>
      <c r="V32" s="41" t="s">
        <v>139</v>
      </c>
      <c r="W32" s="41" t="s">
        <v>139</v>
      </c>
      <c r="X32" s="41" t="s">
        <v>139</v>
      </c>
      <c r="Y32" s="42" t="s">
        <v>1984</v>
      </c>
      <c r="Z32" s="43" t="s">
        <v>139</v>
      </c>
      <c r="AA32" s="41" t="s">
        <v>139</v>
      </c>
      <c r="AB32" s="41" t="s">
        <v>139</v>
      </c>
      <c r="AC32" s="41" t="s">
        <v>139</v>
      </c>
      <c r="AD32" s="41" t="s">
        <v>1912</v>
      </c>
      <c r="AE32" s="44"/>
      <c r="AF32" s="196"/>
      <c r="AG32" s="45"/>
      <c r="AH32" s="189">
        <v>1</v>
      </c>
      <c r="AI32" s="179" t="s">
        <v>1988</v>
      </c>
      <c r="AJ32" s="179" t="s">
        <v>1989</v>
      </c>
      <c r="AK32" s="40" t="s">
        <v>1645</v>
      </c>
      <c r="AL32" s="3" t="s">
        <v>1582</v>
      </c>
    </row>
    <row r="33" spans="2:38" ht="40.5">
      <c r="B33" s="144">
        <f t="shared" si="0"/>
        <v>30</v>
      </c>
      <c r="C33" s="148" t="s">
        <v>3731</v>
      </c>
      <c r="D33" s="148"/>
      <c r="E33" s="148"/>
      <c r="F33" s="148"/>
      <c r="G33" s="148"/>
      <c r="H33" s="148"/>
      <c r="I33" s="148"/>
      <c r="J33" s="148"/>
      <c r="K33" s="165" t="s">
        <v>3659</v>
      </c>
      <c r="L33" s="65" t="s">
        <v>3644</v>
      </c>
      <c r="M33" s="165" t="s">
        <v>3684</v>
      </c>
      <c r="N33" s="165" t="s">
        <v>3648</v>
      </c>
      <c r="O33" s="165" t="s">
        <v>3383</v>
      </c>
      <c r="P33" s="165" t="s">
        <v>1983</v>
      </c>
      <c r="Q33" s="126" t="s">
        <v>1637</v>
      </c>
      <c r="R33" s="40" t="s">
        <v>1963</v>
      </c>
      <c r="S33" s="40" t="s">
        <v>1964</v>
      </c>
      <c r="T33" s="40" t="s">
        <v>1666</v>
      </c>
      <c r="U33" s="41" t="s">
        <v>139</v>
      </c>
      <c r="V33" s="41" t="s">
        <v>139</v>
      </c>
      <c r="W33" s="41" t="s">
        <v>139</v>
      </c>
      <c r="X33" s="41" t="s">
        <v>139</v>
      </c>
      <c r="Y33" s="42" t="s">
        <v>1932</v>
      </c>
      <c r="Z33" s="43" t="s">
        <v>139</v>
      </c>
      <c r="AA33" s="41" t="s">
        <v>139</v>
      </c>
      <c r="AB33" s="41" t="s">
        <v>139</v>
      </c>
      <c r="AC33" s="41" t="s">
        <v>139</v>
      </c>
      <c r="AD33" s="41" t="s">
        <v>1912</v>
      </c>
      <c r="AE33" s="44"/>
      <c r="AF33" s="196" t="s">
        <v>3992</v>
      </c>
      <c r="AG33" s="45"/>
      <c r="AH33" s="189">
        <v>1</v>
      </c>
      <c r="AI33" s="40" t="s">
        <v>3808</v>
      </c>
      <c r="AJ33" s="40" t="s">
        <v>3809</v>
      </c>
      <c r="AK33" s="40" t="s">
        <v>1666</v>
      </c>
      <c r="AL33" s="3" t="s">
        <v>1582</v>
      </c>
    </row>
    <row r="34" spans="2:38" ht="27">
      <c r="B34" s="144">
        <f t="shared" si="0"/>
        <v>31</v>
      </c>
      <c r="C34" s="148" t="s">
        <v>3731</v>
      </c>
      <c r="D34" s="148"/>
      <c r="E34" s="148"/>
      <c r="F34" s="148"/>
      <c r="G34" s="148"/>
      <c r="H34" s="148"/>
      <c r="I34" s="148"/>
      <c r="J34" s="148"/>
      <c r="K34" s="165" t="s">
        <v>3659</v>
      </c>
      <c r="L34" s="65" t="s">
        <v>3644</v>
      </c>
      <c r="M34" s="165" t="s">
        <v>3684</v>
      </c>
      <c r="N34" s="165" t="s">
        <v>3648</v>
      </c>
      <c r="O34" s="165" t="s">
        <v>3638</v>
      </c>
      <c r="P34" s="165" t="s">
        <v>3638</v>
      </c>
      <c r="Q34" s="126"/>
      <c r="R34" s="40" t="s">
        <v>3639</v>
      </c>
      <c r="S34" s="40" t="s">
        <v>3642</v>
      </c>
      <c r="T34" s="40" t="s">
        <v>192</v>
      </c>
      <c r="U34" s="41"/>
      <c r="V34" s="41"/>
      <c r="W34" s="41"/>
      <c r="X34" s="41"/>
      <c r="Y34" s="42"/>
      <c r="Z34" s="43"/>
      <c r="AA34" s="41"/>
      <c r="AB34" s="41"/>
      <c r="AC34" s="41"/>
      <c r="AD34" s="41"/>
      <c r="AE34" s="44"/>
      <c r="AF34" s="196"/>
      <c r="AG34" s="45"/>
      <c r="AH34" s="189">
        <v>1</v>
      </c>
      <c r="AI34" s="180"/>
      <c r="AJ34" s="45"/>
      <c r="AK34" s="45" t="s">
        <v>1645</v>
      </c>
      <c r="AL34" s="3" t="s">
        <v>1582</v>
      </c>
    </row>
    <row r="35" spans="2:38" ht="27">
      <c r="B35" s="144">
        <f t="shared" si="0"/>
        <v>32</v>
      </c>
      <c r="C35" s="148" t="s">
        <v>3731</v>
      </c>
      <c r="D35" s="148"/>
      <c r="E35" s="148"/>
      <c r="F35" s="148"/>
      <c r="G35" s="148"/>
      <c r="H35" s="148"/>
      <c r="I35" s="148"/>
      <c r="J35" s="148"/>
      <c r="K35" s="165" t="s">
        <v>3659</v>
      </c>
      <c r="L35" s="65" t="s">
        <v>3644</v>
      </c>
      <c r="M35" s="165" t="s">
        <v>3684</v>
      </c>
      <c r="N35" s="165" t="s">
        <v>3648</v>
      </c>
      <c r="O35" s="65" t="s">
        <v>3645</v>
      </c>
      <c r="P35" s="65" t="s">
        <v>3645</v>
      </c>
      <c r="Q35" s="181" t="s">
        <v>2916</v>
      </c>
      <c r="R35" s="41" t="s">
        <v>3730</v>
      </c>
      <c r="S35" s="41" t="s">
        <v>248</v>
      </c>
      <c r="T35" s="41" t="s">
        <v>192</v>
      </c>
      <c r="U35" s="41" t="s">
        <v>249</v>
      </c>
      <c r="V35" s="41" t="s">
        <v>139</v>
      </c>
      <c r="W35" s="41" t="s">
        <v>139</v>
      </c>
      <c r="X35" s="41" t="s">
        <v>139</v>
      </c>
      <c r="Y35" s="42" t="s">
        <v>139</v>
      </c>
      <c r="Z35" s="53" t="s">
        <v>250</v>
      </c>
      <c r="AA35" s="54" t="s">
        <v>139</v>
      </c>
      <c r="AB35" s="54" t="s">
        <v>139</v>
      </c>
      <c r="AC35" s="54" t="s">
        <v>139</v>
      </c>
      <c r="AD35" s="54" t="s">
        <v>139</v>
      </c>
      <c r="AE35" s="55"/>
      <c r="AF35" s="195"/>
      <c r="AG35" s="56"/>
      <c r="AH35" s="188">
        <v>1</v>
      </c>
      <c r="AI35" s="180"/>
      <c r="AJ35" s="56"/>
      <c r="AK35" s="56"/>
      <c r="AL35" s="3" t="s">
        <v>1582</v>
      </c>
    </row>
    <row r="36" spans="2:38" ht="27">
      <c r="B36" s="144">
        <f t="shared" si="0"/>
        <v>33</v>
      </c>
      <c r="C36" s="148" t="s">
        <v>3731</v>
      </c>
      <c r="D36" s="148"/>
      <c r="E36" s="148"/>
      <c r="F36" s="148"/>
      <c r="G36" s="148"/>
      <c r="H36" s="148"/>
      <c r="I36" s="148"/>
      <c r="J36" s="148"/>
      <c r="K36" s="165" t="s">
        <v>3659</v>
      </c>
      <c r="L36" s="65" t="s">
        <v>3644</v>
      </c>
      <c r="M36" s="165" t="s">
        <v>3684</v>
      </c>
      <c r="N36" s="165" t="s">
        <v>3648</v>
      </c>
      <c r="O36" s="65" t="s">
        <v>3640</v>
      </c>
      <c r="P36" s="65" t="s">
        <v>3640</v>
      </c>
      <c r="Q36" s="54"/>
      <c r="R36" s="41" t="s">
        <v>3641</v>
      </c>
      <c r="S36" s="41"/>
      <c r="T36" s="41" t="s">
        <v>192</v>
      </c>
      <c r="U36" s="41"/>
      <c r="V36" s="41"/>
      <c r="W36" s="41"/>
      <c r="X36" s="41"/>
      <c r="Y36" s="42"/>
      <c r="Z36" s="53"/>
      <c r="AA36" s="54"/>
      <c r="AB36" s="54"/>
      <c r="AC36" s="54"/>
      <c r="AD36" s="54"/>
      <c r="AE36" s="55"/>
      <c r="AF36" s="195"/>
      <c r="AG36" s="56"/>
      <c r="AH36" s="188"/>
      <c r="AI36" s="180"/>
      <c r="AJ36" s="56"/>
      <c r="AK36" s="56"/>
      <c r="AL36" s="3" t="s">
        <v>1582</v>
      </c>
    </row>
    <row r="37" spans="2:38" ht="27">
      <c r="B37" s="144">
        <f t="shared" si="0"/>
        <v>34</v>
      </c>
      <c r="C37" s="148" t="s">
        <v>3731</v>
      </c>
      <c r="D37" s="148"/>
      <c r="E37" s="148"/>
      <c r="F37" s="148"/>
      <c r="G37" s="148"/>
      <c r="H37" s="148"/>
      <c r="I37" s="148"/>
      <c r="J37" s="148"/>
      <c r="K37" s="165" t="s">
        <v>3659</v>
      </c>
      <c r="L37" s="65" t="s">
        <v>3644</v>
      </c>
      <c r="M37" s="165" t="s">
        <v>3684</v>
      </c>
      <c r="N37" s="165" t="s">
        <v>3648</v>
      </c>
      <c r="O37" s="65" t="s">
        <v>3376</v>
      </c>
      <c r="P37" s="65" t="s">
        <v>1976</v>
      </c>
      <c r="Q37" s="126" t="s">
        <v>139</v>
      </c>
      <c r="R37" s="68" t="s">
        <v>1990</v>
      </c>
      <c r="S37" s="62" t="s">
        <v>1992</v>
      </c>
      <c r="T37" s="40" t="s">
        <v>1645</v>
      </c>
      <c r="U37" s="41" t="s">
        <v>139</v>
      </c>
      <c r="V37" s="41" t="s">
        <v>139</v>
      </c>
      <c r="W37" s="41" t="s">
        <v>139</v>
      </c>
      <c r="X37" s="41" t="s">
        <v>139</v>
      </c>
      <c r="Y37" s="42" t="s">
        <v>1993</v>
      </c>
      <c r="Z37" s="43" t="s">
        <v>139</v>
      </c>
      <c r="AA37" s="41" t="s">
        <v>139</v>
      </c>
      <c r="AB37" s="41" t="s">
        <v>139</v>
      </c>
      <c r="AC37" s="41" t="s">
        <v>139</v>
      </c>
      <c r="AD37" s="41" t="s">
        <v>1597</v>
      </c>
      <c r="AE37" s="44"/>
      <c r="AF37" s="196"/>
      <c r="AG37" s="45"/>
      <c r="AH37" s="189">
        <v>1</v>
      </c>
      <c r="AI37" s="180"/>
      <c r="AJ37" s="180" t="s">
        <v>3762</v>
      </c>
      <c r="AK37" s="45" t="s">
        <v>1645</v>
      </c>
      <c r="AL37" s="3" t="s">
        <v>1582</v>
      </c>
    </row>
    <row r="38" spans="2:38" ht="40.5">
      <c r="B38" s="144">
        <f t="shared" si="0"/>
        <v>35</v>
      </c>
      <c r="C38" s="148" t="s">
        <v>3731</v>
      </c>
      <c r="D38" s="148"/>
      <c r="E38" s="148"/>
      <c r="F38" s="148"/>
      <c r="G38" s="148"/>
      <c r="H38" s="148"/>
      <c r="I38" s="148"/>
      <c r="J38" s="148"/>
      <c r="K38" s="165" t="s">
        <v>3659</v>
      </c>
      <c r="L38" s="65" t="s">
        <v>3644</v>
      </c>
      <c r="M38" s="165" t="s">
        <v>3684</v>
      </c>
      <c r="N38" s="165" t="s">
        <v>3648</v>
      </c>
      <c r="O38" s="65" t="s">
        <v>3377</v>
      </c>
      <c r="P38" s="65" t="s">
        <v>1977</v>
      </c>
      <c r="Q38" s="126" t="s">
        <v>139</v>
      </c>
      <c r="R38" s="40" t="s">
        <v>1978</v>
      </c>
      <c r="S38" s="40" t="s">
        <v>1991</v>
      </c>
      <c r="T38" s="40" t="s">
        <v>1666</v>
      </c>
      <c r="U38" s="41" t="s">
        <v>139</v>
      </c>
      <c r="V38" s="41" t="s">
        <v>139</v>
      </c>
      <c r="W38" s="41" t="s">
        <v>139</v>
      </c>
      <c r="X38" s="41" t="s">
        <v>139</v>
      </c>
      <c r="Y38" s="42" t="s">
        <v>1969</v>
      </c>
      <c r="Z38" s="43" t="s">
        <v>139</v>
      </c>
      <c r="AA38" s="41" t="s">
        <v>139</v>
      </c>
      <c r="AB38" s="41" t="s">
        <v>139</v>
      </c>
      <c r="AC38" s="41" t="s">
        <v>139</v>
      </c>
      <c r="AD38" s="41" t="s">
        <v>1597</v>
      </c>
      <c r="AE38" s="44" t="s">
        <v>1975</v>
      </c>
      <c r="AF38" s="196" t="s">
        <v>3992</v>
      </c>
      <c r="AG38" s="45"/>
      <c r="AH38" s="189">
        <v>1</v>
      </c>
      <c r="AI38" s="40" t="s">
        <v>3810</v>
      </c>
      <c r="AJ38" s="40" t="s">
        <v>3811</v>
      </c>
      <c r="AK38" s="40" t="s">
        <v>1666</v>
      </c>
      <c r="AL38" s="3" t="s">
        <v>1582</v>
      </c>
    </row>
    <row r="39" spans="2:38" ht="40.5">
      <c r="B39" s="144">
        <f t="shared" si="0"/>
        <v>36</v>
      </c>
      <c r="C39" s="148" t="s">
        <v>3731</v>
      </c>
      <c r="D39" s="148"/>
      <c r="E39" s="148"/>
      <c r="F39" s="148"/>
      <c r="G39" s="148"/>
      <c r="H39" s="148"/>
      <c r="I39" s="148"/>
      <c r="J39" s="148"/>
      <c r="K39" s="165" t="s">
        <v>3659</v>
      </c>
      <c r="L39" s="65" t="s">
        <v>3644</v>
      </c>
      <c r="M39" s="165" t="s">
        <v>3684</v>
      </c>
      <c r="N39" s="165" t="s">
        <v>3648</v>
      </c>
      <c r="O39" s="165" t="s">
        <v>3381</v>
      </c>
      <c r="P39" s="165" t="s">
        <v>2733</v>
      </c>
      <c r="Q39" s="126" t="s">
        <v>1637</v>
      </c>
      <c r="R39" s="40" t="s">
        <v>2735</v>
      </c>
      <c r="S39" s="40"/>
      <c r="T39" s="40" t="s">
        <v>1645</v>
      </c>
      <c r="U39" s="41" t="s">
        <v>139</v>
      </c>
      <c r="V39" s="41" t="s">
        <v>2717</v>
      </c>
      <c r="W39" s="41" t="s">
        <v>139</v>
      </c>
      <c r="X39" s="41" t="s">
        <v>139</v>
      </c>
      <c r="Y39" s="42" t="s">
        <v>139</v>
      </c>
      <c r="Z39" s="43" t="s">
        <v>139</v>
      </c>
      <c r="AA39" s="41" t="s">
        <v>2730</v>
      </c>
      <c r="AB39" s="41" t="s">
        <v>139</v>
      </c>
      <c r="AC39" s="41" t="s">
        <v>139</v>
      </c>
      <c r="AD39" s="41" t="s">
        <v>139</v>
      </c>
      <c r="AE39" s="44"/>
      <c r="AF39" s="196"/>
      <c r="AG39" s="45"/>
      <c r="AH39" s="189">
        <v>1</v>
      </c>
      <c r="AI39" s="45"/>
      <c r="AJ39" s="45"/>
      <c r="AK39" s="45"/>
      <c r="AL39" s="3" t="s">
        <v>1582</v>
      </c>
    </row>
    <row r="40" spans="2:38" ht="54">
      <c r="B40" s="144">
        <f t="shared" si="0"/>
        <v>37</v>
      </c>
      <c r="C40" s="148" t="s">
        <v>3731</v>
      </c>
      <c r="D40" s="148"/>
      <c r="E40" s="148"/>
      <c r="F40" s="148"/>
      <c r="G40" s="148"/>
      <c r="H40" s="148"/>
      <c r="I40" s="148"/>
      <c r="J40" s="148"/>
      <c r="K40" s="165" t="s">
        <v>3659</v>
      </c>
      <c r="L40" s="65" t="s">
        <v>3644</v>
      </c>
      <c r="M40" s="165" t="s">
        <v>3684</v>
      </c>
      <c r="N40" s="165" t="s">
        <v>3648</v>
      </c>
      <c r="O40" s="165" t="s">
        <v>3388</v>
      </c>
      <c r="P40" s="165" t="s">
        <v>1647</v>
      </c>
      <c r="Q40" s="126" t="s">
        <v>2296</v>
      </c>
      <c r="R40" s="40" t="s">
        <v>1649</v>
      </c>
      <c r="S40" s="40" t="s">
        <v>1648</v>
      </c>
      <c r="T40" s="40" t="s">
        <v>1645</v>
      </c>
      <c r="U40" s="41" t="s">
        <v>139</v>
      </c>
      <c r="V40" s="41" t="s">
        <v>139</v>
      </c>
      <c r="W40" s="41" t="s">
        <v>139</v>
      </c>
      <c r="X40" s="41" t="s">
        <v>1646</v>
      </c>
      <c r="Y40" s="42" t="s">
        <v>139</v>
      </c>
      <c r="Z40" s="43" t="s">
        <v>139</v>
      </c>
      <c r="AA40" s="41" t="s">
        <v>139</v>
      </c>
      <c r="AB40" s="41" t="s">
        <v>139</v>
      </c>
      <c r="AC40" s="41" t="s">
        <v>1635</v>
      </c>
      <c r="AD40" s="41" t="s">
        <v>139</v>
      </c>
      <c r="AE40" s="44"/>
      <c r="AF40" s="196" t="s">
        <v>2460</v>
      </c>
      <c r="AG40" s="45"/>
      <c r="AH40" s="189">
        <v>1</v>
      </c>
      <c r="AI40" s="59" t="s">
        <v>3962</v>
      </c>
      <c r="AJ40" s="40" t="s">
        <v>1648</v>
      </c>
      <c r="AK40" s="40" t="s">
        <v>1645</v>
      </c>
      <c r="AL40" s="3" t="s">
        <v>1582</v>
      </c>
    </row>
    <row r="41" spans="2:38" ht="40.5">
      <c r="B41" s="144">
        <f t="shared" si="0"/>
        <v>38</v>
      </c>
      <c r="C41" s="148" t="s">
        <v>3731</v>
      </c>
      <c r="D41" s="148"/>
      <c r="E41" s="148"/>
      <c r="F41" s="148"/>
      <c r="G41" s="148"/>
      <c r="H41" s="148"/>
      <c r="I41" s="148"/>
      <c r="J41" s="148"/>
      <c r="K41" s="165" t="s">
        <v>3659</v>
      </c>
      <c r="L41" s="65" t="s">
        <v>3644</v>
      </c>
      <c r="M41" s="165" t="s">
        <v>3684</v>
      </c>
      <c r="N41" s="165" t="s">
        <v>3648</v>
      </c>
      <c r="O41" s="165" t="s">
        <v>1375</v>
      </c>
      <c r="P41" s="165" t="s">
        <v>1375</v>
      </c>
      <c r="Q41" s="126" t="s">
        <v>731</v>
      </c>
      <c r="R41" s="40" t="s">
        <v>1376</v>
      </c>
      <c r="S41" s="40" t="s">
        <v>1377</v>
      </c>
      <c r="T41" s="40" t="s">
        <v>161</v>
      </c>
      <c r="U41" s="41" t="s">
        <v>1378</v>
      </c>
      <c r="V41" s="41" t="s">
        <v>139</v>
      </c>
      <c r="W41" s="41" t="s">
        <v>139</v>
      </c>
      <c r="X41" s="41" t="s">
        <v>1379</v>
      </c>
      <c r="Y41" s="42" t="s">
        <v>3118</v>
      </c>
      <c r="Z41" s="43" t="s">
        <v>114</v>
      </c>
      <c r="AA41" s="41" t="s">
        <v>139</v>
      </c>
      <c r="AB41" s="41" t="s">
        <v>139</v>
      </c>
      <c r="AC41" s="41" t="s">
        <v>806</v>
      </c>
      <c r="AD41" s="41" t="s">
        <v>1962</v>
      </c>
      <c r="AE41" s="44"/>
      <c r="AF41" s="196" t="s">
        <v>2460</v>
      </c>
      <c r="AG41" s="45"/>
      <c r="AH41" s="189">
        <v>1</v>
      </c>
      <c r="AI41" s="40" t="s">
        <v>3812</v>
      </c>
      <c r="AJ41" s="40" t="s">
        <v>3813</v>
      </c>
      <c r="AK41" s="40" t="s">
        <v>1666</v>
      </c>
      <c r="AL41" s="3" t="s">
        <v>1582</v>
      </c>
    </row>
    <row r="42" spans="2:38" ht="108">
      <c r="B42" s="144">
        <f t="shared" si="0"/>
        <v>39</v>
      </c>
      <c r="C42" s="148" t="s">
        <v>3731</v>
      </c>
      <c r="D42" s="148"/>
      <c r="E42" s="148"/>
      <c r="F42" s="148"/>
      <c r="G42" s="148"/>
      <c r="H42" s="148"/>
      <c r="I42" s="148"/>
      <c r="J42" s="148"/>
      <c r="K42" s="165" t="s">
        <v>3659</v>
      </c>
      <c r="L42" s="65" t="s">
        <v>3644</v>
      </c>
      <c r="M42" s="165" t="s">
        <v>3684</v>
      </c>
      <c r="N42" s="165" t="s">
        <v>3648</v>
      </c>
      <c r="O42" s="165" t="s">
        <v>808</v>
      </c>
      <c r="P42" s="165" t="s">
        <v>808</v>
      </c>
      <c r="Q42" s="126" t="s">
        <v>139</v>
      </c>
      <c r="R42" s="40" t="s">
        <v>873</v>
      </c>
      <c r="S42" s="40" t="s">
        <v>874</v>
      </c>
      <c r="T42" s="40" t="s">
        <v>192</v>
      </c>
      <c r="U42" s="41" t="s">
        <v>139</v>
      </c>
      <c r="V42" s="41" t="s">
        <v>139</v>
      </c>
      <c r="W42" s="41" t="s">
        <v>139</v>
      </c>
      <c r="X42" s="41" t="s">
        <v>875</v>
      </c>
      <c r="Y42" s="42" t="s">
        <v>139</v>
      </c>
      <c r="Z42" s="43" t="s">
        <v>139</v>
      </c>
      <c r="AA42" s="41" t="s">
        <v>139</v>
      </c>
      <c r="AB42" s="41" t="s">
        <v>139</v>
      </c>
      <c r="AC42" s="41" t="s">
        <v>1644</v>
      </c>
      <c r="AD42" s="41" t="s">
        <v>139</v>
      </c>
      <c r="AE42" s="44"/>
      <c r="AF42" s="196"/>
      <c r="AG42" s="45"/>
      <c r="AH42" s="189">
        <v>1</v>
      </c>
      <c r="AI42" s="45" t="s">
        <v>3963</v>
      </c>
      <c r="AJ42" s="45" t="s">
        <v>3964</v>
      </c>
      <c r="AK42" s="45" t="s">
        <v>1645</v>
      </c>
      <c r="AL42" s="3" t="s">
        <v>1582</v>
      </c>
    </row>
    <row r="43" spans="2:38" ht="27">
      <c r="B43" s="144">
        <f t="shared" si="0"/>
        <v>40</v>
      </c>
      <c r="C43" s="148" t="s">
        <v>3731</v>
      </c>
      <c r="D43" s="148"/>
      <c r="E43" s="148"/>
      <c r="F43" s="148"/>
      <c r="G43" s="148"/>
      <c r="H43" s="148"/>
      <c r="I43" s="148"/>
      <c r="J43" s="148"/>
      <c r="K43" s="165" t="s">
        <v>3659</v>
      </c>
      <c r="L43" s="65" t="s">
        <v>3644</v>
      </c>
      <c r="M43" s="165" t="s">
        <v>3684</v>
      </c>
      <c r="N43" s="165" t="s">
        <v>3648</v>
      </c>
      <c r="O43" s="65" t="s">
        <v>3378</v>
      </c>
      <c r="P43" s="65" t="s">
        <v>2982</v>
      </c>
      <c r="Q43" s="126" t="s">
        <v>139</v>
      </c>
      <c r="R43" s="62" t="s">
        <v>1995</v>
      </c>
      <c r="S43" s="62" t="s">
        <v>1996</v>
      </c>
      <c r="T43" s="40" t="s">
        <v>1645</v>
      </c>
      <c r="U43" s="41" t="s">
        <v>139</v>
      </c>
      <c r="V43" s="41" t="s">
        <v>139</v>
      </c>
      <c r="W43" s="41" t="s">
        <v>139</v>
      </c>
      <c r="X43" s="41" t="s">
        <v>139</v>
      </c>
      <c r="Y43" s="42" t="s">
        <v>1994</v>
      </c>
      <c r="Z43" s="43" t="s">
        <v>139</v>
      </c>
      <c r="AA43" s="41" t="s">
        <v>139</v>
      </c>
      <c r="AB43" s="41" t="s">
        <v>139</v>
      </c>
      <c r="AC43" s="41" t="s">
        <v>139</v>
      </c>
      <c r="AD43" s="41" t="s">
        <v>1597</v>
      </c>
      <c r="AE43" s="44" t="s">
        <v>1997</v>
      </c>
      <c r="AF43" s="196"/>
      <c r="AG43" s="45"/>
      <c r="AH43" s="189"/>
      <c r="AI43" s="180"/>
      <c r="AJ43" s="180"/>
      <c r="AK43" s="45" t="s">
        <v>1645</v>
      </c>
      <c r="AL43" s="3" t="s">
        <v>1582</v>
      </c>
    </row>
    <row r="44" spans="2:38" ht="81">
      <c r="B44" s="144">
        <f t="shared" si="0"/>
        <v>41</v>
      </c>
      <c r="C44" s="148" t="s">
        <v>3731</v>
      </c>
      <c r="D44" s="148"/>
      <c r="E44" s="148"/>
      <c r="F44" s="148"/>
      <c r="G44" s="148"/>
      <c r="H44" s="148"/>
      <c r="I44" s="148"/>
      <c r="J44" s="148"/>
      <c r="K44" s="165" t="s">
        <v>3659</v>
      </c>
      <c r="L44" s="65" t="s">
        <v>3644</v>
      </c>
      <c r="M44" s="165" t="s">
        <v>3684</v>
      </c>
      <c r="N44" s="165" t="s">
        <v>3648</v>
      </c>
      <c r="O44" s="65" t="s">
        <v>3379</v>
      </c>
      <c r="P44" s="65" t="s">
        <v>2981</v>
      </c>
      <c r="Q44" s="126" t="s">
        <v>139</v>
      </c>
      <c r="R44" s="62" t="s">
        <v>1966</v>
      </c>
      <c r="S44" s="62" t="s">
        <v>1968</v>
      </c>
      <c r="T44" s="40" t="s">
        <v>1666</v>
      </c>
      <c r="U44" s="41" t="s">
        <v>139</v>
      </c>
      <c r="V44" s="41" t="s">
        <v>139</v>
      </c>
      <c r="W44" s="41" t="s">
        <v>139</v>
      </c>
      <c r="X44" s="41" t="s">
        <v>139</v>
      </c>
      <c r="Y44" s="42" t="s">
        <v>1969</v>
      </c>
      <c r="Z44" s="43" t="s">
        <v>139</v>
      </c>
      <c r="AA44" s="41" t="s">
        <v>139</v>
      </c>
      <c r="AB44" s="41" t="s">
        <v>139</v>
      </c>
      <c r="AC44" s="41" t="s">
        <v>139</v>
      </c>
      <c r="AD44" s="41" t="s">
        <v>1597</v>
      </c>
      <c r="AE44" s="44" t="s">
        <v>1971</v>
      </c>
      <c r="AF44" s="196"/>
      <c r="AG44" s="45"/>
      <c r="AH44" s="189">
        <v>1</v>
      </c>
      <c r="AI44" s="40" t="s">
        <v>3814</v>
      </c>
      <c r="AJ44" s="40" t="s">
        <v>3816</v>
      </c>
      <c r="AK44" s="40" t="s">
        <v>1666</v>
      </c>
      <c r="AL44" s="3" t="s">
        <v>1582</v>
      </c>
    </row>
    <row r="45" spans="2:38" ht="40.5">
      <c r="B45" s="144">
        <f t="shared" si="0"/>
        <v>42</v>
      </c>
      <c r="C45" s="148" t="s">
        <v>3731</v>
      </c>
      <c r="D45" s="148"/>
      <c r="E45" s="148"/>
      <c r="F45" s="148"/>
      <c r="G45" s="148"/>
      <c r="H45" s="148"/>
      <c r="I45" s="148"/>
      <c r="J45" s="148"/>
      <c r="K45" s="165" t="s">
        <v>3659</v>
      </c>
      <c r="L45" s="65" t="s">
        <v>3644</v>
      </c>
      <c r="M45" s="165" t="s">
        <v>3684</v>
      </c>
      <c r="N45" s="165" t="s">
        <v>3648</v>
      </c>
      <c r="O45" s="65" t="s">
        <v>3380</v>
      </c>
      <c r="P45" s="65" t="s">
        <v>2980</v>
      </c>
      <c r="Q45" s="126" t="s">
        <v>139</v>
      </c>
      <c r="R45" s="62" t="s">
        <v>1664</v>
      </c>
      <c r="S45" s="62" t="s">
        <v>1967</v>
      </c>
      <c r="T45" s="40" t="s">
        <v>1666</v>
      </c>
      <c r="U45" s="41" t="s">
        <v>139</v>
      </c>
      <c r="V45" s="41" t="s">
        <v>139</v>
      </c>
      <c r="W45" s="41" t="s">
        <v>139</v>
      </c>
      <c r="X45" s="41" t="s">
        <v>139</v>
      </c>
      <c r="Y45" s="42" t="s">
        <v>1600</v>
      </c>
      <c r="Z45" s="43" t="s">
        <v>139</v>
      </c>
      <c r="AA45" s="41" t="s">
        <v>139</v>
      </c>
      <c r="AB45" s="41" t="s">
        <v>139</v>
      </c>
      <c r="AC45" s="41" t="s">
        <v>139</v>
      </c>
      <c r="AD45" s="41" t="s">
        <v>1600</v>
      </c>
      <c r="AE45" s="44" t="s">
        <v>1970</v>
      </c>
      <c r="AF45" s="196"/>
      <c r="AG45" s="45"/>
      <c r="AH45" s="189">
        <v>1</v>
      </c>
      <c r="AI45" s="40" t="s">
        <v>3815</v>
      </c>
      <c r="AJ45" s="45" t="s">
        <v>3817</v>
      </c>
      <c r="AK45" s="40" t="s">
        <v>1666</v>
      </c>
      <c r="AL45" s="3" t="s">
        <v>1582</v>
      </c>
    </row>
    <row r="46" spans="2:38" ht="67.5">
      <c r="B46" s="144">
        <f t="shared" si="0"/>
        <v>43</v>
      </c>
      <c r="C46" s="148" t="s">
        <v>3731</v>
      </c>
      <c r="D46" s="148"/>
      <c r="E46" s="148"/>
      <c r="F46" s="148"/>
      <c r="G46" s="148"/>
      <c r="H46" s="148"/>
      <c r="I46" s="148"/>
      <c r="J46" s="148"/>
      <c r="K46" s="165" t="s">
        <v>3659</v>
      </c>
      <c r="L46" s="65" t="s">
        <v>3644</v>
      </c>
      <c r="M46" s="165" t="s">
        <v>3684</v>
      </c>
      <c r="N46" s="165" t="s">
        <v>3648</v>
      </c>
      <c r="O46" s="65" t="s">
        <v>3373</v>
      </c>
      <c r="P46" s="65" t="s">
        <v>2005</v>
      </c>
      <c r="Q46" s="126" t="s">
        <v>1637</v>
      </c>
      <c r="R46" s="40" t="s">
        <v>2009</v>
      </c>
      <c r="S46" s="40" t="s">
        <v>2010</v>
      </c>
      <c r="T46" s="40" t="s">
        <v>1645</v>
      </c>
      <c r="U46" s="41" t="s">
        <v>139</v>
      </c>
      <c r="V46" s="41" t="s">
        <v>139</v>
      </c>
      <c r="W46" s="41" t="s">
        <v>139</v>
      </c>
      <c r="X46" s="41" t="s">
        <v>139</v>
      </c>
      <c r="Y46" s="42" t="s">
        <v>2011</v>
      </c>
      <c r="Z46" s="43" t="s">
        <v>139</v>
      </c>
      <c r="AA46" s="41" t="s">
        <v>139</v>
      </c>
      <c r="AB46" s="41" t="s">
        <v>139</v>
      </c>
      <c r="AC46" s="41" t="s">
        <v>139</v>
      </c>
      <c r="AD46" s="41" t="s">
        <v>1597</v>
      </c>
      <c r="AE46" s="44"/>
      <c r="AF46" s="196"/>
      <c r="AG46" s="45"/>
      <c r="AH46" s="189">
        <v>1</v>
      </c>
      <c r="AI46" s="180"/>
      <c r="AJ46" s="179" t="s">
        <v>3763</v>
      </c>
      <c r="AK46" s="45" t="s">
        <v>1645</v>
      </c>
      <c r="AL46" s="3" t="s">
        <v>1582</v>
      </c>
    </row>
    <row r="47" spans="2:38" ht="40.5">
      <c r="B47" s="144">
        <f t="shared" si="0"/>
        <v>44</v>
      </c>
      <c r="C47" s="148" t="s">
        <v>3731</v>
      </c>
      <c r="D47" s="148"/>
      <c r="E47" s="148"/>
      <c r="F47" s="148"/>
      <c r="G47" s="148"/>
      <c r="H47" s="148"/>
      <c r="I47" s="148"/>
      <c r="J47" s="148"/>
      <c r="K47" s="165" t="s">
        <v>3659</v>
      </c>
      <c r="L47" s="65" t="s">
        <v>3644</v>
      </c>
      <c r="M47" s="165" t="s">
        <v>3684</v>
      </c>
      <c r="N47" s="165" t="s">
        <v>3648</v>
      </c>
      <c r="O47" s="65" t="s">
        <v>3374</v>
      </c>
      <c r="P47" s="65" t="s">
        <v>1972</v>
      </c>
      <c r="Q47" s="126" t="s">
        <v>139</v>
      </c>
      <c r="R47" s="68" t="s">
        <v>1973</v>
      </c>
      <c r="S47" s="62" t="s">
        <v>1974</v>
      </c>
      <c r="T47" s="40" t="s">
        <v>1666</v>
      </c>
      <c r="U47" s="41" t="s">
        <v>139</v>
      </c>
      <c r="V47" s="41" t="s">
        <v>139</v>
      </c>
      <c r="W47" s="41" t="s">
        <v>139</v>
      </c>
      <c r="X47" s="41" t="s">
        <v>139</v>
      </c>
      <c r="Y47" s="42" t="s">
        <v>1969</v>
      </c>
      <c r="Z47" s="43" t="s">
        <v>139</v>
      </c>
      <c r="AA47" s="41" t="s">
        <v>139</v>
      </c>
      <c r="AB47" s="41" t="s">
        <v>139</v>
      </c>
      <c r="AC47" s="41" t="s">
        <v>139</v>
      </c>
      <c r="AD47" s="41" t="s">
        <v>1597</v>
      </c>
      <c r="AE47" s="44" t="s">
        <v>1975</v>
      </c>
      <c r="AF47" s="196"/>
      <c r="AG47" s="45"/>
      <c r="AH47" s="189">
        <v>1</v>
      </c>
      <c r="AI47" s="40" t="s">
        <v>3818</v>
      </c>
      <c r="AJ47" s="40" t="s">
        <v>3819</v>
      </c>
      <c r="AK47" s="40" t="s">
        <v>1666</v>
      </c>
      <c r="AL47" s="3" t="s">
        <v>1582</v>
      </c>
    </row>
    <row r="48" spans="2:38" ht="40.5">
      <c r="B48" s="144">
        <f t="shared" si="0"/>
        <v>45</v>
      </c>
      <c r="C48" s="148" t="s">
        <v>3731</v>
      </c>
      <c r="D48" s="148"/>
      <c r="E48" s="148"/>
      <c r="F48" s="148"/>
      <c r="G48" s="148"/>
      <c r="H48" s="148"/>
      <c r="I48" s="148"/>
      <c r="J48" s="148"/>
      <c r="K48" s="165" t="s">
        <v>3659</v>
      </c>
      <c r="L48" s="65" t="s">
        <v>3644</v>
      </c>
      <c r="M48" s="165" t="s">
        <v>3684</v>
      </c>
      <c r="N48" s="165" t="s">
        <v>3648</v>
      </c>
      <c r="O48" s="165" t="s">
        <v>3375</v>
      </c>
      <c r="P48" s="165" t="s">
        <v>2732</v>
      </c>
      <c r="Q48" s="126" t="s">
        <v>1637</v>
      </c>
      <c r="R48" s="40" t="s">
        <v>2734</v>
      </c>
      <c r="S48" s="40"/>
      <c r="T48" s="40" t="s">
        <v>1645</v>
      </c>
      <c r="U48" s="41" t="s">
        <v>139</v>
      </c>
      <c r="V48" s="41" t="s">
        <v>2717</v>
      </c>
      <c r="W48" s="41" t="s">
        <v>139</v>
      </c>
      <c r="X48" s="41" t="s">
        <v>139</v>
      </c>
      <c r="Y48" s="42" t="s">
        <v>139</v>
      </c>
      <c r="Z48" s="43" t="s">
        <v>139</v>
      </c>
      <c r="AA48" s="41" t="s">
        <v>2730</v>
      </c>
      <c r="AB48" s="41" t="s">
        <v>139</v>
      </c>
      <c r="AC48" s="41" t="s">
        <v>139</v>
      </c>
      <c r="AD48" s="41" t="s">
        <v>139</v>
      </c>
      <c r="AE48" s="44"/>
      <c r="AF48" s="196"/>
      <c r="AG48" s="45"/>
      <c r="AH48" s="189"/>
      <c r="AI48" s="180"/>
      <c r="AJ48" s="180"/>
      <c r="AK48" s="45"/>
      <c r="AL48" s="3" t="s">
        <v>1582</v>
      </c>
    </row>
    <row r="49" spans="2:38" ht="27">
      <c r="B49" s="144">
        <f t="shared" si="0"/>
        <v>46</v>
      </c>
      <c r="C49" s="148" t="s">
        <v>3731</v>
      </c>
      <c r="D49" s="148"/>
      <c r="E49" s="148"/>
      <c r="F49" s="148"/>
      <c r="G49" s="148"/>
      <c r="H49" s="148"/>
      <c r="I49" s="148"/>
      <c r="J49" s="148"/>
      <c r="K49" s="165" t="s">
        <v>3659</v>
      </c>
      <c r="L49" s="65" t="s">
        <v>3644</v>
      </c>
      <c r="M49" s="165" t="s">
        <v>3684</v>
      </c>
      <c r="N49" s="165" t="s">
        <v>3686</v>
      </c>
      <c r="O49" s="165" t="s">
        <v>3391</v>
      </c>
      <c r="P49" s="165" t="s">
        <v>3309</v>
      </c>
      <c r="Q49" s="126" t="s">
        <v>3310</v>
      </c>
      <c r="R49" s="40" t="s">
        <v>2201</v>
      </c>
      <c r="S49" s="40" t="s">
        <v>1016</v>
      </c>
      <c r="T49" s="40" t="s">
        <v>192</v>
      </c>
      <c r="U49" s="41" t="s">
        <v>139</v>
      </c>
      <c r="V49" s="41" t="s">
        <v>139</v>
      </c>
      <c r="W49" s="41" t="s">
        <v>139</v>
      </c>
      <c r="X49" s="41" t="s">
        <v>2202</v>
      </c>
      <c r="Y49" s="42" t="s">
        <v>2019</v>
      </c>
      <c r="Z49" s="43" t="s">
        <v>139</v>
      </c>
      <c r="AA49" s="41" t="s">
        <v>139</v>
      </c>
      <c r="AB49" s="41" t="s">
        <v>139</v>
      </c>
      <c r="AC49" s="41" t="s">
        <v>2202</v>
      </c>
      <c r="AD49" s="41" t="s">
        <v>2014</v>
      </c>
      <c r="AE49" s="44"/>
      <c r="AF49" s="196"/>
      <c r="AG49" s="45"/>
      <c r="AH49" s="189">
        <v>1</v>
      </c>
      <c r="AI49" s="40" t="s">
        <v>3764</v>
      </c>
      <c r="AJ49" s="40" t="s">
        <v>1016</v>
      </c>
      <c r="AK49" s="40" t="s">
        <v>192</v>
      </c>
      <c r="AL49" s="3" t="s">
        <v>1582</v>
      </c>
    </row>
    <row r="50" spans="2:38" ht="94.5">
      <c r="B50" s="144">
        <f t="shared" si="0"/>
        <v>47</v>
      </c>
      <c r="C50" s="148" t="s">
        <v>3731</v>
      </c>
      <c r="D50" s="148"/>
      <c r="E50" s="148"/>
      <c r="F50" s="148"/>
      <c r="G50" s="148"/>
      <c r="H50" s="148"/>
      <c r="I50" s="148"/>
      <c r="J50" s="148"/>
      <c r="K50" s="165" t="s">
        <v>3659</v>
      </c>
      <c r="L50" s="65" t="s">
        <v>3644</v>
      </c>
      <c r="M50" s="165" t="s">
        <v>3684</v>
      </c>
      <c r="N50" s="165" t="s">
        <v>3686</v>
      </c>
      <c r="O50" s="165" t="s">
        <v>1360</v>
      </c>
      <c r="P50" s="165" t="s">
        <v>1360</v>
      </c>
      <c r="Q50" s="126" t="s">
        <v>139</v>
      </c>
      <c r="R50" s="40" t="s">
        <v>1590</v>
      </c>
      <c r="S50" s="40" t="s">
        <v>1589</v>
      </c>
      <c r="T50" s="40" t="s">
        <v>192</v>
      </c>
      <c r="U50" s="41" t="s">
        <v>139</v>
      </c>
      <c r="V50" s="41" t="s">
        <v>139</v>
      </c>
      <c r="W50" s="41" t="s">
        <v>139</v>
      </c>
      <c r="X50" s="41" t="s">
        <v>139</v>
      </c>
      <c r="Y50" s="42" t="s">
        <v>1600</v>
      </c>
      <c r="Z50" s="43" t="s">
        <v>139</v>
      </c>
      <c r="AA50" s="41" t="s">
        <v>139</v>
      </c>
      <c r="AB50" s="41" t="s">
        <v>139</v>
      </c>
      <c r="AC50" s="41" t="s">
        <v>139</v>
      </c>
      <c r="AD50" s="41" t="s">
        <v>302</v>
      </c>
      <c r="AE50" s="44" t="s">
        <v>1591</v>
      </c>
      <c r="AF50" s="196"/>
      <c r="AG50" s="45"/>
      <c r="AH50" s="189"/>
      <c r="AI50" s="45"/>
      <c r="AJ50" s="45"/>
      <c r="AK50" s="45"/>
      <c r="AL50" s="3" t="s">
        <v>1582</v>
      </c>
    </row>
    <row r="51" spans="2:38" ht="40.5">
      <c r="B51" s="144">
        <f t="shared" si="0"/>
        <v>48</v>
      </c>
      <c r="C51" s="148" t="s">
        <v>3731</v>
      </c>
      <c r="D51" s="148"/>
      <c r="E51" s="148"/>
      <c r="F51" s="148"/>
      <c r="G51" s="148"/>
      <c r="H51" s="148"/>
      <c r="I51" s="148"/>
      <c r="J51" s="148"/>
      <c r="K51" s="165" t="s">
        <v>3659</v>
      </c>
      <c r="L51" s="65" t="s">
        <v>3644</v>
      </c>
      <c r="M51" s="165" t="s">
        <v>3684</v>
      </c>
      <c r="N51" s="165" t="s">
        <v>3686</v>
      </c>
      <c r="O51" s="165" t="s">
        <v>134</v>
      </c>
      <c r="P51" s="165" t="s">
        <v>2204</v>
      </c>
      <c r="Q51" s="126" t="s">
        <v>1637</v>
      </c>
      <c r="R51" s="40" t="s">
        <v>2205</v>
      </c>
      <c r="S51" s="40" t="s">
        <v>2206</v>
      </c>
      <c r="T51" s="40" t="s">
        <v>1645</v>
      </c>
      <c r="U51" s="41" t="s">
        <v>139</v>
      </c>
      <c r="V51" s="41" t="s">
        <v>139</v>
      </c>
      <c r="W51" s="41" t="s">
        <v>139</v>
      </c>
      <c r="X51" s="41" t="s">
        <v>2208</v>
      </c>
      <c r="Y51" s="42" t="s">
        <v>139</v>
      </c>
      <c r="Z51" s="43" t="s">
        <v>139</v>
      </c>
      <c r="AA51" s="41" t="s">
        <v>139</v>
      </c>
      <c r="AB51" s="41" t="s">
        <v>139</v>
      </c>
      <c r="AC51" s="41" t="s">
        <v>2208</v>
      </c>
      <c r="AD51" s="41" t="s">
        <v>139</v>
      </c>
      <c r="AE51" s="44"/>
      <c r="AF51" s="196"/>
      <c r="AG51" s="45"/>
      <c r="AH51" s="189">
        <v>1</v>
      </c>
      <c r="AI51" s="40" t="s">
        <v>3820</v>
      </c>
      <c r="AJ51" s="40" t="s">
        <v>3821</v>
      </c>
      <c r="AK51" s="40" t="s">
        <v>1645</v>
      </c>
      <c r="AL51" s="3" t="s">
        <v>1582</v>
      </c>
    </row>
    <row r="52" spans="2:38" ht="54">
      <c r="B52" s="144">
        <f t="shared" si="0"/>
        <v>49</v>
      </c>
      <c r="C52" s="148" t="s">
        <v>3731</v>
      </c>
      <c r="D52" s="148"/>
      <c r="E52" s="148"/>
      <c r="F52" s="148"/>
      <c r="G52" s="148"/>
      <c r="H52" s="148"/>
      <c r="I52" s="148"/>
      <c r="J52" s="148"/>
      <c r="K52" s="165" t="s">
        <v>3659</v>
      </c>
      <c r="L52" s="65" t="s">
        <v>3644</v>
      </c>
      <c r="M52" s="165" t="s">
        <v>3684</v>
      </c>
      <c r="N52" s="165" t="s">
        <v>3686</v>
      </c>
      <c r="O52" s="65" t="s">
        <v>134</v>
      </c>
      <c r="P52" s="65" t="s">
        <v>134</v>
      </c>
      <c r="Q52" s="54" t="s">
        <v>135</v>
      </c>
      <c r="R52" s="41" t="s">
        <v>136</v>
      </c>
      <c r="S52" s="70" t="s">
        <v>2091</v>
      </c>
      <c r="T52" s="41" t="s">
        <v>192</v>
      </c>
      <c r="U52" s="41" t="s">
        <v>137</v>
      </c>
      <c r="V52" s="41" t="s">
        <v>2715</v>
      </c>
      <c r="W52" s="41" t="s">
        <v>139</v>
      </c>
      <c r="X52" s="41" t="s">
        <v>139</v>
      </c>
      <c r="Y52" s="42" t="s">
        <v>2016</v>
      </c>
      <c r="Z52" s="53" t="s">
        <v>114</v>
      </c>
      <c r="AA52" s="54" t="s">
        <v>2729</v>
      </c>
      <c r="AB52" s="54" t="s">
        <v>139</v>
      </c>
      <c r="AC52" s="54" t="s">
        <v>139</v>
      </c>
      <c r="AD52" s="54" t="s">
        <v>2015</v>
      </c>
      <c r="AE52" s="55"/>
      <c r="AF52" s="195"/>
      <c r="AG52" s="56"/>
      <c r="AH52" s="188">
        <v>1</v>
      </c>
      <c r="AI52" s="56" t="s">
        <v>3768</v>
      </c>
      <c r="AJ52" s="56"/>
      <c r="AK52" s="56"/>
      <c r="AL52" s="3" t="s">
        <v>1582</v>
      </c>
    </row>
    <row r="53" spans="2:38" ht="40.5">
      <c r="B53" s="144">
        <f t="shared" si="0"/>
        <v>50</v>
      </c>
      <c r="C53" s="148" t="s">
        <v>3731</v>
      </c>
      <c r="D53" s="148"/>
      <c r="E53" s="148"/>
      <c r="F53" s="148"/>
      <c r="G53" s="148"/>
      <c r="H53" s="148"/>
      <c r="I53" s="148"/>
      <c r="J53" s="148"/>
      <c r="K53" s="165" t="s">
        <v>3659</v>
      </c>
      <c r="L53" s="65" t="s">
        <v>3644</v>
      </c>
      <c r="M53" s="165" t="s">
        <v>3684</v>
      </c>
      <c r="N53" s="165" t="s">
        <v>3686</v>
      </c>
      <c r="O53" s="65" t="s">
        <v>3390</v>
      </c>
      <c r="P53" s="65" t="s">
        <v>1980</v>
      </c>
      <c r="Q53" s="126" t="s">
        <v>1637</v>
      </c>
      <c r="R53" s="40" t="s">
        <v>1981</v>
      </c>
      <c r="S53" s="40" t="s">
        <v>1982</v>
      </c>
      <c r="T53" s="40" t="s">
        <v>1666</v>
      </c>
      <c r="U53" s="41" t="s">
        <v>139</v>
      </c>
      <c r="V53" s="41" t="s">
        <v>139</v>
      </c>
      <c r="W53" s="41" t="s">
        <v>139</v>
      </c>
      <c r="X53" s="41" t="s">
        <v>139</v>
      </c>
      <c r="Y53" s="42" t="s">
        <v>1969</v>
      </c>
      <c r="Z53" s="43" t="s">
        <v>139</v>
      </c>
      <c r="AA53" s="41" t="s">
        <v>139</v>
      </c>
      <c r="AB53" s="41" t="s">
        <v>139</v>
      </c>
      <c r="AC53" s="41" t="s">
        <v>139</v>
      </c>
      <c r="AD53" s="41" t="s">
        <v>1912</v>
      </c>
      <c r="AE53" s="44" t="s">
        <v>1975</v>
      </c>
      <c r="AF53" s="196"/>
      <c r="AG53" s="45"/>
      <c r="AH53" s="189">
        <v>1</v>
      </c>
      <c r="AI53" s="40" t="s">
        <v>3822</v>
      </c>
      <c r="AJ53" s="40" t="s">
        <v>3823</v>
      </c>
      <c r="AK53" s="40" t="s">
        <v>1666</v>
      </c>
      <c r="AL53" s="3" t="s">
        <v>1582</v>
      </c>
    </row>
    <row r="54" spans="2:38" ht="27">
      <c r="B54" s="144">
        <f t="shared" si="0"/>
        <v>51</v>
      </c>
      <c r="C54" s="144" t="s">
        <v>3731</v>
      </c>
      <c r="D54" s="144"/>
      <c r="E54" s="144"/>
      <c r="F54" s="144"/>
      <c r="G54" s="144"/>
      <c r="H54" s="144"/>
      <c r="I54" s="144"/>
      <c r="J54" s="144"/>
      <c r="K54" s="166" t="s">
        <v>3659</v>
      </c>
      <c r="L54" s="65" t="s">
        <v>3644</v>
      </c>
      <c r="M54" s="165" t="s">
        <v>3684</v>
      </c>
      <c r="N54" s="165" t="s">
        <v>3686</v>
      </c>
      <c r="O54" s="167" t="s">
        <v>1034</v>
      </c>
      <c r="P54" s="166" t="s">
        <v>1034</v>
      </c>
      <c r="Q54" s="125" t="s">
        <v>139</v>
      </c>
      <c r="R54" s="33" t="s">
        <v>1035</v>
      </c>
      <c r="S54" s="33" t="s">
        <v>1036</v>
      </c>
      <c r="T54" s="33" t="s">
        <v>1645</v>
      </c>
      <c r="U54" s="34" t="s">
        <v>139</v>
      </c>
      <c r="V54" s="34" t="s">
        <v>139</v>
      </c>
      <c r="W54" s="34" t="s">
        <v>139</v>
      </c>
      <c r="X54" s="34" t="s">
        <v>139</v>
      </c>
      <c r="Y54" s="35" t="s">
        <v>1015</v>
      </c>
      <c r="Z54" s="36" t="s">
        <v>139</v>
      </c>
      <c r="AA54" s="34" t="s">
        <v>139</v>
      </c>
      <c r="AB54" s="34" t="s">
        <v>139</v>
      </c>
      <c r="AC54" s="34" t="s">
        <v>139</v>
      </c>
      <c r="AD54" s="34" t="s">
        <v>1017</v>
      </c>
      <c r="AE54" s="37"/>
      <c r="AF54" s="197"/>
      <c r="AG54" s="38"/>
      <c r="AH54" s="190">
        <v>1</v>
      </c>
      <c r="AI54" s="184"/>
      <c r="AJ54" s="184"/>
      <c r="AK54" s="38" t="s">
        <v>1645</v>
      </c>
      <c r="AL54" s="3" t="s">
        <v>1582</v>
      </c>
    </row>
    <row r="55" spans="2:38" ht="27">
      <c r="B55" s="144">
        <f t="shared" si="0"/>
        <v>52</v>
      </c>
      <c r="C55" s="148" t="s">
        <v>3731</v>
      </c>
      <c r="D55" s="148"/>
      <c r="E55" s="148"/>
      <c r="F55" s="148"/>
      <c r="G55" s="148"/>
      <c r="H55" s="148"/>
      <c r="I55" s="148"/>
      <c r="J55" s="148"/>
      <c r="K55" s="165" t="s">
        <v>3659</v>
      </c>
      <c r="L55" s="65" t="s">
        <v>3644</v>
      </c>
      <c r="M55" s="165" t="s">
        <v>3684</v>
      </c>
      <c r="N55" s="165" t="s">
        <v>3686</v>
      </c>
      <c r="O55" s="165" t="s">
        <v>1037</v>
      </c>
      <c r="P55" s="165" t="s">
        <v>1037</v>
      </c>
      <c r="Q55" s="126" t="s">
        <v>139</v>
      </c>
      <c r="R55" s="40" t="s">
        <v>1038</v>
      </c>
      <c r="S55" s="40" t="s">
        <v>1604</v>
      </c>
      <c r="T55" s="40" t="s">
        <v>1645</v>
      </c>
      <c r="U55" s="41" t="s">
        <v>139</v>
      </c>
      <c r="V55" s="41" t="s">
        <v>139</v>
      </c>
      <c r="W55" s="41" t="s">
        <v>139</v>
      </c>
      <c r="X55" s="41" t="s">
        <v>139</v>
      </c>
      <c r="Y55" s="42" t="s">
        <v>1015</v>
      </c>
      <c r="Z55" s="43" t="s">
        <v>139</v>
      </c>
      <c r="AA55" s="41" t="s">
        <v>139</v>
      </c>
      <c r="AB55" s="41" t="s">
        <v>139</v>
      </c>
      <c r="AC55" s="41" t="s">
        <v>139</v>
      </c>
      <c r="AD55" s="41" t="s">
        <v>1017</v>
      </c>
      <c r="AE55" s="44"/>
      <c r="AF55" s="196"/>
      <c r="AG55" s="45"/>
      <c r="AH55" s="189">
        <v>1</v>
      </c>
      <c r="AI55" s="180"/>
      <c r="AJ55" s="180"/>
      <c r="AK55" s="45" t="s">
        <v>1645</v>
      </c>
      <c r="AL55" s="3" t="s">
        <v>1582</v>
      </c>
    </row>
    <row r="56" spans="2:38" ht="27" hidden="1">
      <c r="B56" s="144">
        <f t="shared" si="0"/>
        <v>53</v>
      </c>
      <c r="C56" s="148" t="s">
        <v>3732</v>
      </c>
      <c r="D56" s="148"/>
      <c r="E56" s="148"/>
      <c r="F56" s="148"/>
      <c r="G56" s="148"/>
      <c r="H56" s="148"/>
      <c r="I56" s="148"/>
      <c r="J56" s="148"/>
      <c r="K56" s="165" t="s">
        <v>3659</v>
      </c>
      <c r="L56" s="65" t="s">
        <v>3644</v>
      </c>
      <c r="M56" s="165" t="s">
        <v>3684</v>
      </c>
      <c r="N56" s="165" t="s">
        <v>3686</v>
      </c>
      <c r="O56" s="65" t="s">
        <v>158</v>
      </c>
      <c r="P56" s="65" t="s">
        <v>158</v>
      </c>
      <c r="Q56" s="54" t="s">
        <v>139</v>
      </c>
      <c r="R56" s="41" t="s">
        <v>159</v>
      </c>
      <c r="S56" s="41" t="s">
        <v>160</v>
      </c>
      <c r="T56" s="41" t="s">
        <v>161</v>
      </c>
      <c r="U56" s="41" t="s">
        <v>162</v>
      </c>
      <c r="V56" s="41" t="s">
        <v>139</v>
      </c>
      <c r="W56" s="41" t="s">
        <v>139</v>
      </c>
      <c r="X56" s="41" t="s">
        <v>139</v>
      </c>
      <c r="Y56" s="42" t="s">
        <v>139</v>
      </c>
      <c r="Z56" s="53" t="s">
        <v>163</v>
      </c>
      <c r="AA56" s="54" t="s">
        <v>139</v>
      </c>
      <c r="AB56" s="54" t="s">
        <v>139</v>
      </c>
      <c r="AC56" s="54" t="s">
        <v>139</v>
      </c>
      <c r="AD56" s="54" t="s">
        <v>139</v>
      </c>
      <c r="AE56" s="55"/>
      <c r="AF56" s="56"/>
      <c r="AG56" s="56"/>
      <c r="AH56" s="57"/>
      <c r="AI56" s="56"/>
      <c r="AJ56" s="56"/>
      <c r="AK56" s="56"/>
      <c r="AL56" s="3" t="s">
        <v>1582</v>
      </c>
    </row>
    <row r="57" spans="2:38" ht="27">
      <c r="B57" s="144">
        <f t="shared" si="0"/>
        <v>54</v>
      </c>
      <c r="C57" s="148" t="s">
        <v>3731</v>
      </c>
      <c r="D57" s="148"/>
      <c r="E57" s="148"/>
      <c r="F57" s="148"/>
      <c r="G57" s="148"/>
      <c r="H57" s="148"/>
      <c r="I57" s="148"/>
      <c r="J57" s="148"/>
      <c r="K57" s="165" t="s">
        <v>3659</v>
      </c>
      <c r="L57" s="65" t="s">
        <v>3644</v>
      </c>
      <c r="M57" s="165" t="s">
        <v>3684</v>
      </c>
      <c r="N57" s="165" t="s">
        <v>3686</v>
      </c>
      <c r="O57" s="65" t="s">
        <v>164</v>
      </c>
      <c r="P57" s="65" t="s">
        <v>164</v>
      </c>
      <c r="Q57" s="54" t="s">
        <v>139</v>
      </c>
      <c r="R57" s="41" t="s">
        <v>165</v>
      </c>
      <c r="S57" s="41" t="s">
        <v>166</v>
      </c>
      <c r="T57" s="41" t="s">
        <v>192</v>
      </c>
      <c r="U57" s="41" t="s">
        <v>167</v>
      </c>
      <c r="V57" s="41" t="s">
        <v>139</v>
      </c>
      <c r="W57" s="41" t="s">
        <v>139</v>
      </c>
      <c r="X57" s="41" t="s">
        <v>139</v>
      </c>
      <c r="Y57" s="42" t="s">
        <v>1985</v>
      </c>
      <c r="Z57" s="53" t="s">
        <v>117</v>
      </c>
      <c r="AA57" s="54" t="s">
        <v>139</v>
      </c>
      <c r="AB57" s="54" t="s">
        <v>139</v>
      </c>
      <c r="AC57" s="54" t="s">
        <v>139</v>
      </c>
      <c r="AD57" s="54" t="s">
        <v>1965</v>
      </c>
      <c r="AE57" s="55"/>
      <c r="AF57" s="195"/>
      <c r="AG57" s="56"/>
      <c r="AH57" s="188">
        <v>1</v>
      </c>
      <c r="AI57" s="185"/>
      <c r="AJ57" s="185" t="s">
        <v>3765</v>
      </c>
      <c r="AK57" s="56" t="s">
        <v>1645</v>
      </c>
      <c r="AL57" s="3" t="s">
        <v>1582</v>
      </c>
    </row>
    <row r="58" spans="2:38" ht="121.5">
      <c r="B58" s="144">
        <f t="shared" si="0"/>
        <v>55</v>
      </c>
      <c r="C58" s="148" t="s">
        <v>3731</v>
      </c>
      <c r="D58" s="148"/>
      <c r="E58" s="148"/>
      <c r="F58" s="148"/>
      <c r="G58" s="148"/>
      <c r="H58" s="148"/>
      <c r="I58" s="148"/>
      <c r="J58" s="148"/>
      <c r="K58" s="165" t="s">
        <v>3659</v>
      </c>
      <c r="L58" s="65" t="s">
        <v>3644</v>
      </c>
      <c r="M58" s="165" t="s">
        <v>3684</v>
      </c>
      <c r="N58" s="165" t="s">
        <v>3686</v>
      </c>
      <c r="O58" s="65" t="s">
        <v>3394</v>
      </c>
      <c r="P58" s="65" t="s">
        <v>2754</v>
      </c>
      <c r="Q58" s="54" t="s">
        <v>139</v>
      </c>
      <c r="R58" s="70" t="s">
        <v>1639</v>
      </c>
      <c r="S58" s="70" t="s">
        <v>1640</v>
      </c>
      <c r="T58" s="41" t="s">
        <v>192</v>
      </c>
      <c r="U58" s="41" t="s">
        <v>155</v>
      </c>
      <c r="V58" s="41" t="s">
        <v>2717</v>
      </c>
      <c r="W58" s="41" t="s">
        <v>139</v>
      </c>
      <c r="X58" s="41" t="s">
        <v>156</v>
      </c>
      <c r="Y58" s="42" t="s">
        <v>3123</v>
      </c>
      <c r="Z58" s="53" t="s">
        <v>114</v>
      </c>
      <c r="AA58" s="54" t="s">
        <v>2729</v>
      </c>
      <c r="AB58" s="54" t="s">
        <v>139</v>
      </c>
      <c r="AC58" s="54" t="s">
        <v>1638</v>
      </c>
      <c r="AD58" s="54" t="s">
        <v>1687</v>
      </c>
      <c r="AE58" s="55" t="s">
        <v>3113</v>
      </c>
      <c r="AF58" s="195"/>
      <c r="AG58" s="56"/>
      <c r="AH58" s="188">
        <v>1</v>
      </c>
      <c r="AI58" s="80" t="s">
        <v>3824</v>
      </c>
      <c r="AJ58" s="80" t="s">
        <v>3825</v>
      </c>
      <c r="AK58" s="56" t="s">
        <v>1645</v>
      </c>
      <c r="AL58" s="3" t="s">
        <v>1582</v>
      </c>
    </row>
    <row r="59" spans="2:38" ht="40.5">
      <c r="B59" s="144">
        <f t="shared" si="0"/>
        <v>56</v>
      </c>
      <c r="C59" s="148" t="s">
        <v>3731</v>
      </c>
      <c r="D59" s="148"/>
      <c r="E59" s="148"/>
      <c r="F59" s="148"/>
      <c r="G59" s="148"/>
      <c r="H59" s="148"/>
      <c r="I59" s="148"/>
      <c r="J59" s="148"/>
      <c r="K59" s="165" t="s">
        <v>3659</v>
      </c>
      <c r="L59" s="65" t="s">
        <v>3644</v>
      </c>
      <c r="M59" s="165" t="s">
        <v>3684</v>
      </c>
      <c r="N59" s="165" t="s">
        <v>3686</v>
      </c>
      <c r="O59" s="165" t="s">
        <v>3395</v>
      </c>
      <c r="P59" s="165" t="s">
        <v>1641</v>
      </c>
      <c r="Q59" s="126" t="s">
        <v>1637</v>
      </c>
      <c r="R59" s="84" t="s">
        <v>1642</v>
      </c>
      <c r="S59" s="84" t="s">
        <v>2094</v>
      </c>
      <c r="T59" s="40" t="s">
        <v>2093</v>
      </c>
      <c r="U59" s="41" t="s">
        <v>139</v>
      </c>
      <c r="V59" s="41" t="s">
        <v>139</v>
      </c>
      <c r="W59" s="41" t="s">
        <v>139</v>
      </c>
      <c r="X59" s="41" t="s">
        <v>2755</v>
      </c>
      <c r="Y59" s="42" t="s">
        <v>1891</v>
      </c>
      <c r="Z59" s="43" t="s">
        <v>139</v>
      </c>
      <c r="AA59" s="41" t="s">
        <v>139</v>
      </c>
      <c r="AB59" s="41" t="s">
        <v>139</v>
      </c>
      <c r="AC59" s="41" t="s">
        <v>2756</v>
      </c>
      <c r="AD59" s="41" t="s">
        <v>1892</v>
      </c>
      <c r="AE59" s="44"/>
      <c r="AF59" s="196"/>
      <c r="AG59" s="45"/>
      <c r="AH59" s="189">
        <v>1</v>
      </c>
      <c r="AI59" s="40" t="s">
        <v>3826</v>
      </c>
      <c r="AJ59" s="40" t="s">
        <v>3827</v>
      </c>
      <c r="AK59" s="45"/>
      <c r="AL59" s="3" t="s">
        <v>1582</v>
      </c>
    </row>
    <row r="60" spans="2:38" ht="27">
      <c r="B60" s="144"/>
      <c r="C60" s="148"/>
      <c r="D60" s="148"/>
      <c r="E60" s="148"/>
      <c r="F60" s="148"/>
      <c r="G60" s="148"/>
      <c r="H60" s="148"/>
      <c r="I60" s="148"/>
      <c r="J60" s="148"/>
      <c r="K60" s="165" t="s">
        <v>3659</v>
      </c>
      <c r="L60" s="65" t="s">
        <v>3644</v>
      </c>
      <c r="M60" s="165" t="s">
        <v>3684</v>
      </c>
      <c r="N60" s="165" t="s">
        <v>3686</v>
      </c>
      <c r="O60" s="165" t="s">
        <v>3828</v>
      </c>
      <c r="P60" s="165"/>
      <c r="Q60" s="126"/>
      <c r="R60" s="84"/>
      <c r="S60" s="84"/>
      <c r="T60" s="40"/>
      <c r="U60" s="41"/>
      <c r="V60" s="41"/>
      <c r="W60" s="41"/>
      <c r="X60" s="41"/>
      <c r="Y60" s="42"/>
      <c r="Z60" s="43"/>
      <c r="AA60" s="41"/>
      <c r="AB60" s="41"/>
      <c r="AC60" s="41"/>
      <c r="AD60" s="41"/>
      <c r="AE60" s="44"/>
      <c r="AF60" s="196"/>
      <c r="AG60" s="45"/>
      <c r="AH60" s="189">
        <v>1</v>
      </c>
      <c r="AI60" s="179"/>
      <c r="AJ60" s="179"/>
      <c r="AK60" s="45" t="s">
        <v>1645</v>
      </c>
      <c r="AL60" s="3"/>
    </row>
    <row r="61" spans="2:38" ht="27">
      <c r="B61" s="144"/>
      <c r="C61" s="148"/>
      <c r="D61" s="148"/>
      <c r="E61" s="148"/>
      <c r="F61" s="148"/>
      <c r="G61" s="148"/>
      <c r="H61" s="148"/>
      <c r="I61" s="148"/>
      <c r="J61" s="148"/>
      <c r="K61" s="165" t="s">
        <v>3659</v>
      </c>
      <c r="L61" s="65" t="s">
        <v>3644</v>
      </c>
      <c r="M61" s="165" t="s">
        <v>3684</v>
      </c>
      <c r="N61" s="165" t="s">
        <v>3686</v>
      </c>
      <c r="O61" s="165" t="s">
        <v>3829</v>
      </c>
      <c r="P61" s="165"/>
      <c r="Q61" s="126"/>
      <c r="R61" s="84"/>
      <c r="S61" s="84"/>
      <c r="T61" s="40"/>
      <c r="U61" s="41"/>
      <c r="V61" s="41"/>
      <c r="W61" s="41"/>
      <c r="X61" s="41"/>
      <c r="Y61" s="42"/>
      <c r="Z61" s="43"/>
      <c r="AA61" s="41"/>
      <c r="AB61" s="41"/>
      <c r="AC61" s="41"/>
      <c r="AD61" s="41"/>
      <c r="AE61" s="44"/>
      <c r="AF61" s="196"/>
      <c r="AG61" s="45"/>
      <c r="AH61" s="189">
        <v>1</v>
      </c>
      <c r="AI61" s="179"/>
      <c r="AJ61" s="179"/>
      <c r="AK61" s="45" t="s">
        <v>1645</v>
      </c>
      <c r="AL61" s="3"/>
    </row>
    <row r="62" spans="2:38" ht="27">
      <c r="B62" s="144">
        <f t="shared" si="0"/>
        <v>59</v>
      </c>
      <c r="C62" s="148" t="s">
        <v>3731</v>
      </c>
      <c r="D62" s="148"/>
      <c r="E62" s="148"/>
      <c r="F62" s="148"/>
      <c r="G62" s="148"/>
      <c r="H62" s="148"/>
      <c r="I62" s="148"/>
      <c r="J62" s="148"/>
      <c r="K62" s="165" t="s">
        <v>3659</v>
      </c>
      <c r="L62" s="65" t="s">
        <v>3644</v>
      </c>
      <c r="M62" s="165" t="s">
        <v>3685</v>
      </c>
      <c r="N62" s="165" t="s">
        <v>3687</v>
      </c>
      <c r="O62" s="202" t="s">
        <v>1366</v>
      </c>
      <c r="P62" s="165" t="s">
        <v>1366</v>
      </c>
      <c r="Q62" s="126" t="s">
        <v>1367</v>
      </c>
      <c r="R62" s="40" t="s">
        <v>1368</v>
      </c>
      <c r="S62" s="40" t="s">
        <v>1369</v>
      </c>
      <c r="T62" s="40" t="s">
        <v>192</v>
      </c>
      <c r="U62" s="41" t="s">
        <v>139</v>
      </c>
      <c r="V62" s="41" t="s">
        <v>139</v>
      </c>
      <c r="W62" s="41" t="s">
        <v>139</v>
      </c>
      <c r="X62" s="41" t="s">
        <v>139</v>
      </c>
      <c r="Y62" s="42" t="s">
        <v>1600</v>
      </c>
      <c r="Z62" s="43" t="s">
        <v>139</v>
      </c>
      <c r="AA62" s="41" t="s">
        <v>139</v>
      </c>
      <c r="AB62" s="41" t="s">
        <v>139</v>
      </c>
      <c r="AC62" s="41" t="s">
        <v>139</v>
      </c>
      <c r="AD62" s="41" t="s">
        <v>302</v>
      </c>
      <c r="AE62" s="44"/>
      <c r="AF62" s="196" t="s">
        <v>3961</v>
      </c>
      <c r="AG62" s="45"/>
      <c r="AH62" s="189"/>
      <c r="AI62" s="205"/>
      <c r="AJ62" s="205"/>
      <c r="AK62" s="45"/>
      <c r="AL62" s="3" t="s">
        <v>1582</v>
      </c>
    </row>
    <row r="63" spans="2:38" ht="27">
      <c r="B63" s="144">
        <f t="shared" si="0"/>
        <v>60</v>
      </c>
      <c r="C63" s="148" t="s">
        <v>3731</v>
      </c>
      <c r="D63" s="148"/>
      <c r="E63" s="148"/>
      <c r="F63" s="148"/>
      <c r="G63" s="148"/>
      <c r="H63" s="148"/>
      <c r="I63" s="148"/>
      <c r="J63" s="148"/>
      <c r="K63" s="165" t="s">
        <v>3659</v>
      </c>
      <c r="L63" s="65" t="s">
        <v>3644</v>
      </c>
      <c r="M63" s="165" t="s">
        <v>3685</v>
      </c>
      <c r="N63" s="165" t="s">
        <v>3687</v>
      </c>
      <c r="O63" s="202" t="s">
        <v>1361</v>
      </c>
      <c r="P63" s="165" t="s">
        <v>1361</v>
      </c>
      <c r="Q63" s="126" t="s">
        <v>1362</v>
      </c>
      <c r="R63" s="40" t="s">
        <v>1656</v>
      </c>
      <c r="S63" s="40" t="s">
        <v>1363</v>
      </c>
      <c r="T63" s="40" t="s">
        <v>1645</v>
      </c>
      <c r="U63" s="41" t="s">
        <v>139</v>
      </c>
      <c r="V63" s="41" t="s">
        <v>139</v>
      </c>
      <c r="W63" s="41" t="s">
        <v>139</v>
      </c>
      <c r="X63" s="41" t="s">
        <v>139</v>
      </c>
      <c r="Y63" s="42" t="s">
        <v>1600</v>
      </c>
      <c r="Z63" s="43" t="s">
        <v>139</v>
      </c>
      <c r="AA63" s="41" t="s">
        <v>139</v>
      </c>
      <c r="AB63" s="41" t="s">
        <v>139</v>
      </c>
      <c r="AC63" s="41" t="s">
        <v>139</v>
      </c>
      <c r="AD63" s="41" t="s">
        <v>302</v>
      </c>
      <c r="AE63" s="204" t="s">
        <v>1585</v>
      </c>
      <c r="AF63" s="196" t="s">
        <v>3961</v>
      </c>
      <c r="AG63" s="45"/>
      <c r="AH63" s="189"/>
      <c r="AI63" s="205"/>
      <c r="AJ63" s="205"/>
      <c r="AK63" s="45"/>
      <c r="AL63" s="3" t="s">
        <v>1582</v>
      </c>
    </row>
    <row r="64" spans="2:38" ht="108">
      <c r="B64" s="144">
        <f t="shared" si="0"/>
        <v>61</v>
      </c>
      <c r="C64" s="148" t="s">
        <v>3731</v>
      </c>
      <c r="D64" s="148"/>
      <c r="E64" s="148"/>
      <c r="F64" s="148"/>
      <c r="G64" s="148"/>
      <c r="H64" s="148"/>
      <c r="I64" s="148"/>
      <c r="J64" s="148"/>
      <c r="K64" s="165" t="s">
        <v>3659</v>
      </c>
      <c r="L64" s="65" t="s">
        <v>3644</v>
      </c>
      <c r="M64" s="165" t="s">
        <v>3685</v>
      </c>
      <c r="N64" s="165" t="s">
        <v>3687</v>
      </c>
      <c r="O64" s="202" t="s">
        <v>1364</v>
      </c>
      <c r="P64" s="165" t="s">
        <v>1364</v>
      </c>
      <c r="Q64" s="126" t="s">
        <v>139</v>
      </c>
      <c r="R64" s="40" t="s">
        <v>2086</v>
      </c>
      <c r="S64" s="62" t="s">
        <v>1365</v>
      </c>
      <c r="T64" s="40" t="s">
        <v>672</v>
      </c>
      <c r="U64" s="41" t="s">
        <v>139</v>
      </c>
      <c r="V64" s="41" t="s">
        <v>139</v>
      </c>
      <c r="W64" s="41" t="s">
        <v>139</v>
      </c>
      <c r="X64" s="41" t="s">
        <v>139</v>
      </c>
      <c r="Y64" s="42" t="s">
        <v>1600</v>
      </c>
      <c r="Z64" s="43" t="s">
        <v>139</v>
      </c>
      <c r="AA64" s="41" t="s">
        <v>139</v>
      </c>
      <c r="AB64" s="41" t="s">
        <v>139</v>
      </c>
      <c r="AC64" s="41" t="s">
        <v>139</v>
      </c>
      <c r="AD64" s="41" t="s">
        <v>1600</v>
      </c>
      <c r="AE64" s="204" t="s">
        <v>1586</v>
      </c>
      <c r="AF64" s="196" t="s">
        <v>3961</v>
      </c>
      <c r="AG64" s="45"/>
      <c r="AH64" s="189">
        <v>1</v>
      </c>
      <c r="AI64" s="205"/>
      <c r="AJ64" s="205" t="s">
        <v>3995</v>
      </c>
      <c r="AK64" s="45" t="s">
        <v>3996</v>
      </c>
      <c r="AL64" s="3" t="s">
        <v>1582</v>
      </c>
    </row>
    <row r="65" spans="2:38" ht="27">
      <c r="B65" s="144">
        <f t="shared" si="0"/>
        <v>62</v>
      </c>
      <c r="C65" s="148" t="s">
        <v>3731</v>
      </c>
      <c r="D65" s="148"/>
      <c r="E65" s="148"/>
      <c r="F65" s="148"/>
      <c r="G65" s="148"/>
      <c r="H65" s="148"/>
      <c r="I65" s="148"/>
      <c r="J65" s="148"/>
      <c r="K65" s="165" t="s">
        <v>3659</v>
      </c>
      <c r="L65" s="65" t="s">
        <v>3644</v>
      </c>
      <c r="M65" s="165" t="s">
        <v>3685</v>
      </c>
      <c r="N65" s="65" t="s">
        <v>3688</v>
      </c>
      <c r="O65" s="203" t="s">
        <v>3396</v>
      </c>
      <c r="P65" s="65" t="s">
        <v>1675</v>
      </c>
      <c r="Q65" s="126" t="s">
        <v>139</v>
      </c>
      <c r="R65" s="40" t="s">
        <v>1676</v>
      </c>
      <c r="S65" s="47" t="s">
        <v>1677</v>
      </c>
      <c r="T65" s="40" t="s">
        <v>1665</v>
      </c>
      <c r="U65" s="41" t="s">
        <v>139</v>
      </c>
      <c r="V65" s="41" t="s">
        <v>139</v>
      </c>
      <c r="W65" s="41" t="s">
        <v>139</v>
      </c>
      <c r="X65" s="41" t="s">
        <v>139</v>
      </c>
      <c r="Y65" s="42" t="s">
        <v>302</v>
      </c>
      <c r="Z65" s="43" t="s">
        <v>139</v>
      </c>
      <c r="AA65" s="41" t="s">
        <v>139</v>
      </c>
      <c r="AB65" s="41" t="s">
        <v>139</v>
      </c>
      <c r="AC65" s="41" t="s">
        <v>139</v>
      </c>
      <c r="AD65" s="41" t="s">
        <v>302</v>
      </c>
      <c r="AE65" s="44"/>
      <c r="AF65" s="196" t="s">
        <v>3961</v>
      </c>
      <c r="AG65" s="45"/>
      <c r="AH65" s="189"/>
      <c r="AI65" s="205"/>
      <c r="AJ65" s="205"/>
      <c r="AK65" s="45"/>
      <c r="AL65" s="3" t="s">
        <v>1582</v>
      </c>
    </row>
    <row r="66" spans="2:38" ht="27">
      <c r="B66" s="144">
        <f t="shared" si="0"/>
        <v>63</v>
      </c>
      <c r="C66" s="148" t="s">
        <v>3731</v>
      </c>
      <c r="D66" s="148"/>
      <c r="E66" s="148"/>
      <c r="F66" s="148"/>
      <c r="G66" s="148"/>
      <c r="H66" s="148"/>
      <c r="I66" s="148"/>
      <c r="J66" s="148"/>
      <c r="K66" s="165" t="s">
        <v>3659</v>
      </c>
      <c r="L66" s="65" t="s">
        <v>3644</v>
      </c>
      <c r="M66" s="165" t="s">
        <v>3685</v>
      </c>
      <c r="N66" s="65" t="s">
        <v>3688</v>
      </c>
      <c r="O66" s="203" t="s">
        <v>3397</v>
      </c>
      <c r="P66" s="65" t="s">
        <v>1672</v>
      </c>
      <c r="Q66" s="126" t="s">
        <v>139</v>
      </c>
      <c r="R66" s="40" t="s">
        <v>1673</v>
      </c>
      <c r="S66" s="47" t="s">
        <v>1674</v>
      </c>
      <c r="T66" s="40" t="s">
        <v>1665</v>
      </c>
      <c r="U66" s="41" t="s">
        <v>139</v>
      </c>
      <c r="V66" s="41" t="s">
        <v>139</v>
      </c>
      <c r="W66" s="41" t="s">
        <v>139</v>
      </c>
      <c r="X66" s="41" t="s">
        <v>139</v>
      </c>
      <c r="Y66" s="42" t="s">
        <v>302</v>
      </c>
      <c r="Z66" s="43" t="s">
        <v>139</v>
      </c>
      <c r="AA66" s="41" t="s">
        <v>139</v>
      </c>
      <c r="AB66" s="41" t="s">
        <v>139</v>
      </c>
      <c r="AC66" s="41" t="s">
        <v>139</v>
      </c>
      <c r="AD66" s="41" t="s">
        <v>302</v>
      </c>
      <c r="AE66" s="44"/>
      <c r="AF66" s="196" t="s">
        <v>3961</v>
      </c>
      <c r="AG66" s="45"/>
      <c r="AH66" s="189"/>
      <c r="AI66" s="205"/>
      <c r="AJ66" s="205"/>
      <c r="AK66" s="45"/>
      <c r="AL66" s="3" t="s">
        <v>1582</v>
      </c>
    </row>
    <row r="67" spans="2:38" ht="27">
      <c r="B67" s="144">
        <f t="shared" si="0"/>
        <v>64</v>
      </c>
      <c r="C67" s="148" t="s">
        <v>3731</v>
      </c>
      <c r="D67" s="148"/>
      <c r="E67" s="148"/>
      <c r="F67" s="148"/>
      <c r="G67" s="148"/>
      <c r="H67" s="148"/>
      <c r="I67" s="148"/>
      <c r="J67" s="148"/>
      <c r="K67" s="165" t="s">
        <v>3659</v>
      </c>
      <c r="L67" s="65" t="s">
        <v>3644</v>
      </c>
      <c r="M67" s="165" t="s">
        <v>3685</v>
      </c>
      <c r="N67" s="65" t="s">
        <v>3688</v>
      </c>
      <c r="O67" s="203" t="s">
        <v>3398</v>
      </c>
      <c r="P67" s="65" t="s">
        <v>1659</v>
      </c>
      <c r="Q67" s="126" t="s">
        <v>139</v>
      </c>
      <c r="R67" s="62" t="s">
        <v>1660</v>
      </c>
      <c r="S67" s="62"/>
      <c r="T67" s="40" t="s">
        <v>1645</v>
      </c>
      <c r="U67" s="41" t="s">
        <v>139</v>
      </c>
      <c r="V67" s="41" t="s">
        <v>139</v>
      </c>
      <c r="W67" s="41" t="s">
        <v>139</v>
      </c>
      <c r="X67" s="41" t="s">
        <v>139</v>
      </c>
      <c r="Y67" s="42" t="s">
        <v>302</v>
      </c>
      <c r="Z67" s="43" t="s">
        <v>139</v>
      </c>
      <c r="AA67" s="41" t="s">
        <v>139</v>
      </c>
      <c r="AB67" s="41" t="s">
        <v>139</v>
      </c>
      <c r="AC67" s="41" t="s">
        <v>139</v>
      </c>
      <c r="AD67" s="41" t="s">
        <v>302</v>
      </c>
      <c r="AE67" s="44"/>
      <c r="AF67" s="196" t="s">
        <v>3961</v>
      </c>
      <c r="AG67" s="45"/>
      <c r="AH67" s="189">
        <v>1</v>
      </c>
      <c r="AI67" s="205" t="s">
        <v>3768</v>
      </c>
      <c r="AJ67" s="205"/>
      <c r="AK67" s="45"/>
      <c r="AL67" s="3" t="s">
        <v>1582</v>
      </c>
    </row>
    <row r="68" spans="2:38" ht="27" hidden="1">
      <c r="B68" s="144">
        <f t="shared" si="0"/>
        <v>65</v>
      </c>
      <c r="C68" s="148" t="s">
        <v>3732</v>
      </c>
      <c r="D68" s="148"/>
      <c r="E68" s="148"/>
      <c r="F68" s="148"/>
      <c r="G68" s="148"/>
      <c r="H68" s="148"/>
      <c r="I68" s="148"/>
      <c r="J68" s="148"/>
      <c r="K68" s="165" t="s">
        <v>3659</v>
      </c>
      <c r="L68" s="65" t="s">
        <v>3644</v>
      </c>
      <c r="M68" s="165" t="s">
        <v>3685</v>
      </c>
      <c r="N68" s="65" t="s">
        <v>3688</v>
      </c>
      <c r="O68" s="65" t="s">
        <v>3399</v>
      </c>
      <c r="P68" s="65" t="s">
        <v>1678</v>
      </c>
      <c r="Q68" s="126" t="s">
        <v>139</v>
      </c>
      <c r="R68" s="40" t="s">
        <v>1682</v>
      </c>
      <c r="S68" s="47" t="s">
        <v>1679</v>
      </c>
      <c r="T68" s="40" t="s">
        <v>1665</v>
      </c>
      <c r="U68" s="41" t="s">
        <v>139</v>
      </c>
      <c r="V68" s="41" t="s">
        <v>139</v>
      </c>
      <c r="W68" s="41" t="s">
        <v>139</v>
      </c>
      <c r="X68" s="41" t="s">
        <v>139</v>
      </c>
      <c r="Y68" s="42" t="s">
        <v>302</v>
      </c>
      <c r="Z68" s="43" t="s">
        <v>139</v>
      </c>
      <c r="AA68" s="41" t="s">
        <v>139</v>
      </c>
      <c r="AB68" s="41" t="s">
        <v>139</v>
      </c>
      <c r="AC68" s="41" t="s">
        <v>139</v>
      </c>
      <c r="AD68" s="41" t="s">
        <v>302</v>
      </c>
      <c r="AE68" s="44"/>
      <c r="AF68" s="45"/>
      <c r="AG68" s="45"/>
      <c r="AH68" s="46"/>
      <c r="AI68" s="45"/>
      <c r="AJ68" s="45"/>
      <c r="AK68" s="45"/>
      <c r="AL68" s="3" t="s">
        <v>1582</v>
      </c>
    </row>
    <row r="69" spans="2:38" ht="27" hidden="1">
      <c r="B69" s="144">
        <f t="shared" si="0"/>
        <v>66</v>
      </c>
      <c r="C69" s="148" t="s">
        <v>3732</v>
      </c>
      <c r="D69" s="148"/>
      <c r="E69" s="148"/>
      <c r="F69" s="148"/>
      <c r="G69" s="148"/>
      <c r="H69" s="148"/>
      <c r="I69" s="148"/>
      <c r="J69" s="148"/>
      <c r="K69" s="165" t="s">
        <v>3659</v>
      </c>
      <c r="L69" s="65" t="s">
        <v>3644</v>
      </c>
      <c r="M69" s="165" t="s">
        <v>3685</v>
      </c>
      <c r="N69" s="65" t="s">
        <v>3688</v>
      </c>
      <c r="O69" s="65" t="s">
        <v>3400</v>
      </c>
      <c r="P69" s="65" t="s">
        <v>1680</v>
      </c>
      <c r="Q69" s="126" t="s">
        <v>139</v>
      </c>
      <c r="R69" s="40" t="s">
        <v>1681</v>
      </c>
      <c r="S69" s="47" t="s">
        <v>1683</v>
      </c>
      <c r="T69" s="40" t="s">
        <v>1665</v>
      </c>
      <c r="U69" s="41" t="s">
        <v>139</v>
      </c>
      <c r="V69" s="41" t="s">
        <v>139</v>
      </c>
      <c r="W69" s="41" t="s">
        <v>139</v>
      </c>
      <c r="X69" s="41" t="s">
        <v>139</v>
      </c>
      <c r="Y69" s="42" t="s">
        <v>302</v>
      </c>
      <c r="Z69" s="43" t="s">
        <v>139</v>
      </c>
      <c r="AA69" s="41" t="s">
        <v>139</v>
      </c>
      <c r="AB69" s="41" t="s">
        <v>139</v>
      </c>
      <c r="AC69" s="41" t="s">
        <v>139</v>
      </c>
      <c r="AD69" s="41" t="s">
        <v>302</v>
      </c>
      <c r="AE69" s="44"/>
      <c r="AF69" s="45"/>
      <c r="AG69" s="45"/>
      <c r="AH69" s="46"/>
      <c r="AI69" s="45"/>
      <c r="AJ69" s="45"/>
      <c r="AK69" s="45"/>
      <c r="AL69" s="3" t="s">
        <v>1582</v>
      </c>
    </row>
    <row r="70" spans="2:38" ht="54" hidden="1">
      <c r="B70" s="144">
        <f t="shared" si="0"/>
        <v>67</v>
      </c>
      <c r="C70" s="148" t="s">
        <v>3732</v>
      </c>
      <c r="D70" s="148"/>
      <c r="E70" s="148"/>
      <c r="F70" s="148"/>
      <c r="G70" s="148"/>
      <c r="H70" s="148"/>
      <c r="I70" s="148"/>
      <c r="J70" s="148"/>
      <c r="K70" s="165" t="s">
        <v>3659</v>
      </c>
      <c r="L70" s="65" t="s">
        <v>3644</v>
      </c>
      <c r="M70" s="165" t="s">
        <v>3685</v>
      </c>
      <c r="N70" s="65" t="s">
        <v>3688</v>
      </c>
      <c r="O70" s="65" t="s">
        <v>3401</v>
      </c>
      <c r="P70" s="65" t="s">
        <v>1685</v>
      </c>
      <c r="Q70" s="126" t="s">
        <v>139</v>
      </c>
      <c r="R70" s="40" t="s">
        <v>1686</v>
      </c>
      <c r="S70" s="47"/>
      <c r="T70" s="40" t="s">
        <v>1645</v>
      </c>
      <c r="U70" s="41" t="s">
        <v>139</v>
      </c>
      <c r="V70" s="41" t="s">
        <v>139</v>
      </c>
      <c r="W70" s="41" t="s">
        <v>139</v>
      </c>
      <c r="X70" s="41" t="s">
        <v>139</v>
      </c>
      <c r="Y70" s="42" t="s">
        <v>302</v>
      </c>
      <c r="Z70" s="43" t="s">
        <v>139</v>
      </c>
      <c r="AA70" s="41" t="s">
        <v>139</v>
      </c>
      <c r="AB70" s="41" t="s">
        <v>139</v>
      </c>
      <c r="AC70" s="41" t="s">
        <v>139</v>
      </c>
      <c r="AD70" s="41" t="s">
        <v>302</v>
      </c>
      <c r="AE70" s="44"/>
      <c r="AF70" s="45"/>
      <c r="AG70" s="45"/>
      <c r="AH70" s="46"/>
      <c r="AI70" s="45"/>
      <c r="AJ70" s="45"/>
      <c r="AK70" s="45"/>
      <c r="AL70" s="3" t="s">
        <v>1582</v>
      </c>
    </row>
    <row r="71" spans="2:38" ht="27" hidden="1">
      <c r="B71" s="144">
        <f t="shared" si="0"/>
        <v>68</v>
      </c>
      <c r="C71" s="148" t="s">
        <v>3732</v>
      </c>
      <c r="D71" s="148"/>
      <c r="E71" s="148"/>
      <c r="F71" s="148"/>
      <c r="G71" s="148"/>
      <c r="H71" s="148"/>
      <c r="I71" s="148"/>
      <c r="J71" s="148"/>
      <c r="K71" s="165" t="s">
        <v>3659</v>
      </c>
      <c r="L71" s="65" t="s">
        <v>3644</v>
      </c>
      <c r="M71" s="165" t="s">
        <v>3685</v>
      </c>
      <c r="N71" s="65" t="s">
        <v>3688</v>
      </c>
      <c r="O71" s="65" t="s">
        <v>3402</v>
      </c>
      <c r="P71" s="65" t="s">
        <v>1661</v>
      </c>
      <c r="Q71" s="126" t="s">
        <v>139</v>
      </c>
      <c r="R71" s="62" t="s">
        <v>1662</v>
      </c>
      <c r="S71" s="62" t="s">
        <v>1663</v>
      </c>
      <c r="T71" s="40" t="s">
        <v>1645</v>
      </c>
      <c r="U71" s="41" t="s">
        <v>139</v>
      </c>
      <c r="V71" s="41" t="s">
        <v>139</v>
      </c>
      <c r="W71" s="41" t="s">
        <v>139</v>
      </c>
      <c r="X71" s="41" t="s">
        <v>139</v>
      </c>
      <c r="Y71" s="42" t="s">
        <v>302</v>
      </c>
      <c r="Z71" s="43" t="s">
        <v>139</v>
      </c>
      <c r="AA71" s="41" t="s">
        <v>139</v>
      </c>
      <c r="AB71" s="41" t="s">
        <v>139</v>
      </c>
      <c r="AC71" s="41" t="s">
        <v>139</v>
      </c>
      <c r="AD71" s="41" t="s">
        <v>302</v>
      </c>
      <c r="AE71" s="44"/>
      <c r="AF71" s="45"/>
      <c r="AG71" s="45"/>
      <c r="AH71" s="46"/>
      <c r="AI71" s="45"/>
      <c r="AJ71" s="45"/>
      <c r="AK71" s="45"/>
      <c r="AL71" s="3" t="s">
        <v>1582</v>
      </c>
    </row>
    <row r="72" spans="2:38" ht="40.5" hidden="1">
      <c r="B72" s="144">
        <f t="shared" ref="B72:B135" si="1">ROW()-3</f>
        <v>69</v>
      </c>
      <c r="C72" s="148" t="s">
        <v>3732</v>
      </c>
      <c r="D72" s="148"/>
      <c r="E72" s="148"/>
      <c r="F72" s="148"/>
      <c r="G72" s="148"/>
      <c r="H72" s="148"/>
      <c r="I72" s="148"/>
      <c r="J72" s="148"/>
      <c r="K72" s="165" t="s">
        <v>3659</v>
      </c>
      <c r="L72" s="165" t="s">
        <v>3672</v>
      </c>
      <c r="M72" s="165" t="s">
        <v>3673</v>
      </c>
      <c r="N72" s="165" t="s">
        <v>3710</v>
      </c>
      <c r="O72" s="165" t="s">
        <v>1272</v>
      </c>
      <c r="P72" s="165" t="s">
        <v>1272</v>
      </c>
      <c r="Q72" s="126" t="s">
        <v>1273</v>
      </c>
      <c r="R72" s="40" t="s">
        <v>1274</v>
      </c>
      <c r="S72" s="40" t="s">
        <v>1275</v>
      </c>
      <c r="T72" s="40" t="s">
        <v>1140</v>
      </c>
      <c r="U72" s="41" t="s">
        <v>1276</v>
      </c>
      <c r="V72" s="41" t="s">
        <v>139</v>
      </c>
      <c r="W72" s="41" t="s">
        <v>139</v>
      </c>
      <c r="X72" s="41" t="s">
        <v>139</v>
      </c>
      <c r="Y72" s="42" t="s">
        <v>139</v>
      </c>
      <c r="Z72" s="43" t="s">
        <v>1277</v>
      </c>
      <c r="AA72" s="41" t="s">
        <v>139</v>
      </c>
      <c r="AB72" s="41" t="s">
        <v>139</v>
      </c>
      <c r="AC72" s="41" t="s">
        <v>139</v>
      </c>
      <c r="AD72" s="41" t="s">
        <v>139</v>
      </c>
      <c r="AE72" s="44"/>
      <c r="AF72" s="45"/>
      <c r="AG72" s="45"/>
      <c r="AH72" s="46"/>
      <c r="AI72" s="45"/>
      <c r="AJ72" s="45"/>
      <c r="AK72" s="45"/>
      <c r="AL72" s="3" t="s">
        <v>1582</v>
      </c>
    </row>
    <row r="73" spans="2:38" ht="40.5" hidden="1">
      <c r="B73" s="144">
        <f t="shared" si="1"/>
        <v>70</v>
      </c>
      <c r="C73" s="148" t="s">
        <v>3732</v>
      </c>
      <c r="D73" s="148"/>
      <c r="E73" s="148"/>
      <c r="F73" s="148"/>
      <c r="G73" s="148"/>
      <c r="H73" s="148"/>
      <c r="I73" s="148"/>
      <c r="J73" s="148"/>
      <c r="K73" s="165" t="s">
        <v>3659</v>
      </c>
      <c r="L73" s="165" t="s">
        <v>3672</v>
      </c>
      <c r="M73" s="65" t="s">
        <v>3673</v>
      </c>
      <c r="N73" s="65" t="s">
        <v>3712</v>
      </c>
      <c r="O73" s="65" t="s">
        <v>3505</v>
      </c>
      <c r="P73" s="65" t="s">
        <v>2039</v>
      </c>
      <c r="Q73" s="54" t="s">
        <v>1637</v>
      </c>
      <c r="R73" s="72"/>
      <c r="S73" s="70" t="s">
        <v>2095</v>
      </c>
      <c r="T73" s="70" t="s">
        <v>1666</v>
      </c>
      <c r="U73" s="41" t="s">
        <v>139</v>
      </c>
      <c r="V73" s="41" t="s">
        <v>139</v>
      </c>
      <c r="W73" s="41" t="s">
        <v>139</v>
      </c>
      <c r="X73" s="41" t="s">
        <v>139</v>
      </c>
      <c r="Y73" s="42" t="s">
        <v>1891</v>
      </c>
      <c r="Z73" s="53" t="s">
        <v>139</v>
      </c>
      <c r="AA73" s="54" t="s">
        <v>139</v>
      </c>
      <c r="AB73" s="54" t="s">
        <v>139</v>
      </c>
      <c r="AC73" s="54" t="s">
        <v>139</v>
      </c>
      <c r="AD73" s="54" t="s">
        <v>1892</v>
      </c>
      <c r="AE73" s="55"/>
      <c r="AF73" s="56"/>
      <c r="AG73" s="56"/>
      <c r="AH73" s="57"/>
      <c r="AI73" s="56"/>
      <c r="AJ73" s="56"/>
      <c r="AK73" s="56"/>
      <c r="AL73" s="3" t="s">
        <v>1582</v>
      </c>
    </row>
    <row r="74" spans="2:38" ht="40.5" hidden="1">
      <c r="B74" s="144">
        <f t="shared" si="1"/>
        <v>71</v>
      </c>
      <c r="C74" s="148" t="s">
        <v>3732</v>
      </c>
      <c r="D74" s="148"/>
      <c r="E74" s="148"/>
      <c r="F74" s="148"/>
      <c r="G74" s="148"/>
      <c r="H74" s="148"/>
      <c r="I74" s="148"/>
      <c r="J74" s="148"/>
      <c r="K74" s="165" t="s">
        <v>3659</v>
      </c>
      <c r="L74" s="165" t="s">
        <v>3672</v>
      </c>
      <c r="M74" s="165" t="s">
        <v>3678</v>
      </c>
      <c r="N74" s="165" t="s">
        <v>3713</v>
      </c>
      <c r="O74" s="165" t="s">
        <v>108</v>
      </c>
      <c r="P74" s="165" t="s">
        <v>2124</v>
      </c>
      <c r="Q74" s="126" t="s">
        <v>1637</v>
      </c>
      <c r="R74" s="40" t="s">
        <v>2125</v>
      </c>
      <c r="S74" s="40"/>
      <c r="T74" s="40" t="s">
        <v>284</v>
      </c>
      <c r="U74" s="41" t="s">
        <v>139</v>
      </c>
      <c r="V74" s="41" t="s">
        <v>139</v>
      </c>
      <c r="W74" s="41" t="s">
        <v>139</v>
      </c>
      <c r="X74" s="41" t="s">
        <v>2123</v>
      </c>
      <c r="Y74" s="42" t="s">
        <v>139</v>
      </c>
      <c r="Z74" s="43" t="s">
        <v>139</v>
      </c>
      <c r="AA74" s="41" t="s">
        <v>139</v>
      </c>
      <c r="AB74" s="41" t="s">
        <v>139</v>
      </c>
      <c r="AC74" s="41" t="s">
        <v>2131</v>
      </c>
      <c r="AD74" s="41" t="s">
        <v>139</v>
      </c>
      <c r="AE74" s="44"/>
      <c r="AF74" s="45"/>
      <c r="AG74" s="45"/>
      <c r="AH74" s="46"/>
      <c r="AI74" s="45"/>
      <c r="AJ74" s="45"/>
      <c r="AK74" s="45"/>
      <c r="AL74" s="3" t="s">
        <v>1582</v>
      </c>
    </row>
    <row r="75" spans="2:38" ht="40.5" hidden="1">
      <c r="B75" s="144">
        <f t="shared" si="1"/>
        <v>72</v>
      </c>
      <c r="C75" s="148" t="s">
        <v>3732</v>
      </c>
      <c r="D75" s="148"/>
      <c r="E75" s="148"/>
      <c r="F75" s="148"/>
      <c r="G75" s="148"/>
      <c r="H75" s="148"/>
      <c r="I75" s="148"/>
      <c r="J75" s="148"/>
      <c r="K75" s="165" t="s">
        <v>3659</v>
      </c>
      <c r="L75" s="165" t="s">
        <v>3672</v>
      </c>
      <c r="M75" s="165" t="s">
        <v>3678</v>
      </c>
      <c r="N75" s="165" t="s">
        <v>3713</v>
      </c>
      <c r="O75" s="165" t="s">
        <v>709</v>
      </c>
      <c r="P75" s="165" t="s">
        <v>709</v>
      </c>
      <c r="Q75" s="126" t="s">
        <v>139</v>
      </c>
      <c r="R75" s="40" t="s">
        <v>1922</v>
      </c>
      <c r="S75" s="40"/>
      <c r="T75" s="40" t="s">
        <v>284</v>
      </c>
      <c r="U75" s="41" t="s">
        <v>139</v>
      </c>
      <c r="V75" s="41" t="s">
        <v>139</v>
      </c>
      <c r="W75" s="41" t="s">
        <v>710</v>
      </c>
      <c r="X75" s="41" t="s">
        <v>139</v>
      </c>
      <c r="Y75" s="42" t="s">
        <v>139</v>
      </c>
      <c r="Z75" s="43" t="s">
        <v>139</v>
      </c>
      <c r="AA75" s="41" t="s">
        <v>139</v>
      </c>
      <c r="AB75" s="41" t="s">
        <v>711</v>
      </c>
      <c r="AC75" s="41" t="s">
        <v>139</v>
      </c>
      <c r="AD75" s="41" t="s">
        <v>139</v>
      </c>
      <c r="AE75" s="44"/>
      <c r="AF75" s="45"/>
      <c r="AG75" s="45"/>
      <c r="AH75" s="46"/>
      <c r="AI75" s="45"/>
      <c r="AJ75" s="45"/>
      <c r="AK75" s="45"/>
      <c r="AL75" s="3" t="s">
        <v>1582</v>
      </c>
    </row>
    <row r="76" spans="2:38" ht="40.5" hidden="1">
      <c r="B76" s="144">
        <f t="shared" si="1"/>
        <v>73</v>
      </c>
      <c r="C76" s="148" t="s">
        <v>3732</v>
      </c>
      <c r="D76" s="148"/>
      <c r="E76" s="148"/>
      <c r="F76" s="148"/>
      <c r="G76" s="148"/>
      <c r="H76" s="148"/>
      <c r="I76" s="148"/>
      <c r="J76" s="148"/>
      <c r="K76" s="165" t="s">
        <v>3659</v>
      </c>
      <c r="L76" s="165" t="s">
        <v>3672</v>
      </c>
      <c r="M76" s="165" t="s">
        <v>3678</v>
      </c>
      <c r="N76" s="165" t="s">
        <v>3713</v>
      </c>
      <c r="O76" s="165" t="s">
        <v>3427</v>
      </c>
      <c r="P76" s="165" t="s">
        <v>2118</v>
      </c>
      <c r="Q76" s="126" t="s">
        <v>139</v>
      </c>
      <c r="R76" s="40" t="s">
        <v>2119</v>
      </c>
      <c r="S76" s="40"/>
      <c r="T76" s="40" t="s">
        <v>284</v>
      </c>
      <c r="U76" s="41" t="s">
        <v>139</v>
      </c>
      <c r="V76" s="41" t="s">
        <v>139</v>
      </c>
      <c r="W76" s="41" t="s">
        <v>710</v>
      </c>
      <c r="X76" s="41" t="s">
        <v>139</v>
      </c>
      <c r="Y76" s="42" t="s">
        <v>139</v>
      </c>
      <c r="Z76" s="43" t="s">
        <v>139</v>
      </c>
      <c r="AA76" s="41" t="s">
        <v>139</v>
      </c>
      <c r="AB76" s="41" t="s">
        <v>711</v>
      </c>
      <c r="AC76" s="41" t="s">
        <v>139</v>
      </c>
      <c r="AD76" s="41" t="s">
        <v>139</v>
      </c>
      <c r="AE76" s="44"/>
      <c r="AF76" s="45"/>
      <c r="AG76" s="45"/>
      <c r="AH76" s="46"/>
      <c r="AI76" s="45"/>
      <c r="AJ76" s="45"/>
      <c r="AK76" s="45"/>
      <c r="AL76" s="3" t="s">
        <v>1582</v>
      </c>
    </row>
    <row r="77" spans="2:38" ht="40.5" hidden="1">
      <c r="B77" s="144">
        <f t="shared" si="1"/>
        <v>74</v>
      </c>
      <c r="C77" s="148" t="s">
        <v>3732</v>
      </c>
      <c r="D77" s="148"/>
      <c r="E77" s="148"/>
      <c r="F77" s="148"/>
      <c r="G77" s="148"/>
      <c r="H77" s="148"/>
      <c r="I77" s="148"/>
      <c r="J77" s="148"/>
      <c r="K77" s="165" t="s">
        <v>3659</v>
      </c>
      <c r="L77" s="165" t="s">
        <v>3672</v>
      </c>
      <c r="M77" s="165" t="s">
        <v>3678</v>
      </c>
      <c r="N77" s="165" t="s">
        <v>3713</v>
      </c>
      <c r="O77" s="165" t="s">
        <v>2365</v>
      </c>
      <c r="P77" s="165" t="s">
        <v>2365</v>
      </c>
      <c r="Q77" s="126" t="s">
        <v>1637</v>
      </c>
      <c r="R77" s="40" t="s">
        <v>2366</v>
      </c>
      <c r="S77" s="59" t="s">
        <v>2367</v>
      </c>
      <c r="T77" s="40" t="s">
        <v>2364</v>
      </c>
      <c r="U77" s="41" t="s">
        <v>139</v>
      </c>
      <c r="V77" s="41" t="s">
        <v>139</v>
      </c>
      <c r="W77" s="41" t="s">
        <v>139</v>
      </c>
      <c r="X77" s="41" t="s">
        <v>2190</v>
      </c>
      <c r="Y77" s="42" t="s">
        <v>139</v>
      </c>
      <c r="Z77" s="43" t="s">
        <v>139</v>
      </c>
      <c r="AA77" s="41" t="s">
        <v>139</v>
      </c>
      <c r="AB77" s="41" t="s">
        <v>139</v>
      </c>
      <c r="AC77" s="41" t="s">
        <v>2357</v>
      </c>
      <c r="AD77" s="41" t="s">
        <v>139</v>
      </c>
      <c r="AE77" s="44"/>
      <c r="AF77" s="45"/>
      <c r="AG77" s="45"/>
      <c r="AH77" s="46"/>
      <c r="AI77" s="45"/>
      <c r="AJ77" s="45"/>
      <c r="AK77" s="45"/>
      <c r="AL77" s="3" t="s">
        <v>1582</v>
      </c>
    </row>
    <row r="78" spans="2:38" ht="40.5" hidden="1">
      <c r="B78" s="144">
        <f t="shared" si="1"/>
        <v>75</v>
      </c>
      <c r="C78" s="148" t="s">
        <v>3732</v>
      </c>
      <c r="D78" s="148"/>
      <c r="E78" s="148"/>
      <c r="F78" s="148"/>
      <c r="G78" s="148"/>
      <c r="H78" s="148"/>
      <c r="I78" s="148"/>
      <c r="J78" s="148"/>
      <c r="K78" s="165" t="s">
        <v>3659</v>
      </c>
      <c r="L78" s="165" t="s">
        <v>3672</v>
      </c>
      <c r="M78" s="165" t="s">
        <v>3678</v>
      </c>
      <c r="N78" s="165" t="s">
        <v>3713</v>
      </c>
      <c r="O78" s="165" t="s">
        <v>3430</v>
      </c>
      <c r="P78" s="165" t="s">
        <v>2353</v>
      </c>
      <c r="Q78" s="126" t="s">
        <v>1637</v>
      </c>
      <c r="R78" s="40" t="s">
        <v>3717</v>
      </c>
      <c r="S78" s="59" t="s">
        <v>3718</v>
      </c>
      <c r="T78" s="40" t="s">
        <v>2137</v>
      </c>
      <c r="U78" s="41" t="s">
        <v>139</v>
      </c>
      <c r="V78" s="41" t="s">
        <v>139</v>
      </c>
      <c r="W78" s="41" t="s">
        <v>139</v>
      </c>
      <c r="X78" s="41" t="s">
        <v>2190</v>
      </c>
      <c r="Y78" s="42" t="s">
        <v>139</v>
      </c>
      <c r="Z78" s="43" t="s">
        <v>139</v>
      </c>
      <c r="AA78" s="41" t="s">
        <v>139</v>
      </c>
      <c r="AB78" s="41" t="s">
        <v>139</v>
      </c>
      <c r="AC78" s="41" t="s">
        <v>2357</v>
      </c>
      <c r="AD78" s="41" t="s">
        <v>139</v>
      </c>
      <c r="AE78" s="44"/>
      <c r="AF78" s="45"/>
      <c r="AG78" s="45"/>
      <c r="AH78" s="46"/>
      <c r="AI78" s="45"/>
      <c r="AJ78" s="45"/>
      <c r="AK78" s="45"/>
      <c r="AL78" s="3" t="s">
        <v>1582</v>
      </c>
    </row>
    <row r="79" spans="2:38" ht="40.5">
      <c r="B79" s="144">
        <f t="shared" si="1"/>
        <v>76</v>
      </c>
      <c r="C79" s="148" t="s">
        <v>3731</v>
      </c>
      <c r="D79" s="148"/>
      <c r="E79" s="148"/>
      <c r="F79" s="148"/>
      <c r="G79" s="148"/>
      <c r="H79" s="148"/>
      <c r="I79" s="148"/>
      <c r="J79" s="148"/>
      <c r="K79" s="165" t="s">
        <v>3659</v>
      </c>
      <c r="L79" s="165" t="s">
        <v>3672</v>
      </c>
      <c r="M79" s="65" t="s">
        <v>3678</v>
      </c>
      <c r="N79" s="165" t="s">
        <v>3719</v>
      </c>
      <c r="O79" s="165" t="s">
        <v>3432</v>
      </c>
      <c r="P79" s="165" t="s">
        <v>1654</v>
      </c>
      <c r="Q79" s="126" t="s">
        <v>2706</v>
      </c>
      <c r="R79" s="40" t="s">
        <v>2707</v>
      </c>
      <c r="S79" s="40" t="s">
        <v>2709</v>
      </c>
      <c r="T79" s="40" t="s">
        <v>1895</v>
      </c>
      <c r="U79" s="41" t="s">
        <v>139</v>
      </c>
      <c r="V79" s="41" t="s">
        <v>2710</v>
      </c>
      <c r="W79" s="41" t="s">
        <v>139</v>
      </c>
      <c r="X79" s="41" t="s">
        <v>139</v>
      </c>
      <c r="Y79" s="42" t="s">
        <v>139</v>
      </c>
      <c r="Z79" s="43" t="s">
        <v>139</v>
      </c>
      <c r="AA79" s="41" t="s">
        <v>2736</v>
      </c>
      <c r="AB79" s="41" t="s">
        <v>139</v>
      </c>
      <c r="AC79" s="41" t="s">
        <v>139</v>
      </c>
      <c r="AD79" s="41" t="s">
        <v>139</v>
      </c>
      <c r="AE79" s="44"/>
      <c r="AF79" s="196" t="s">
        <v>3968</v>
      </c>
      <c r="AG79" s="45"/>
      <c r="AH79" s="189"/>
      <c r="AI79" s="45"/>
      <c r="AJ79" s="45"/>
      <c r="AK79" s="45"/>
      <c r="AL79" s="3" t="s">
        <v>1582</v>
      </c>
    </row>
    <row r="80" spans="2:38" ht="81" hidden="1">
      <c r="B80" s="144">
        <f t="shared" si="1"/>
        <v>77</v>
      </c>
      <c r="C80" s="148" t="s">
        <v>3732</v>
      </c>
      <c r="D80" s="148"/>
      <c r="E80" s="148"/>
      <c r="F80" s="148"/>
      <c r="G80" s="148"/>
      <c r="H80" s="148"/>
      <c r="I80" s="148"/>
      <c r="J80" s="148"/>
      <c r="K80" s="165" t="s">
        <v>3659</v>
      </c>
      <c r="L80" s="165" t="s">
        <v>3672</v>
      </c>
      <c r="M80" s="65" t="s">
        <v>3678</v>
      </c>
      <c r="N80" s="65" t="s">
        <v>3719</v>
      </c>
      <c r="O80" s="65" t="s">
        <v>3433</v>
      </c>
      <c r="P80" s="65" t="s">
        <v>2057</v>
      </c>
      <c r="Q80" s="54" t="s">
        <v>1637</v>
      </c>
      <c r="R80" s="70" t="s">
        <v>2058</v>
      </c>
      <c r="S80" s="41"/>
      <c r="T80" s="41" t="s">
        <v>1645</v>
      </c>
      <c r="U80" s="41" t="s">
        <v>139</v>
      </c>
      <c r="V80" s="41" t="s">
        <v>139</v>
      </c>
      <c r="W80" s="41" t="s">
        <v>139</v>
      </c>
      <c r="X80" s="41" t="s">
        <v>2059</v>
      </c>
      <c r="Y80" s="42" t="s">
        <v>139</v>
      </c>
      <c r="Z80" s="53" t="s">
        <v>139</v>
      </c>
      <c r="AA80" s="54" t="s">
        <v>139</v>
      </c>
      <c r="AB80" s="54" t="s">
        <v>139</v>
      </c>
      <c r="AC80" s="54" t="s">
        <v>2063</v>
      </c>
      <c r="AD80" s="54" t="s">
        <v>139</v>
      </c>
      <c r="AE80" s="55" t="s">
        <v>2060</v>
      </c>
      <c r="AF80" s="56"/>
      <c r="AG80" s="56"/>
      <c r="AH80" s="57"/>
      <c r="AI80" s="56"/>
      <c r="AJ80" s="56"/>
      <c r="AK80" s="56"/>
      <c r="AL80" s="3" t="s">
        <v>1582</v>
      </c>
    </row>
    <row r="81" spans="2:38" ht="67.5" hidden="1">
      <c r="B81" s="144">
        <f t="shared" si="1"/>
        <v>78</v>
      </c>
      <c r="C81" s="148" t="s">
        <v>3732</v>
      </c>
      <c r="D81" s="148"/>
      <c r="E81" s="148"/>
      <c r="F81" s="148"/>
      <c r="G81" s="148"/>
      <c r="H81" s="148"/>
      <c r="I81" s="148"/>
      <c r="J81" s="148"/>
      <c r="K81" s="165" t="s">
        <v>3659</v>
      </c>
      <c r="L81" s="165" t="s">
        <v>3672</v>
      </c>
      <c r="M81" s="65" t="s">
        <v>3678</v>
      </c>
      <c r="N81" s="65" t="s">
        <v>3719</v>
      </c>
      <c r="O81" s="65" t="s">
        <v>3434</v>
      </c>
      <c r="P81" s="65" t="s">
        <v>2964</v>
      </c>
      <c r="Q81" s="54" t="s">
        <v>1637</v>
      </c>
      <c r="R81" s="41" t="s">
        <v>2965</v>
      </c>
      <c r="S81" s="41" t="s">
        <v>2966</v>
      </c>
      <c r="T81" s="41" t="s">
        <v>2967</v>
      </c>
      <c r="U81" s="41" t="s">
        <v>2968</v>
      </c>
      <c r="V81" s="41" t="s">
        <v>139</v>
      </c>
      <c r="W81" s="41" t="s">
        <v>139</v>
      </c>
      <c r="X81" s="41" t="s">
        <v>139</v>
      </c>
      <c r="Y81" s="42" t="s">
        <v>139</v>
      </c>
      <c r="Z81" s="53" t="s">
        <v>2935</v>
      </c>
      <c r="AA81" s="54" t="s">
        <v>139</v>
      </c>
      <c r="AB81" s="54" t="s">
        <v>139</v>
      </c>
      <c r="AC81" s="54" t="s">
        <v>139</v>
      </c>
      <c r="AD81" s="54" t="s">
        <v>139</v>
      </c>
      <c r="AE81" s="55"/>
      <c r="AF81" s="56"/>
      <c r="AG81" s="56"/>
      <c r="AH81" s="57"/>
      <c r="AI81" s="56"/>
      <c r="AJ81" s="56"/>
      <c r="AK81" s="56"/>
      <c r="AL81" s="3" t="s">
        <v>1582</v>
      </c>
    </row>
    <row r="82" spans="2:38" ht="40.5" hidden="1">
      <c r="B82" s="144">
        <f t="shared" si="1"/>
        <v>79</v>
      </c>
      <c r="C82" s="148" t="s">
        <v>3732</v>
      </c>
      <c r="D82" s="148"/>
      <c r="E82" s="148"/>
      <c r="F82" s="148"/>
      <c r="G82" s="148"/>
      <c r="H82" s="148"/>
      <c r="I82" s="148"/>
      <c r="J82" s="148"/>
      <c r="K82" s="165" t="s">
        <v>3659</v>
      </c>
      <c r="L82" s="165" t="s">
        <v>3672</v>
      </c>
      <c r="M82" s="65" t="s">
        <v>3678</v>
      </c>
      <c r="N82" s="165" t="s">
        <v>3719</v>
      </c>
      <c r="O82" s="165" t="s">
        <v>3435</v>
      </c>
      <c r="P82" s="165" t="s">
        <v>2711</v>
      </c>
      <c r="Q82" s="126" t="s">
        <v>1637</v>
      </c>
      <c r="R82" s="40" t="s">
        <v>2712</v>
      </c>
      <c r="S82" s="40"/>
      <c r="T82" s="40" t="s">
        <v>1895</v>
      </c>
      <c r="U82" s="41" t="s">
        <v>139</v>
      </c>
      <c r="V82" s="41" t="s">
        <v>2710</v>
      </c>
      <c r="W82" s="41" t="s">
        <v>139</v>
      </c>
      <c r="X82" s="41" t="s">
        <v>139</v>
      </c>
      <c r="Y82" s="42" t="s">
        <v>139</v>
      </c>
      <c r="Z82" s="43" t="s">
        <v>139</v>
      </c>
      <c r="AA82" s="41" t="s">
        <v>758</v>
      </c>
      <c r="AB82" s="41" t="s">
        <v>139</v>
      </c>
      <c r="AC82" s="41" t="s">
        <v>139</v>
      </c>
      <c r="AD82" s="41" t="s">
        <v>139</v>
      </c>
      <c r="AE82" s="44" t="s">
        <v>2713</v>
      </c>
      <c r="AF82" s="45"/>
      <c r="AG82" s="45"/>
      <c r="AH82" s="46"/>
      <c r="AI82" s="45"/>
      <c r="AJ82" s="45"/>
      <c r="AK82" s="45"/>
      <c r="AL82" s="3" t="s">
        <v>1582</v>
      </c>
    </row>
    <row r="83" spans="2:38" ht="67.5">
      <c r="B83" s="144">
        <f t="shared" si="1"/>
        <v>80</v>
      </c>
      <c r="C83" s="148" t="s">
        <v>3731</v>
      </c>
      <c r="D83" s="148"/>
      <c r="E83" s="148"/>
      <c r="F83" s="148"/>
      <c r="G83" s="148"/>
      <c r="H83" s="148"/>
      <c r="I83" s="148"/>
      <c r="J83" s="148"/>
      <c r="K83" s="165" t="s">
        <v>3659</v>
      </c>
      <c r="L83" s="165" t="s">
        <v>3672</v>
      </c>
      <c r="M83" s="65" t="s">
        <v>3678</v>
      </c>
      <c r="N83" s="165" t="s">
        <v>3719</v>
      </c>
      <c r="O83" s="165" t="s">
        <v>3436</v>
      </c>
      <c r="P83" s="165" t="s">
        <v>2126</v>
      </c>
      <c r="Q83" s="126" t="s">
        <v>1637</v>
      </c>
      <c r="R83" s="40" t="s">
        <v>2127</v>
      </c>
      <c r="S83" s="61"/>
      <c r="T83" s="40" t="s">
        <v>284</v>
      </c>
      <c r="U83" s="41" t="s">
        <v>139</v>
      </c>
      <c r="V83" s="41" t="s">
        <v>139</v>
      </c>
      <c r="W83" s="41" t="s">
        <v>139</v>
      </c>
      <c r="X83" s="41" t="s">
        <v>2123</v>
      </c>
      <c r="Y83" s="42" t="s">
        <v>139</v>
      </c>
      <c r="Z83" s="43" t="s">
        <v>139</v>
      </c>
      <c r="AA83" s="41" t="s">
        <v>139</v>
      </c>
      <c r="AB83" s="41" t="s">
        <v>139</v>
      </c>
      <c r="AC83" s="41" t="s">
        <v>2131</v>
      </c>
      <c r="AD83" s="41" t="s">
        <v>139</v>
      </c>
      <c r="AE83" s="44" t="s">
        <v>2128</v>
      </c>
      <c r="AF83" s="196" t="s">
        <v>2460</v>
      </c>
      <c r="AG83" s="45"/>
      <c r="AH83" s="189">
        <v>1</v>
      </c>
      <c r="AI83" s="59" t="s">
        <v>3965</v>
      </c>
      <c r="AJ83" s="60" t="s">
        <v>3966</v>
      </c>
      <c r="AK83" s="45" t="s">
        <v>3967</v>
      </c>
      <c r="AL83" s="3" t="s">
        <v>1582</v>
      </c>
    </row>
    <row r="84" spans="2:38" ht="40.5" hidden="1">
      <c r="B84" s="144">
        <f t="shared" si="1"/>
        <v>81</v>
      </c>
      <c r="C84" s="148" t="s">
        <v>3732</v>
      </c>
      <c r="D84" s="148"/>
      <c r="E84" s="148"/>
      <c r="F84" s="148"/>
      <c r="G84" s="148"/>
      <c r="H84" s="148"/>
      <c r="I84" s="148"/>
      <c r="J84" s="148"/>
      <c r="K84" s="165" t="s">
        <v>3659</v>
      </c>
      <c r="L84" s="165" t="s">
        <v>3672</v>
      </c>
      <c r="M84" s="165" t="s">
        <v>3678</v>
      </c>
      <c r="N84" s="165" t="s">
        <v>3719</v>
      </c>
      <c r="O84" s="165" t="s">
        <v>1046</v>
      </c>
      <c r="P84" s="165" t="s">
        <v>1046</v>
      </c>
      <c r="Q84" s="126" t="s">
        <v>1047</v>
      </c>
      <c r="R84" s="40" t="s">
        <v>1048</v>
      </c>
      <c r="S84" s="40"/>
      <c r="T84" s="40" t="s">
        <v>192</v>
      </c>
      <c r="U84" s="41" t="s">
        <v>139</v>
      </c>
      <c r="V84" s="41" t="s">
        <v>139</v>
      </c>
      <c r="W84" s="41" t="s">
        <v>139</v>
      </c>
      <c r="X84" s="41" t="s">
        <v>1049</v>
      </c>
      <c r="Y84" s="42" t="s">
        <v>1050</v>
      </c>
      <c r="Z84" s="43" t="s">
        <v>139</v>
      </c>
      <c r="AA84" s="41" t="s">
        <v>139</v>
      </c>
      <c r="AB84" s="41" t="s">
        <v>139</v>
      </c>
      <c r="AC84" s="41" t="s">
        <v>806</v>
      </c>
      <c r="AD84" s="41" t="s">
        <v>614</v>
      </c>
      <c r="AE84" s="44"/>
      <c r="AF84" s="45"/>
      <c r="AG84" s="45"/>
      <c r="AH84" s="46"/>
      <c r="AI84" s="45"/>
      <c r="AJ84" s="45"/>
      <c r="AK84" s="45"/>
      <c r="AL84" s="3" t="s">
        <v>1582</v>
      </c>
    </row>
    <row r="85" spans="2:38" ht="40.5" hidden="1">
      <c r="B85" s="144">
        <f t="shared" si="1"/>
        <v>82</v>
      </c>
      <c r="C85" s="148" t="s">
        <v>3732</v>
      </c>
      <c r="D85" s="148"/>
      <c r="E85" s="148"/>
      <c r="F85" s="148"/>
      <c r="G85" s="148"/>
      <c r="H85" s="148"/>
      <c r="I85" s="148"/>
      <c r="J85" s="148"/>
      <c r="K85" s="165" t="s">
        <v>3659</v>
      </c>
      <c r="L85" s="165" t="s">
        <v>3672</v>
      </c>
      <c r="M85" s="65" t="s">
        <v>3678</v>
      </c>
      <c r="N85" s="165" t="s">
        <v>3719</v>
      </c>
      <c r="O85" s="165" t="s">
        <v>651</v>
      </c>
      <c r="P85" s="165" t="s">
        <v>651</v>
      </c>
      <c r="Q85" s="126" t="s">
        <v>139</v>
      </c>
      <c r="R85" s="40" t="s">
        <v>652</v>
      </c>
      <c r="S85" s="40" t="s">
        <v>653</v>
      </c>
      <c r="T85" s="40" t="s">
        <v>161</v>
      </c>
      <c r="U85" s="41" t="s">
        <v>139</v>
      </c>
      <c r="V85" s="41" t="s">
        <v>139</v>
      </c>
      <c r="W85" s="41" t="s">
        <v>139</v>
      </c>
      <c r="X85" s="41" t="s">
        <v>654</v>
      </c>
      <c r="Y85" s="42" t="s">
        <v>139</v>
      </c>
      <c r="Z85" s="43" t="s">
        <v>139</v>
      </c>
      <c r="AA85" s="41" t="s">
        <v>139</v>
      </c>
      <c r="AB85" s="41" t="s">
        <v>139</v>
      </c>
      <c r="AC85" s="41" t="s">
        <v>655</v>
      </c>
      <c r="AD85" s="41" t="s">
        <v>139</v>
      </c>
      <c r="AE85" s="44"/>
      <c r="AF85" s="45"/>
      <c r="AG85" s="45"/>
      <c r="AH85" s="46"/>
      <c r="AI85" s="45"/>
      <c r="AJ85" s="45"/>
      <c r="AK85" s="45"/>
      <c r="AL85" s="3" t="s">
        <v>1582</v>
      </c>
    </row>
    <row r="86" spans="2:38" ht="81">
      <c r="B86" s="144">
        <f t="shared" si="1"/>
        <v>83</v>
      </c>
      <c r="C86" s="148" t="s">
        <v>3731</v>
      </c>
      <c r="D86" s="148"/>
      <c r="E86" s="148"/>
      <c r="F86" s="148"/>
      <c r="G86" s="148"/>
      <c r="H86" s="148"/>
      <c r="I86" s="148"/>
      <c r="J86" s="148"/>
      <c r="K86" s="165" t="s">
        <v>3659</v>
      </c>
      <c r="L86" s="165" t="s">
        <v>3672</v>
      </c>
      <c r="M86" s="65" t="s">
        <v>3678</v>
      </c>
      <c r="N86" s="165" t="s">
        <v>3719</v>
      </c>
      <c r="O86" s="165" t="s">
        <v>646</v>
      </c>
      <c r="P86" s="165" t="s">
        <v>646</v>
      </c>
      <c r="Q86" s="126" t="s">
        <v>647</v>
      </c>
      <c r="R86" s="40" t="s">
        <v>648</v>
      </c>
      <c r="S86" s="40"/>
      <c r="T86" s="40" t="s">
        <v>3064</v>
      </c>
      <c r="U86" s="41" t="s">
        <v>139</v>
      </c>
      <c r="V86" s="41" t="s">
        <v>139</v>
      </c>
      <c r="W86" s="41" t="s">
        <v>139</v>
      </c>
      <c r="X86" s="41" t="s">
        <v>649</v>
      </c>
      <c r="Y86" s="42" t="s">
        <v>139</v>
      </c>
      <c r="Z86" s="43" t="s">
        <v>139</v>
      </c>
      <c r="AA86" s="41" t="s">
        <v>139</v>
      </c>
      <c r="AB86" s="41" t="s">
        <v>139</v>
      </c>
      <c r="AC86" s="41" t="s">
        <v>2784</v>
      </c>
      <c r="AD86" s="41" t="s">
        <v>139</v>
      </c>
      <c r="AE86" s="44"/>
      <c r="AF86" s="196" t="s">
        <v>2460</v>
      </c>
      <c r="AG86" s="45"/>
      <c r="AH86" s="189"/>
      <c r="AI86" s="45"/>
      <c r="AJ86" s="45"/>
      <c r="AK86" s="45"/>
      <c r="AL86" s="3" t="s">
        <v>1582</v>
      </c>
    </row>
    <row r="87" spans="2:38" ht="40.5" hidden="1">
      <c r="B87" s="144">
        <f t="shared" si="1"/>
        <v>84</v>
      </c>
      <c r="C87" s="148" t="s">
        <v>3732</v>
      </c>
      <c r="D87" s="148"/>
      <c r="E87" s="148"/>
      <c r="F87" s="148"/>
      <c r="G87" s="148"/>
      <c r="H87" s="148"/>
      <c r="I87" s="148"/>
      <c r="J87" s="148"/>
      <c r="K87" s="165" t="s">
        <v>3659</v>
      </c>
      <c r="L87" s="165" t="s">
        <v>3672</v>
      </c>
      <c r="M87" s="165" t="s">
        <v>3678</v>
      </c>
      <c r="N87" s="165" t="s">
        <v>3719</v>
      </c>
      <c r="O87" s="165" t="s">
        <v>3485</v>
      </c>
      <c r="P87" s="165" t="s">
        <v>2934</v>
      </c>
      <c r="Q87" s="126" t="s">
        <v>2677</v>
      </c>
      <c r="R87" s="40" t="s">
        <v>3321</v>
      </c>
      <c r="S87" s="40"/>
      <c r="T87" s="40" t="s">
        <v>284</v>
      </c>
      <c r="U87" s="41" t="s">
        <v>2936</v>
      </c>
      <c r="V87" s="41" t="s">
        <v>139</v>
      </c>
      <c r="W87" s="41" t="s">
        <v>139</v>
      </c>
      <c r="X87" s="41" t="s">
        <v>139</v>
      </c>
      <c r="Y87" s="42" t="s">
        <v>139</v>
      </c>
      <c r="Z87" s="43" t="s">
        <v>2935</v>
      </c>
      <c r="AA87" s="41" t="s">
        <v>139</v>
      </c>
      <c r="AB87" s="41" t="s">
        <v>139</v>
      </c>
      <c r="AC87" s="41" t="s">
        <v>139</v>
      </c>
      <c r="AD87" s="41" t="s">
        <v>139</v>
      </c>
      <c r="AE87" s="44"/>
      <c r="AF87" s="45"/>
      <c r="AG87" s="45"/>
      <c r="AH87" s="46"/>
      <c r="AI87" s="45"/>
      <c r="AJ87" s="45"/>
      <c r="AK87" s="45"/>
      <c r="AL87" s="3" t="s">
        <v>1582</v>
      </c>
    </row>
    <row r="88" spans="2:38" ht="67.5" hidden="1">
      <c r="B88" s="144">
        <f t="shared" si="1"/>
        <v>85</v>
      </c>
      <c r="C88" s="148" t="s">
        <v>3732</v>
      </c>
      <c r="D88" s="148"/>
      <c r="E88" s="148"/>
      <c r="F88" s="148"/>
      <c r="G88" s="148"/>
      <c r="H88" s="148"/>
      <c r="I88" s="148"/>
      <c r="J88" s="148"/>
      <c r="K88" s="165" t="s">
        <v>3659</v>
      </c>
      <c r="L88" s="165" t="s">
        <v>3672</v>
      </c>
      <c r="M88" s="165" t="s">
        <v>3678</v>
      </c>
      <c r="N88" s="165" t="s">
        <v>3719</v>
      </c>
      <c r="O88" s="165" t="s">
        <v>3319</v>
      </c>
      <c r="P88" s="165" t="s">
        <v>3319</v>
      </c>
      <c r="Q88" s="126" t="s">
        <v>3320</v>
      </c>
      <c r="R88" s="40" t="s">
        <v>810</v>
      </c>
      <c r="S88" s="40" t="s">
        <v>811</v>
      </c>
      <c r="T88" s="40" t="s">
        <v>2076</v>
      </c>
      <c r="U88" s="41" t="s">
        <v>139</v>
      </c>
      <c r="V88" s="41" t="s">
        <v>139</v>
      </c>
      <c r="W88" s="41" t="s">
        <v>139</v>
      </c>
      <c r="X88" s="41" t="s">
        <v>812</v>
      </c>
      <c r="Y88" s="42" t="s">
        <v>139</v>
      </c>
      <c r="Z88" s="43" t="s">
        <v>139</v>
      </c>
      <c r="AA88" s="41" t="s">
        <v>139</v>
      </c>
      <c r="AB88" s="41" t="s">
        <v>139</v>
      </c>
      <c r="AC88" s="41" t="s">
        <v>802</v>
      </c>
      <c r="AD88" s="41" t="s">
        <v>139</v>
      </c>
      <c r="AE88" s="44"/>
      <c r="AF88" s="45"/>
      <c r="AG88" s="45"/>
      <c r="AH88" s="46"/>
      <c r="AI88" s="45"/>
      <c r="AJ88" s="45"/>
      <c r="AK88" s="45"/>
      <c r="AL88" s="3" t="s">
        <v>1582</v>
      </c>
    </row>
    <row r="89" spans="2:38" ht="67.5" hidden="1">
      <c r="B89" s="144">
        <f t="shared" si="1"/>
        <v>86</v>
      </c>
      <c r="C89" s="148" t="s">
        <v>3732</v>
      </c>
      <c r="D89" s="148"/>
      <c r="E89" s="148"/>
      <c r="F89" s="148"/>
      <c r="G89" s="148"/>
      <c r="H89" s="148"/>
      <c r="I89" s="148"/>
      <c r="J89" s="148"/>
      <c r="K89" s="165" t="s">
        <v>3659</v>
      </c>
      <c r="L89" s="165" t="s">
        <v>3672</v>
      </c>
      <c r="M89" s="165" t="s">
        <v>3678</v>
      </c>
      <c r="N89" s="165" t="s">
        <v>3719</v>
      </c>
      <c r="O89" s="165" t="s">
        <v>3486</v>
      </c>
      <c r="P89" s="165" t="s">
        <v>3108</v>
      </c>
      <c r="Q89" s="126" t="s">
        <v>3109</v>
      </c>
      <c r="R89" s="40" t="s">
        <v>813</v>
      </c>
      <c r="S89" s="40" t="s">
        <v>814</v>
      </c>
      <c r="T89" s="40" t="s">
        <v>2076</v>
      </c>
      <c r="U89" s="41" t="s">
        <v>139</v>
      </c>
      <c r="V89" s="41" t="s">
        <v>2723</v>
      </c>
      <c r="W89" s="41" t="s">
        <v>139</v>
      </c>
      <c r="X89" s="41" t="s">
        <v>812</v>
      </c>
      <c r="Y89" s="42" t="s">
        <v>139</v>
      </c>
      <c r="Z89" s="43" t="s">
        <v>139</v>
      </c>
      <c r="AA89" s="41" t="s">
        <v>1261</v>
      </c>
      <c r="AB89" s="41" t="s">
        <v>139</v>
      </c>
      <c r="AC89" s="41" t="s">
        <v>802</v>
      </c>
      <c r="AD89" s="41" t="s">
        <v>139</v>
      </c>
      <c r="AE89" s="44"/>
      <c r="AF89" s="45"/>
      <c r="AG89" s="45"/>
      <c r="AH89" s="46"/>
      <c r="AI89" s="45"/>
      <c r="AJ89" s="45"/>
      <c r="AK89" s="45"/>
      <c r="AL89" s="3" t="s">
        <v>1582</v>
      </c>
    </row>
    <row r="90" spans="2:38" ht="40.5" hidden="1">
      <c r="B90" s="144">
        <f t="shared" si="1"/>
        <v>87</v>
      </c>
      <c r="C90" s="148" t="s">
        <v>3732</v>
      </c>
      <c r="D90" s="148"/>
      <c r="E90" s="148"/>
      <c r="F90" s="148"/>
      <c r="G90" s="148"/>
      <c r="H90" s="148"/>
      <c r="I90" s="148"/>
      <c r="J90" s="148"/>
      <c r="K90" s="165" t="s">
        <v>3659</v>
      </c>
      <c r="L90" s="165" t="s">
        <v>3672</v>
      </c>
      <c r="M90" s="165" t="s">
        <v>3678</v>
      </c>
      <c r="N90" s="165" t="s">
        <v>3714</v>
      </c>
      <c r="O90" s="165" t="s">
        <v>3428</v>
      </c>
      <c r="P90" s="165" t="s">
        <v>2362</v>
      </c>
      <c r="Q90" s="126" t="s">
        <v>1637</v>
      </c>
      <c r="R90" s="40" t="s">
        <v>2363</v>
      </c>
      <c r="S90" s="59"/>
      <c r="T90" s="40" t="s">
        <v>2364</v>
      </c>
      <c r="U90" s="41" t="s">
        <v>139</v>
      </c>
      <c r="V90" s="41" t="s">
        <v>139</v>
      </c>
      <c r="W90" s="41" t="s">
        <v>139</v>
      </c>
      <c r="X90" s="41" t="s">
        <v>2190</v>
      </c>
      <c r="Y90" s="42" t="s">
        <v>139</v>
      </c>
      <c r="Z90" s="43" t="s">
        <v>139</v>
      </c>
      <c r="AA90" s="41" t="s">
        <v>139</v>
      </c>
      <c r="AB90" s="41" t="s">
        <v>139</v>
      </c>
      <c r="AC90" s="41" t="s">
        <v>2357</v>
      </c>
      <c r="AD90" s="41" t="s">
        <v>139</v>
      </c>
      <c r="AE90" s="44"/>
      <c r="AF90" s="45"/>
      <c r="AG90" s="45"/>
      <c r="AH90" s="46"/>
      <c r="AI90" s="45"/>
      <c r="AJ90" s="45"/>
      <c r="AK90" s="45"/>
      <c r="AL90" s="3" t="s">
        <v>1582</v>
      </c>
    </row>
    <row r="91" spans="2:38" ht="40.5" hidden="1">
      <c r="B91" s="144">
        <f t="shared" si="1"/>
        <v>88</v>
      </c>
      <c r="C91" s="148" t="s">
        <v>3732</v>
      </c>
      <c r="D91" s="148"/>
      <c r="E91" s="148"/>
      <c r="F91" s="148"/>
      <c r="G91" s="148"/>
      <c r="H91" s="148"/>
      <c r="I91" s="148"/>
      <c r="J91" s="148"/>
      <c r="K91" s="165" t="s">
        <v>3659</v>
      </c>
      <c r="L91" s="165" t="s">
        <v>3672</v>
      </c>
      <c r="M91" s="165" t="s">
        <v>3678</v>
      </c>
      <c r="N91" s="165" t="s">
        <v>3714</v>
      </c>
      <c r="O91" s="165" t="s">
        <v>3429</v>
      </c>
      <c r="P91" s="165" t="s">
        <v>2368</v>
      </c>
      <c r="Q91" s="126" t="s">
        <v>1637</v>
      </c>
      <c r="R91" s="40" t="s">
        <v>2369</v>
      </c>
      <c r="S91" s="59" t="s">
        <v>2370</v>
      </c>
      <c r="T91" s="40" t="s">
        <v>2364</v>
      </c>
      <c r="U91" s="41" t="s">
        <v>139</v>
      </c>
      <c r="V91" s="41" t="s">
        <v>139</v>
      </c>
      <c r="W91" s="41" t="s">
        <v>139</v>
      </c>
      <c r="X91" s="41" t="s">
        <v>2190</v>
      </c>
      <c r="Y91" s="42" t="s">
        <v>139</v>
      </c>
      <c r="Z91" s="43" t="s">
        <v>139</v>
      </c>
      <c r="AA91" s="41" t="s">
        <v>139</v>
      </c>
      <c r="AB91" s="41" t="s">
        <v>139</v>
      </c>
      <c r="AC91" s="41" t="s">
        <v>2357</v>
      </c>
      <c r="AD91" s="41" t="s">
        <v>139</v>
      </c>
      <c r="AE91" s="44"/>
      <c r="AF91" s="45"/>
      <c r="AG91" s="45"/>
      <c r="AH91" s="46"/>
      <c r="AI91" s="45"/>
      <c r="AJ91" s="45"/>
      <c r="AK91" s="45"/>
      <c r="AL91" s="3" t="s">
        <v>1582</v>
      </c>
    </row>
    <row r="92" spans="2:38" ht="135" hidden="1">
      <c r="B92" s="144">
        <f t="shared" si="1"/>
        <v>89</v>
      </c>
      <c r="C92" s="148" t="s">
        <v>3732</v>
      </c>
      <c r="D92" s="148"/>
      <c r="E92" s="148"/>
      <c r="F92" s="148"/>
      <c r="G92" s="148"/>
      <c r="H92" s="148"/>
      <c r="I92" s="148"/>
      <c r="J92" s="148"/>
      <c r="K92" s="165" t="s">
        <v>3659</v>
      </c>
      <c r="L92" s="165" t="s">
        <v>3672</v>
      </c>
      <c r="M92" s="165" t="s">
        <v>3678</v>
      </c>
      <c r="N92" s="165" t="s">
        <v>3714</v>
      </c>
      <c r="O92" s="165" t="s">
        <v>637</v>
      </c>
      <c r="P92" s="165" t="s">
        <v>637</v>
      </c>
      <c r="Q92" s="126" t="s">
        <v>139</v>
      </c>
      <c r="R92" s="40" t="s">
        <v>638</v>
      </c>
      <c r="S92" s="40" t="s">
        <v>639</v>
      </c>
      <c r="T92" s="40" t="s">
        <v>161</v>
      </c>
      <c r="U92" s="41" t="s">
        <v>139</v>
      </c>
      <c r="V92" s="41" t="s">
        <v>139</v>
      </c>
      <c r="W92" s="41" t="s">
        <v>139</v>
      </c>
      <c r="X92" s="41" t="s">
        <v>640</v>
      </c>
      <c r="Y92" s="42" t="s">
        <v>3121</v>
      </c>
      <c r="Z92" s="43" t="s">
        <v>139</v>
      </c>
      <c r="AA92" s="41" t="s">
        <v>139</v>
      </c>
      <c r="AB92" s="41" t="s">
        <v>139</v>
      </c>
      <c r="AC92" s="41" t="s">
        <v>1588</v>
      </c>
      <c r="AD92" s="41" t="s">
        <v>641</v>
      </c>
      <c r="AE92" s="44"/>
      <c r="AF92" s="45"/>
      <c r="AG92" s="45"/>
      <c r="AH92" s="46"/>
      <c r="AI92" s="45"/>
      <c r="AJ92" s="45"/>
      <c r="AK92" s="45"/>
      <c r="AL92" s="3" t="s">
        <v>1582</v>
      </c>
    </row>
    <row r="93" spans="2:38" ht="40.5" hidden="1">
      <c r="B93" s="144">
        <f t="shared" si="1"/>
        <v>90</v>
      </c>
      <c r="C93" s="148" t="s">
        <v>3732</v>
      </c>
      <c r="D93" s="148"/>
      <c r="E93" s="148"/>
      <c r="F93" s="148"/>
      <c r="G93" s="148"/>
      <c r="H93" s="148"/>
      <c r="I93" s="148"/>
      <c r="J93" s="148"/>
      <c r="K93" s="165" t="s">
        <v>3659</v>
      </c>
      <c r="L93" s="165" t="s">
        <v>3672</v>
      </c>
      <c r="M93" s="165" t="s">
        <v>3678</v>
      </c>
      <c r="N93" s="65" t="s">
        <v>3714</v>
      </c>
      <c r="O93" s="65" t="s">
        <v>3487</v>
      </c>
      <c r="P93" s="65" t="s">
        <v>2283</v>
      </c>
      <c r="Q93" s="54" t="s">
        <v>1637</v>
      </c>
      <c r="R93" s="41" t="s">
        <v>2284</v>
      </c>
      <c r="S93" s="70"/>
      <c r="T93" s="41" t="s">
        <v>2137</v>
      </c>
      <c r="U93" s="41" t="s">
        <v>139</v>
      </c>
      <c r="V93" s="41" t="s">
        <v>139</v>
      </c>
      <c r="W93" s="41" t="s">
        <v>139</v>
      </c>
      <c r="X93" s="41" t="s">
        <v>2271</v>
      </c>
      <c r="Y93" s="42" t="s">
        <v>139</v>
      </c>
      <c r="Z93" s="53" t="s">
        <v>139</v>
      </c>
      <c r="AA93" s="54" t="s">
        <v>139</v>
      </c>
      <c r="AB93" s="54" t="s">
        <v>139</v>
      </c>
      <c r="AC93" s="54" t="s">
        <v>2289</v>
      </c>
      <c r="AD93" s="54" t="s">
        <v>139</v>
      </c>
      <c r="AE93" s="55"/>
      <c r="AF93" s="56"/>
      <c r="AG93" s="56"/>
      <c r="AH93" s="57"/>
      <c r="AI93" s="56"/>
      <c r="AJ93" s="56"/>
      <c r="AK93" s="56"/>
      <c r="AL93" s="3" t="s">
        <v>1582</v>
      </c>
    </row>
    <row r="94" spans="2:38" ht="54">
      <c r="B94" s="144">
        <f t="shared" si="1"/>
        <v>91</v>
      </c>
      <c r="C94" s="148" t="s">
        <v>3731</v>
      </c>
      <c r="D94" s="148"/>
      <c r="E94" s="148"/>
      <c r="F94" s="148"/>
      <c r="G94" s="148"/>
      <c r="H94" s="148"/>
      <c r="I94" s="148"/>
      <c r="J94" s="148"/>
      <c r="K94" s="165" t="s">
        <v>3659</v>
      </c>
      <c r="L94" s="165" t="s">
        <v>3672</v>
      </c>
      <c r="M94" s="165" t="s">
        <v>3678</v>
      </c>
      <c r="N94" s="165" t="s">
        <v>1658</v>
      </c>
      <c r="O94" s="165" t="s">
        <v>3488</v>
      </c>
      <c r="P94" s="165" t="s">
        <v>1658</v>
      </c>
      <c r="Q94" s="126" t="s">
        <v>2677</v>
      </c>
      <c r="R94" s="40" t="s">
        <v>2132</v>
      </c>
      <c r="S94" s="61"/>
      <c r="T94" s="40" t="s">
        <v>284</v>
      </c>
      <c r="U94" s="41" t="s">
        <v>139</v>
      </c>
      <c r="V94" s="41" t="s">
        <v>139</v>
      </c>
      <c r="W94" s="41" t="s">
        <v>139</v>
      </c>
      <c r="X94" s="41" t="s">
        <v>2123</v>
      </c>
      <c r="Y94" s="42" t="s">
        <v>139</v>
      </c>
      <c r="Z94" s="43" t="s">
        <v>139</v>
      </c>
      <c r="AA94" s="41" t="s">
        <v>139</v>
      </c>
      <c r="AB94" s="41" t="s">
        <v>139</v>
      </c>
      <c r="AC94" s="41" t="s">
        <v>2130</v>
      </c>
      <c r="AD94" s="41" t="s">
        <v>139</v>
      </c>
      <c r="AE94" s="44"/>
      <c r="AF94" s="196" t="s">
        <v>2460</v>
      </c>
      <c r="AG94" s="45"/>
      <c r="AH94" s="189">
        <v>1</v>
      </c>
      <c r="AI94" s="45" t="s">
        <v>3969</v>
      </c>
      <c r="AJ94" s="60" t="s">
        <v>3970</v>
      </c>
      <c r="AK94" s="45" t="s">
        <v>3971</v>
      </c>
      <c r="AL94" s="3" t="s">
        <v>1582</v>
      </c>
    </row>
    <row r="95" spans="2:38" ht="40.5">
      <c r="B95" s="144">
        <f t="shared" si="1"/>
        <v>92</v>
      </c>
      <c r="C95" s="148" t="s">
        <v>3731</v>
      </c>
      <c r="D95" s="148"/>
      <c r="E95" s="148"/>
      <c r="F95" s="148"/>
      <c r="G95" s="148"/>
      <c r="H95" s="148"/>
      <c r="I95" s="148"/>
      <c r="J95" s="148"/>
      <c r="K95" s="165" t="s">
        <v>3659</v>
      </c>
      <c r="L95" s="165" t="s">
        <v>3672</v>
      </c>
      <c r="M95" s="165" t="s">
        <v>3678</v>
      </c>
      <c r="N95" s="165" t="s">
        <v>1658</v>
      </c>
      <c r="O95" s="165" t="s">
        <v>3489</v>
      </c>
      <c r="P95" s="165" t="s">
        <v>2371</v>
      </c>
      <c r="Q95" s="126" t="s">
        <v>2677</v>
      </c>
      <c r="R95" s="40" t="s">
        <v>2372</v>
      </c>
      <c r="S95" s="40"/>
      <c r="T95" s="72" t="s">
        <v>2677</v>
      </c>
      <c r="U95" s="41" t="s">
        <v>139</v>
      </c>
      <c r="V95" s="41" t="s">
        <v>139</v>
      </c>
      <c r="W95" s="41" t="s">
        <v>139</v>
      </c>
      <c r="X95" s="41" t="s">
        <v>139</v>
      </c>
      <c r="Y95" s="42" t="s">
        <v>139</v>
      </c>
      <c r="Z95" s="43" t="s">
        <v>139</v>
      </c>
      <c r="AA95" s="41" t="s">
        <v>139</v>
      </c>
      <c r="AB95" s="41" t="s">
        <v>139</v>
      </c>
      <c r="AC95" s="41" t="s">
        <v>139</v>
      </c>
      <c r="AD95" s="41" t="s">
        <v>139</v>
      </c>
      <c r="AE95" s="44"/>
      <c r="AF95" s="196" t="s">
        <v>2460</v>
      </c>
      <c r="AG95" s="45"/>
      <c r="AH95" s="189">
        <v>1</v>
      </c>
      <c r="AI95" s="40" t="s">
        <v>2372</v>
      </c>
      <c r="AJ95" s="45" t="s">
        <v>3972</v>
      </c>
      <c r="AK95" s="45" t="s">
        <v>3973</v>
      </c>
      <c r="AL95" s="3" t="s">
        <v>1582</v>
      </c>
    </row>
    <row r="96" spans="2:38" ht="40.5">
      <c r="B96" s="144">
        <f t="shared" si="1"/>
        <v>93</v>
      </c>
      <c r="C96" s="148" t="s">
        <v>3731</v>
      </c>
      <c r="D96" s="148"/>
      <c r="E96" s="148"/>
      <c r="F96" s="148"/>
      <c r="G96" s="148"/>
      <c r="H96" s="148"/>
      <c r="I96" s="148"/>
      <c r="J96" s="148"/>
      <c r="K96" s="165" t="s">
        <v>3659</v>
      </c>
      <c r="L96" s="165" t="s">
        <v>3672</v>
      </c>
      <c r="M96" s="165" t="s">
        <v>3678</v>
      </c>
      <c r="N96" s="165" t="s">
        <v>1658</v>
      </c>
      <c r="O96" s="165" t="s">
        <v>1367</v>
      </c>
      <c r="P96" s="165" t="s">
        <v>1367</v>
      </c>
      <c r="Q96" s="126" t="s">
        <v>1658</v>
      </c>
      <c r="R96" s="40" t="s">
        <v>1657</v>
      </c>
      <c r="S96" s="40" t="s">
        <v>1369</v>
      </c>
      <c r="T96" s="40" t="s">
        <v>1645</v>
      </c>
      <c r="U96" s="41" t="s">
        <v>139</v>
      </c>
      <c r="V96" s="41" t="s">
        <v>139</v>
      </c>
      <c r="W96" s="41" t="s">
        <v>139</v>
      </c>
      <c r="X96" s="41" t="s">
        <v>139</v>
      </c>
      <c r="Y96" s="42" t="s">
        <v>302</v>
      </c>
      <c r="Z96" s="43" t="s">
        <v>139</v>
      </c>
      <c r="AA96" s="41" t="s">
        <v>139</v>
      </c>
      <c r="AB96" s="41" t="s">
        <v>139</v>
      </c>
      <c r="AC96" s="41" t="s">
        <v>139</v>
      </c>
      <c r="AD96" s="41" t="s">
        <v>302</v>
      </c>
      <c r="AE96" s="44"/>
      <c r="AF96" s="196" t="s">
        <v>2460</v>
      </c>
      <c r="AG96" s="45"/>
      <c r="AH96" s="189">
        <v>1</v>
      </c>
      <c r="AI96" s="45" t="s">
        <v>3974</v>
      </c>
      <c r="AJ96" s="45" t="s">
        <v>3975</v>
      </c>
      <c r="AK96" s="45" t="s">
        <v>192</v>
      </c>
      <c r="AL96" s="3" t="s">
        <v>1582</v>
      </c>
    </row>
    <row r="97" spans="2:38" ht="40.5" hidden="1">
      <c r="B97" s="144">
        <f t="shared" si="1"/>
        <v>94</v>
      </c>
      <c r="C97" s="148" t="s">
        <v>3732</v>
      </c>
      <c r="D97" s="148"/>
      <c r="E97" s="148"/>
      <c r="F97" s="148"/>
      <c r="G97" s="148"/>
      <c r="H97" s="148"/>
      <c r="I97" s="148"/>
      <c r="J97" s="148"/>
      <c r="K97" s="165" t="s">
        <v>3659</v>
      </c>
      <c r="L97" s="165" t="s">
        <v>3672</v>
      </c>
      <c r="M97" s="165" t="s">
        <v>3678</v>
      </c>
      <c r="N97" s="165" t="s">
        <v>1658</v>
      </c>
      <c r="O97" s="165" t="s">
        <v>900</v>
      </c>
      <c r="P97" s="165" t="s">
        <v>900</v>
      </c>
      <c r="Q97" s="126" t="s">
        <v>139</v>
      </c>
      <c r="R97" s="40" t="s">
        <v>3324</v>
      </c>
      <c r="S97" s="40" t="s">
        <v>901</v>
      </c>
      <c r="T97" s="40" t="s">
        <v>284</v>
      </c>
      <c r="U97" s="41" t="s">
        <v>139</v>
      </c>
      <c r="V97" s="41" t="s">
        <v>139</v>
      </c>
      <c r="W97" s="41" t="s">
        <v>139</v>
      </c>
      <c r="X97" s="41" t="s">
        <v>902</v>
      </c>
      <c r="Y97" s="42" t="s">
        <v>139</v>
      </c>
      <c r="Z97" s="43" t="s">
        <v>139</v>
      </c>
      <c r="AA97" s="41" t="s">
        <v>139</v>
      </c>
      <c r="AB97" s="41" t="s">
        <v>139</v>
      </c>
      <c r="AC97" s="41" t="s">
        <v>899</v>
      </c>
      <c r="AD97" s="41" t="s">
        <v>139</v>
      </c>
      <c r="AE97" s="44"/>
      <c r="AF97" s="45"/>
      <c r="AG97" s="45"/>
      <c r="AH97" s="46"/>
      <c r="AI97" s="45"/>
      <c r="AJ97" s="45"/>
      <c r="AK97" s="45"/>
      <c r="AL97" s="3" t="s">
        <v>1582</v>
      </c>
    </row>
    <row r="98" spans="2:38" ht="94.5">
      <c r="B98" s="144">
        <f t="shared" si="1"/>
        <v>95</v>
      </c>
      <c r="C98" s="148" t="s">
        <v>3731</v>
      </c>
      <c r="D98" s="148"/>
      <c r="E98" s="148"/>
      <c r="F98" s="148"/>
      <c r="G98" s="148"/>
      <c r="H98" s="148"/>
      <c r="I98" s="148"/>
      <c r="J98" s="148"/>
      <c r="K98" s="165" t="s">
        <v>3659</v>
      </c>
      <c r="L98" s="165" t="s">
        <v>3672</v>
      </c>
      <c r="M98" s="165" t="s">
        <v>3678</v>
      </c>
      <c r="N98" s="165" t="s">
        <v>1658</v>
      </c>
      <c r="O98" s="165" t="s">
        <v>957</v>
      </c>
      <c r="P98" s="165" t="s">
        <v>957</v>
      </c>
      <c r="Q98" s="126" t="s">
        <v>139</v>
      </c>
      <c r="R98" s="40" t="s">
        <v>958</v>
      </c>
      <c r="S98" s="62" t="s">
        <v>959</v>
      </c>
      <c r="T98" s="40" t="s">
        <v>672</v>
      </c>
      <c r="U98" s="41" t="s">
        <v>139</v>
      </c>
      <c r="V98" s="41" t="s">
        <v>139</v>
      </c>
      <c r="W98" s="41" t="s">
        <v>139</v>
      </c>
      <c r="X98" s="41" t="s">
        <v>960</v>
      </c>
      <c r="Y98" s="42" t="s">
        <v>3102</v>
      </c>
      <c r="Z98" s="43" t="s">
        <v>139</v>
      </c>
      <c r="AA98" s="41" t="s">
        <v>139</v>
      </c>
      <c r="AB98" s="41" t="s">
        <v>139</v>
      </c>
      <c r="AC98" s="41" t="s">
        <v>956</v>
      </c>
      <c r="AD98" s="41" t="s">
        <v>302</v>
      </c>
      <c r="AE98" s="44" t="s">
        <v>1592</v>
      </c>
      <c r="AF98" s="196" t="s">
        <v>3961</v>
      </c>
      <c r="AG98" s="45"/>
      <c r="AH98" s="189">
        <v>1</v>
      </c>
      <c r="AI98" s="45"/>
      <c r="AJ98" s="45"/>
      <c r="AK98" s="45"/>
      <c r="AL98" s="3" t="s">
        <v>1582</v>
      </c>
    </row>
    <row r="99" spans="2:38" ht="81">
      <c r="B99" s="144">
        <f t="shared" si="1"/>
        <v>96</v>
      </c>
      <c r="C99" s="148" t="s">
        <v>3731</v>
      </c>
      <c r="D99" s="148"/>
      <c r="E99" s="148"/>
      <c r="F99" s="148"/>
      <c r="G99" s="148"/>
      <c r="H99" s="148"/>
      <c r="I99" s="148"/>
      <c r="J99" s="148"/>
      <c r="K99" s="165" t="s">
        <v>3659</v>
      </c>
      <c r="L99" s="165" t="s">
        <v>3672</v>
      </c>
      <c r="M99" s="165" t="s">
        <v>3678</v>
      </c>
      <c r="N99" s="165" t="s">
        <v>1658</v>
      </c>
      <c r="O99" s="165" t="s">
        <v>3490</v>
      </c>
      <c r="P99" s="165" t="s">
        <v>2295</v>
      </c>
      <c r="Q99" s="126" t="s">
        <v>669</v>
      </c>
      <c r="R99" s="40" t="s">
        <v>670</v>
      </c>
      <c r="S99" s="40" t="s">
        <v>671</v>
      </c>
      <c r="T99" s="40" t="s">
        <v>672</v>
      </c>
      <c r="U99" s="41" t="s">
        <v>139</v>
      </c>
      <c r="V99" s="41" t="s">
        <v>139</v>
      </c>
      <c r="W99" s="41" t="s">
        <v>139</v>
      </c>
      <c r="X99" s="41" t="s">
        <v>673</v>
      </c>
      <c r="Y99" s="42" t="s">
        <v>139</v>
      </c>
      <c r="Z99" s="43" t="s">
        <v>139</v>
      </c>
      <c r="AA99" s="41" t="s">
        <v>139</v>
      </c>
      <c r="AB99" s="41" t="s">
        <v>139</v>
      </c>
      <c r="AC99" s="41" t="s">
        <v>674</v>
      </c>
      <c r="AD99" s="41" t="s">
        <v>139</v>
      </c>
      <c r="AE99" s="44"/>
      <c r="AF99" s="196" t="s">
        <v>2460</v>
      </c>
      <c r="AG99" s="45"/>
      <c r="AH99" s="189">
        <v>1</v>
      </c>
      <c r="AI99" s="45" t="s">
        <v>3976</v>
      </c>
      <c r="AJ99" s="45" t="s">
        <v>3982</v>
      </c>
      <c r="AK99" s="45" t="s">
        <v>3983</v>
      </c>
      <c r="AL99" s="3" t="s">
        <v>1582</v>
      </c>
    </row>
    <row r="100" spans="2:38" ht="54" hidden="1">
      <c r="B100" s="144">
        <f t="shared" si="1"/>
        <v>97</v>
      </c>
      <c r="C100" s="148" t="s">
        <v>3732</v>
      </c>
      <c r="D100" s="148"/>
      <c r="E100" s="148"/>
      <c r="F100" s="148"/>
      <c r="G100" s="148"/>
      <c r="H100" s="148"/>
      <c r="I100" s="148"/>
      <c r="J100" s="148"/>
      <c r="K100" s="165" t="s">
        <v>3659</v>
      </c>
      <c r="L100" s="165" t="s">
        <v>3672</v>
      </c>
      <c r="M100" s="165" t="s">
        <v>3678</v>
      </c>
      <c r="N100" s="165" t="s">
        <v>1658</v>
      </c>
      <c r="O100" s="165" t="s">
        <v>894</v>
      </c>
      <c r="P100" s="165" t="s">
        <v>894</v>
      </c>
      <c r="Q100" s="126" t="s">
        <v>139</v>
      </c>
      <c r="R100" s="68" t="s">
        <v>1651</v>
      </c>
      <c r="S100" s="68" t="s">
        <v>1650</v>
      </c>
      <c r="T100" s="40" t="s">
        <v>161</v>
      </c>
      <c r="U100" s="41" t="s">
        <v>139</v>
      </c>
      <c r="V100" s="41" t="s">
        <v>139</v>
      </c>
      <c r="W100" s="41" t="s">
        <v>139</v>
      </c>
      <c r="X100" s="41" t="s">
        <v>1652</v>
      </c>
      <c r="Y100" s="42" t="s">
        <v>139</v>
      </c>
      <c r="Z100" s="43" t="s">
        <v>139</v>
      </c>
      <c r="AA100" s="41" t="s">
        <v>139</v>
      </c>
      <c r="AB100" s="41" t="s">
        <v>139</v>
      </c>
      <c r="AC100" s="41" t="s">
        <v>2757</v>
      </c>
      <c r="AD100" s="41" t="s">
        <v>139</v>
      </c>
      <c r="AE100" s="44"/>
      <c r="AF100" s="45"/>
      <c r="AG100" s="45"/>
      <c r="AH100" s="46"/>
      <c r="AI100" s="45"/>
      <c r="AJ100" s="45"/>
      <c r="AK100" s="45"/>
      <c r="AL100" s="3" t="s">
        <v>1582</v>
      </c>
    </row>
    <row r="101" spans="2:38" ht="40.5" hidden="1">
      <c r="B101" s="144">
        <f t="shared" si="1"/>
        <v>98</v>
      </c>
      <c r="C101" s="148" t="s">
        <v>3732</v>
      </c>
      <c r="D101" s="148"/>
      <c r="E101" s="148"/>
      <c r="F101" s="148"/>
      <c r="G101" s="148"/>
      <c r="H101" s="148"/>
      <c r="I101" s="148"/>
      <c r="J101" s="148"/>
      <c r="K101" s="165" t="s">
        <v>3659</v>
      </c>
      <c r="L101" s="165" t="s">
        <v>3672</v>
      </c>
      <c r="M101" s="165" t="s">
        <v>3678</v>
      </c>
      <c r="N101" s="165" t="s">
        <v>1658</v>
      </c>
      <c r="O101" s="165" t="s">
        <v>1101</v>
      </c>
      <c r="P101" s="165" t="s">
        <v>1101</v>
      </c>
      <c r="Q101" s="126" t="s">
        <v>1102</v>
      </c>
      <c r="R101" s="40" t="s">
        <v>1924</v>
      </c>
      <c r="S101" s="40"/>
      <c r="T101" s="40" t="s">
        <v>2080</v>
      </c>
      <c r="U101" s="41" t="s">
        <v>139</v>
      </c>
      <c r="V101" s="41" t="s">
        <v>139</v>
      </c>
      <c r="W101" s="41" t="s">
        <v>1099</v>
      </c>
      <c r="X101" s="41" t="s">
        <v>139</v>
      </c>
      <c r="Y101" s="42" t="s">
        <v>139</v>
      </c>
      <c r="Z101" s="43" t="s">
        <v>139</v>
      </c>
      <c r="AA101" s="41" t="s">
        <v>139</v>
      </c>
      <c r="AB101" s="41" t="s">
        <v>1100</v>
      </c>
      <c r="AC101" s="41" t="s">
        <v>139</v>
      </c>
      <c r="AD101" s="41" t="s">
        <v>139</v>
      </c>
      <c r="AE101" s="44"/>
      <c r="AF101" s="45"/>
      <c r="AG101" s="45"/>
      <c r="AH101" s="46"/>
      <c r="AI101" s="45"/>
      <c r="AJ101" s="45"/>
      <c r="AK101" s="45"/>
      <c r="AL101" s="3" t="s">
        <v>1582</v>
      </c>
    </row>
    <row r="102" spans="2:38" ht="40.5" hidden="1">
      <c r="B102" s="144">
        <f t="shared" si="1"/>
        <v>99</v>
      </c>
      <c r="C102" s="148" t="s">
        <v>3732</v>
      </c>
      <c r="D102" s="148"/>
      <c r="E102" s="148"/>
      <c r="F102" s="148"/>
      <c r="G102" s="148"/>
      <c r="H102" s="148"/>
      <c r="I102" s="148"/>
      <c r="J102" s="148"/>
      <c r="K102" s="165" t="s">
        <v>3659</v>
      </c>
      <c r="L102" s="165" t="s">
        <v>3672</v>
      </c>
      <c r="M102" s="165" t="s">
        <v>3678</v>
      </c>
      <c r="N102" s="165" t="s">
        <v>1658</v>
      </c>
      <c r="O102" s="165" t="s">
        <v>1103</v>
      </c>
      <c r="P102" s="165" t="s">
        <v>1103</v>
      </c>
      <c r="Q102" s="126" t="s">
        <v>139</v>
      </c>
      <c r="R102" s="40" t="s">
        <v>3318</v>
      </c>
      <c r="S102" s="40"/>
      <c r="T102" s="40" t="s">
        <v>2079</v>
      </c>
      <c r="U102" s="41" t="s">
        <v>139</v>
      </c>
      <c r="V102" s="41" t="s">
        <v>139</v>
      </c>
      <c r="W102" s="41" t="s">
        <v>1104</v>
      </c>
      <c r="X102" s="41" t="s">
        <v>139</v>
      </c>
      <c r="Y102" s="42" t="s">
        <v>139</v>
      </c>
      <c r="Z102" s="43" t="s">
        <v>139</v>
      </c>
      <c r="AA102" s="41" t="s">
        <v>139</v>
      </c>
      <c r="AB102" s="41" t="s">
        <v>1100</v>
      </c>
      <c r="AC102" s="41" t="s">
        <v>139</v>
      </c>
      <c r="AD102" s="41" t="s">
        <v>139</v>
      </c>
      <c r="AE102" s="44"/>
      <c r="AF102" s="45"/>
      <c r="AG102" s="45"/>
      <c r="AH102" s="46"/>
      <c r="AI102" s="45"/>
      <c r="AJ102" s="45"/>
      <c r="AK102" s="45"/>
      <c r="AL102" s="3" t="s">
        <v>1582</v>
      </c>
    </row>
    <row r="103" spans="2:38" ht="40.5" hidden="1">
      <c r="B103" s="144">
        <f t="shared" si="1"/>
        <v>100</v>
      </c>
      <c r="C103" s="148" t="s">
        <v>3732</v>
      </c>
      <c r="D103" s="148"/>
      <c r="E103" s="148"/>
      <c r="F103" s="148"/>
      <c r="G103" s="148"/>
      <c r="H103" s="148"/>
      <c r="I103" s="148"/>
      <c r="J103" s="148"/>
      <c r="K103" s="165" t="s">
        <v>3659</v>
      </c>
      <c r="L103" s="165" t="s">
        <v>3672</v>
      </c>
      <c r="M103" s="165" t="s">
        <v>3678</v>
      </c>
      <c r="N103" s="165" t="s">
        <v>1658</v>
      </c>
      <c r="O103" s="165" t="s">
        <v>1097</v>
      </c>
      <c r="P103" s="165" t="s">
        <v>1097</v>
      </c>
      <c r="Q103" s="126" t="s">
        <v>139</v>
      </c>
      <c r="R103" s="40" t="s">
        <v>1098</v>
      </c>
      <c r="S103" s="40"/>
      <c r="T103" s="40" t="s">
        <v>2079</v>
      </c>
      <c r="U103" s="41" t="s">
        <v>139</v>
      </c>
      <c r="V103" s="41" t="s">
        <v>139</v>
      </c>
      <c r="W103" s="41" t="s">
        <v>1099</v>
      </c>
      <c r="X103" s="41" t="s">
        <v>139</v>
      </c>
      <c r="Y103" s="42" t="s">
        <v>139</v>
      </c>
      <c r="Z103" s="43" t="s">
        <v>139</v>
      </c>
      <c r="AA103" s="41" t="s">
        <v>139</v>
      </c>
      <c r="AB103" s="41" t="s">
        <v>1100</v>
      </c>
      <c r="AC103" s="41" t="s">
        <v>139</v>
      </c>
      <c r="AD103" s="41" t="s">
        <v>139</v>
      </c>
      <c r="AE103" s="44"/>
      <c r="AF103" s="45"/>
      <c r="AG103" s="45"/>
      <c r="AH103" s="46"/>
      <c r="AI103" s="45"/>
      <c r="AJ103" s="45"/>
      <c r="AK103" s="45"/>
      <c r="AL103" s="3" t="s">
        <v>1582</v>
      </c>
    </row>
    <row r="104" spans="2:38" ht="40.5" hidden="1">
      <c r="B104" s="144">
        <f t="shared" si="1"/>
        <v>101</v>
      </c>
      <c r="C104" s="148" t="s">
        <v>3732</v>
      </c>
      <c r="D104" s="148"/>
      <c r="E104" s="148"/>
      <c r="F104" s="148"/>
      <c r="G104" s="148"/>
      <c r="H104" s="148"/>
      <c r="I104" s="148"/>
      <c r="J104" s="148"/>
      <c r="K104" s="165" t="s">
        <v>3659</v>
      </c>
      <c r="L104" s="165" t="s">
        <v>3672</v>
      </c>
      <c r="M104" s="165" t="s">
        <v>3678</v>
      </c>
      <c r="N104" s="165" t="s">
        <v>1658</v>
      </c>
      <c r="O104" s="165" t="s">
        <v>903</v>
      </c>
      <c r="P104" s="165" t="s">
        <v>903</v>
      </c>
      <c r="Q104" s="126" t="s">
        <v>139</v>
      </c>
      <c r="R104" s="40" t="s">
        <v>904</v>
      </c>
      <c r="S104" s="40"/>
      <c r="T104" s="40" t="s">
        <v>284</v>
      </c>
      <c r="U104" s="41" t="s">
        <v>139</v>
      </c>
      <c r="V104" s="41" t="s">
        <v>139</v>
      </c>
      <c r="W104" s="41" t="s">
        <v>139</v>
      </c>
      <c r="X104" s="41" t="s">
        <v>905</v>
      </c>
      <c r="Y104" s="42" t="s">
        <v>139</v>
      </c>
      <c r="Z104" s="43" t="s">
        <v>139</v>
      </c>
      <c r="AA104" s="41" t="s">
        <v>139</v>
      </c>
      <c r="AB104" s="41" t="s">
        <v>139</v>
      </c>
      <c r="AC104" s="41" t="s">
        <v>899</v>
      </c>
      <c r="AD104" s="41" t="s">
        <v>139</v>
      </c>
      <c r="AE104" s="44"/>
      <c r="AF104" s="45"/>
      <c r="AG104" s="45"/>
      <c r="AH104" s="46"/>
      <c r="AI104" s="45"/>
      <c r="AJ104" s="45"/>
      <c r="AK104" s="45"/>
      <c r="AL104" s="3" t="s">
        <v>1582</v>
      </c>
    </row>
    <row r="105" spans="2:38" ht="54" hidden="1">
      <c r="B105" s="144">
        <f t="shared" si="1"/>
        <v>102</v>
      </c>
      <c r="C105" s="148" t="s">
        <v>3732</v>
      </c>
      <c r="D105" s="148"/>
      <c r="E105" s="148"/>
      <c r="F105" s="148"/>
      <c r="G105" s="148"/>
      <c r="H105" s="148"/>
      <c r="I105" s="148"/>
      <c r="J105" s="148"/>
      <c r="K105" s="165" t="s">
        <v>3659</v>
      </c>
      <c r="L105" s="165" t="s">
        <v>3672</v>
      </c>
      <c r="M105" s="165" t="s">
        <v>3678</v>
      </c>
      <c r="N105" s="165" t="s">
        <v>1658</v>
      </c>
      <c r="O105" s="165" t="s">
        <v>3353</v>
      </c>
      <c r="P105" s="165" t="s">
        <v>799</v>
      </c>
      <c r="Q105" s="126" t="s">
        <v>3326</v>
      </c>
      <c r="R105" s="62" t="s">
        <v>3327</v>
      </c>
      <c r="S105" s="40" t="s">
        <v>800</v>
      </c>
      <c r="T105" s="40" t="s">
        <v>3328</v>
      </c>
      <c r="U105" s="41" t="s">
        <v>139</v>
      </c>
      <c r="V105" s="41" t="s">
        <v>139</v>
      </c>
      <c r="W105" s="41" t="s">
        <v>139</v>
      </c>
      <c r="X105" s="41" t="s">
        <v>801</v>
      </c>
      <c r="Y105" s="42" t="s">
        <v>3329</v>
      </c>
      <c r="Z105" s="43" t="s">
        <v>139</v>
      </c>
      <c r="AA105" s="41" t="s">
        <v>139</v>
      </c>
      <c r="AB105" s="41" t="s">
        <v>139</v>
      </c>
      <c r="AC105" s="41" t="s">
        <v>802</v>
      </c>
      <c r="AD105" s="41" t="s">
        <v>641</v>
      </c>
      <c r="AE105" s="44" t="s">
        <v>2043</v>
      </c>
      <c r="AF105" s="45"/>
      <c r="AG105" s="45"/>
      <c r="AH105" s="46"/>
      <c r="AI105" s="45"/>
      <c r="AJ105" s="45"/>
      <c r="AK105" s="45"/>
      <c r="AL105" s="3" t="s">
        <v>1582</v>
      </c>
    </row>
    <row r="106" spans="2:38" ht="40.5" hidden="1">
      <c r="B106" s="144">
        <f t="shared" si="1"/>
        <v>103</v>
      </c>
      <c r="C106" s="148" t="s">
        <v>3732</v>
      </c>
      <c r="D106" s="148"/>
      <c r="E106" s="148"/>
      <c r="F106" s="148"/>
      <c r="G106" s="148"/>
      <c r="H106" s="148"/>
      <c r="I106" s="148"/>
      <c r="J106" s="148"/>
      <c r="K106" s="165" t="s">
        <v>3659</v>
      </c>
      <c r="L106" s="165" t="s">
        <v>3672</v>
      </c>
      <c r="M106" s="165" t="s">
        <v>3678</v>
      </c>
      <c r="N106" s="165" t="s">
        <v>1658</v>
      </c>
      <c r="O106" s="165" t="s">
        <v>3354</v>
      </c>
      <c r="P106" s="165" t="s">
        <v>799</v>
      </c>
      <c r="Q106" s="126" t="s">
        <v>3040</v>
      </c>
      <c r="R106" s="40" t="s">
        <v>3330</v>
      </c>
      <c r="S106" s="40" t="s">
        <v>800</v>
      </c>
      <c r="T106" s="40" t="s">
        <v>2042</v>
      </c>
      <c r="U106" s="41" t="s">
        <v>139</v>
      </c>
      <c r="V106" s="41" t="s">
        <v>139</v>
      </c>
      <c r="W106" s="41" t="s">
        <v>139</v>
      </c>
      <c r="X106" s="41" t="s">
        <v>139</v>
      </c>
      <c r="Y106" s="42" t="s">
        <v>1891</v>
      </c>
      <c r="Z106" s="43" t="s">
        <v>139</v>
      </c>
      <c r="AA106" s="41" t="s">
        <v>139</v>
      </c>
      <c r="AB106" s="41" t="s">
        <v>139</v>
      </c>
      <c r="AC106" s="41" t="s">
        <v>139</v>
      </c>
      <c r="AD106" s="41" t="s">
        <v>1892</v>
      </c>
      <c r="AE106" s="44" t="s">
        <v>2043</v>
      </c>
      <c r="AF106" s="45"/>
      <c r="AG106" s="45"/>
      <c r="AH106" s="46"/>
      <c r="AI106" s="45"/>
      <c r="AJ106" s="45"/>
      <c r="AK106" s="45"/>
      <c r="AL106" s="3" t="s">
        <v>1582</v>
      </c>
    </row>
    <row r="107" spans="2:38" ht="40.5" hidden="1">
      <c r="B107" s="144">
        <f t="shared" si="1"/>
        <v>104</v>
      </c>
      <c r="C107" s="148" t="s">
        <v>3732</v>
      </c>
      <c r="D107" s="148"/>
      <c r="E107" s="148"/>
      <c r="F107" s="148"/>
      <c r="G107" s="148"/>
      <c r="H107" s="148"/>
      <c r="I107" s="148"/>
      <c r="J107" s="148"/>
      <c r="K107" s="165" t="s">
        <v>3659</v>
      </c>
      <c r="L107" s="165" t="s">
        <v>3672</v>
      </c>
      <c r="M107" s="165" t="s">
        <v>3678</v>
      </c>
      <c r="N107" s="165" t="s">
        <v>1658</v>
      </c>
      <c r="O107" s="165" t="s">
        <v>815</v>
      </c>
      <c r="P107" s="165" t="s">
        <v>815</v>
      </c>
      <c r="Q107" s="126" t="s">
        <v>816</v>
      </c>
      <c r="R107" s="40" t="s">
        <v>817</v>
      </c>
      <c r="S107" s="40" t="s">
        <v>818</v>
      </c>
      <c r="T107" s="40" t="s">
        <v>161</v>
      </c>
      <c r="U107" s="41" t="s">
        <v>139</v>
      </c>
      <c r="V107" s="41" t="s">
        <v>139</v>
      </c>
      <c r="W107" s="41" t="s">
        <v>139</v>
      </c>
      <c r="X107" s="41" t="s">
        <v>819</v>
      </c>
      <c r="Y107" s="42" t="s">
        <v>139</v>
      </c>
      <c r="Z107" s="43" t="s">
        <v>139</v>
      </c>
      <c r="AA107" s="41" t="s">
        <v>139</v>
      </c>
      <c r="AB107" s="41" t="s">
        <v>139</v>
      </c>
      <c r="AC107" s="41" t="s">
        <v>806</v>
      </c>
      <c r="AD107" s="41" t="s">
        <v>139</v>
      </c>
      <c r="AE107" s="44"/>
      <c r="AF107" s="45"/>
      <c r="AG107" s="45"/>
      <c r="AH107" s="46"/>
      <c r="AI107" s="45"/>
      <c r="AJ107" s="45"/>
      <c r="AK107" s="45"/>
      <c r="AL107" s="3" t="s">
        <v>1582</v>
      </c>
    </row>
    <row r="108" spans="2:38" ht="40.5" hidden="1">
      <c r="B108" s="144">
        <f t="shared" si="1"/>
        <v>105</v>
      </c>
      <c r="C108" s="148" t="s">
        <v>3732</v>
      </c>
      <c r="D108" s="148"/>
      <c r="E108" s="148"/>
      <c r="F108" s="148"/>
      <c r="G108" s="148"/>
      <c r="H108" s="148"/>
      <c r="I108" s="148"/>
      <c r="J108" s="148"/>
      <c r="K108" s="165" t="s">
        <v>3659</v>
      </c>
      <c r="L108" s="165" t="s">
        <v>3672</v>
      </c>
      <c r="M108" s="165" t="s">
        <v>3678</v>
      </c>
      <c r="N108" s="65" t="s">
        <v>1658</v>
      </c>
      <c r="O108" s="65" t="s">
        <v>281</v>
      </c>
      <c r="P108" s="65" t="s">
        <v>281</v>
      </c>
      <c r="Q108" s="54" t="s">
        <v>139</v>
      </c>
      <c r="R108" s="41" t="s">
        <v>282</v>
      </c>
      <c r="S108" s="41" t="s">
        <v>283</v>
      </c>
      <c r="T108" s="41" t="s">
        <v>284</v>
      </c>
      <c r="U108" s="41" t="s">
        <v>285</v>
      </c>
      <c r="V108" s="41" t="s">
        <v>139</v>
      </c>
      <c r="W108" s="41" t="s">
        <v>139</v>
      </c>
      <c r="X108" s="41" t="s">
        <v>286</v>
      </c>
      <c r="Y108" s="42" t="s">
        <v>139</v>
      </c>
      <c r="Z108" s="53" t="s">
        <v>287</v>
      </c>
      <c r="AA108" s="54" t="s">
        <v>139</v>
      </c>
      <c r="AB108" s="54" t="s">
        <v>139</v>
      </c>
      <c r="AC108" s="54" t="s">
        <v>1429</v>
      </c>
      <c r="AD108" s="54" t="s">
        <v>139</v>
      </c>
      <c r="AE108" s="55"/>
      <c r="AF108" s="56"/>
      <c r="AG108" s="56"/>
      <c r="AH108" s="57"/>
      <c r="AI108" s="56"/>
      <c r="AJ108" s="56"/>
      <c r="AK108" s="56"/>
      <c r="AL108" s="3" t="s">
        <v>1582</v>
      </c>
    </row>
    <row r="109" spans="2:38" ht="40.5" hidden="1">
      <c r="B109" s="144">
        <f t="shared" si="1"/>
        <v>106</v>
      </c>
      <c r="C109" s="148" t="s">
        <v>3732</v>
      </c>
      <c r="D109" s="148"/>
      <c r="E109" s="148"/>
      <c r="F109" s="148"/>
      <c r="G109" s="148"/>
      <c r="H109" s="148"/>
      <c r="I109" s="148"/>
      <c r="J109" s="148"/>
      <c r="K109" s="165" t="s">
        <v>3659</v>
      </c>
      <c r="L109" s="165" t="s">
        <v>3672</v>
      </c>
      <c r="M109" s="165" t="s">
        <v>3678</v>
      </c>
      <c r="N109" s="165" t="s">
        <v>1658</v>
      </c>
      <c r="O109" s="165" t="s">
        <v>690</v>
      </c>
      <c r="P109" s="165" t="s">
        <v>690</v>
      </c>
      <c r="Q109" s="126" t="s">
        <v>691</v>
      </c>
      <c r="R109" s="40" t="s">
        <v>692</v>
      </c>
      <c r="S109" s="40" t="s">
        <v>693</v>
      </c>
      <c r="T109" s="40" t="s">
        <v>284</v>
      </c>
      <c r="U109" s="41" t="s">
        <v>139</v>
      </c>
      <c r="V109" s="41" t="s">
        <v>139</v>
      </c>
      <c r="W109" s="41" t="s">
        <v>139</v>
      </c>
      <c r="X109" s="41" t="s">
        <v>694</v>
      </c>
      <c r="Y109" s="42" t="s">
        <v>139</v>
      </c>
      <c r="Z109" s="43" t="s">
        <v>139</v>
      </c>
      <c r="AA109" s="41" t="s">
        <v>139</v>
      </c>
      <c r="AB109" s="41" t="s">
        <v>139</v>
      </c>
      <c r="AC109" s="41" t="s">
        <v>695</v>
      </c>
      <c r="AD109" s="41" t="s">
        <v>139</v>
      </c>
      <c r="AE109" s="44"/>
      <c r="AF109" s="45"/>
      <c r="AG109" s="45"/>
      <c r="AH109" s="46"/>
      <c r="AI109" s="45"/>
      <c r="AJ109" s="45"/>
      <c r="AK109" s="45"/>
      <c r="AL109" s="3" t="s">
        <v>1582</v>
      </c>
    </row>
    <row r="110" spans="2:38" ht="81" hidden="1">
      <c r="B110" s="144">
        <f t="shared" si="1"/>
        <v>107</v>
      </c>
      <c r="C110" s="148" t="s">
        <v>3732</v>
      </c>
      <c r="D110" s="148"/>
      <c r="E110" s="148"/>
      <c r="F110" s="148"/>
      <c r="G110" s="148"/>
      <c r="H110" s="148"/>
      <c r="I110" s="148"/>
      <c r="J110" s="148"/>
      <c r="K110" s="165" t="s">
        <v>3659</v>
      </c>
      <c r="L110" s="165" t="s">
        <v>3672</v>
      </c>
      <c r="M110" s="165" t="s">
        <v>3678</v>
      </c>
      <c r="N110" s="165" t="s">
        <v>1658</v>
      </c>
      <c r="O110" s="165" t="s">
        <v>732</v>
      </c>
      <c r="P110" s="165" t="s">
        <v>732</v>
      </c>
      <c r="Q110" s="126" t="s">
        <v>733</v>
      </c>
      <c r="R110" s="40" t="s">
        <v>734</v>
      </c>
      <c r="S110" s="40" t="s">
        <v>735</v>
      </c>
      <c r="T110" s="62" t="s">
        <v>736</v>
      </c>
      <c r="U110" s="41" t="s">
        <v>139</v>
      </c>
      <c r="V110" s="41" t="s">
        <v>139</v>
      </c>
      <c r="W110" s="41" t="s">
        <v>139</v>
      </c>
      <c r="X110" s="41" t="s">
        <v>737</v>
      </c>
      <c r="Y110" s="42" t="s">
        <v>139</v>
      </c>
      <c r="Z110" s="43" t="s">
        <v>139</v>
      </c>
      <c r="AA110" s="41" t="s">
        <v>139</v>
      </c>
      <c r="AB110" s="41" t="s">
        <v>139</v>
      </c>
      <c r="AC110" s="41" t="s">
        <v>2134</v>
      </c>
      <c r="AD110" s="41" t="s">
        <v>139</v>
      </c>
      <c r="AE110" s="44"/>
      <c r="AF110" s="45"/>
      <c r="AG110" s="45"/>
      <c r="AH110" s="46"/>
      <c r="AI110" s="45"/>
      <c r="AJ110" s="45"/>
      <c r="AK110" s="45"/>
      <c r="AL110" s="3" t="s">
        <v>1582</v>
      </c>
    </row>
    <row r="111" spans="2:38" ht="54" hidden="1">
      <c r="B111" s="144">
        <f t="shared" si="1"/>
        <v>108</v>
      </c>
      <c r="C111" s="148" t="s">
        <v>3732</v>
      </c>
      <c r="D111" s="148"/>
      <c r="E111" s="148"/>
      <c r="F111" s="148"/>
      <c r="G111" s="148"/>
      <c r="H111" s="148"/>
      <c r="I111" s="148"/>
      <c r="J111" s="148"/>
      <c r="K111" s="165" t="s">
        <v>3659</v>
      </c>
      <c r="L111" s="165" t="s">
        <v>3672</v>
      </c>
      <c r="M111" s="65" t="s">
        <v>3678</v>
      </c>
      <c r="N111" s="65" t="s">
        <v>3714</v>
      </c>
      <c r="O111" s="65" t="s">
        <v>3492</v>
      </c>
      <c r="P111" s="65" t="s">
        <v>2285</v>
      </c>
      <c r="Q111" s="54" t="s">
        <v>1637</v>
      </c>
      <c r="R111" s="70" t="s">
        <v>2286</v>
      </c>
      <c r="S111" s="70"/>
      <c r="T111" s="41" t="s">
        <v>2137</v>
      </c>
      <c r="U111" s="41" t="s">
        <v>139</v>
      </c>
      <c r="V111" s="41" t="s">
        <v>139</v>
      </c>
      <c r="W111" s="41" t="s">
        <v>139</v>
      </c>
      <c r="X111" s="41" t="s">
        <v>2271</v>
      </c>
      <c r="Y111" s="42" t="s">
        <v>139</v>
      </c>
      <c r="Z111" s="53" t="s">
        <v>139</v>
      </c>
      <c r="AA111" s="54" t="s">
        <v>139</v>
      </c>
      <c r="AB111" s="54" t="s">
        <v>139</v>
      </c>
      <c r="AC111" s="54" t="s">
        <v>2289</v>
      </c>
      <c r="AD111" s="54" t="s">
        <v>139</v>
      </c>
      <c r="AE111" s="55" t="s">
        <v>2288</v>
      </c>
      <c r="AF111" s="56"/>
      <c r="AG111" s="56"/>
      <c r="AH111" s="57"/>
      <c r="AI111" s="56"/>
      <c r="AJ111" s="56"/>
      <c r="AK111" s="56"/>
      <c r="AL111" s="3" t="s">
        <v>1582</v>
      </c>
    </row>
    <row r="112" spans="2:38" ht="135">
      <c r="B112" s="144">
        <f t="shared" si="1"/>
        <v>109</v>
      </c>
      <c r="C112" s="148" t="s">
        <v>3731</v>
      </c>
      <c r="D112" s="148"/>
      <c r="E112" s="148"/>
      <c r="F112" s="148"/>
      <c r="G112" s="148"/>
      <c r="H112" s="148"/>
      <c r="I112" s="148"/>
      <c r="J112" s="148"/>
      <c r="K112" s="165" t="s">
        <v>3659</v>
      </c>
      <c r="L112" s="165" t="s">
        <v>3672</v>
      </c>
      <c r="M112" s="165" t="s">
        <v>3678</v>
      </c>
      <c r="N112" s="165" t="s">
        <v>3714</v>
      </c>
      <c r="O112" s="165" t="s">
        <v>3495</v>
      </c>
      <c r="P112" s="165" t="s">
        <v>2760</v>
      </c>
      <c r="Q112" s="126" t="s">
        <v>696</v>
      </c>
      <c r="R112" s="40" t="s">
        <v>2761</v>
      </c>
      <c r="S112" s="40" t="s">
        <v>2830</v>
      </c>
      <c r="T112" s="40" t="s">
        <v>284</v>
      </c>
      <c r="U112" s="41" t="s">
        <v>2833</v>
      </c>
      <c r="V112" s="41" t="s">
        <v>139</v>
      </c>
      <c r="W112" s="41" t="s">
        <v>139</v>
      </c>
      <c r="X112" s="41" t="s">
        <v>2832</v>
      </c>
      <c r="Y112" s="42" t="s">
        <v>139</v>
      </c>
      <c r="Z112" s="53" t="s">
        <v>133</v>
      </c>
      <c r="AA112" s="41" t="s">
        <v>139</v>
      </c>
      <c r="AB112" s="41" t="s">
        <v>139</v>
      </c>
      <c r="AC112" s="41" t="s">
        <v>2834</v>
      </c>
      <c r="AD112" s="41" t="s">
        <v>139</v>
      </c>
      <c r="AE112" s="44"/>
      <c r="AF112" s="196" t="s">
        <v>2460</v>
      </c>
      <c r="AG112" s="45"/>
      <c r="AH112" s="189">
        <v>1</v>
      </c>
      <c r="AI112" s="45" t="s">
        <v>3979</v>
      </c>
      <c r="AJ112" s="45" t="s">
        <v>3977</v>
      </c>
      <c r="AK112" s="45" t="s">
        <v>3978</v>
      </c>
      <c r="AL112" s="3" t="s">
        <v>1582</v>
      </c>
    </row>
    <row r="113" spans="2:38" ht="40.5">
      <c r="B113" s="144">
        <f t="shared" si="1"/>
        <v>110</v>
      </c>
      <c r="C113" s="148" t="s">
        <v>3731</v>
      </c>
      <c r="D113" s="148"/>
      <c r="E113" s="148"/>
      <c r="F113" s="148"/>
      <c r="G113" s="148"/>
      <c r="H113" s="148"/>
      <c r="I113" s="148"/>
      <c r="J113" s="148"/>
      <c r="K113" s="165" t="s">
        <v>3659</v>
      </c>
      <c r="L113" s="165" t="s">
        <v>3672</v>
      </c>
      <c r="M113" s="165" t="s">
        <v>3678</v>
      </c>
      <c r="N113" s="165" t="s">
        <v>3714</v>
      </c>
      <c r="O113" s="165" t="s">
        <v>3496</v>
      </c>
      <c r="P113" s="165" t="s">
        <v>2829</v>
      </c>
      <c r="Q113" s="126" t="s">
        <v>2687</v>
      </c>
      <c r="R113" s="62" t="s">
        <v>2838</v>
      </c>
      <c r="S113" s="62" t="s">
        <v>2839</v>
      </c>
      <c r="T113" s="40" t="s">
        <v>1645</v>
      </c>
      <c r="U113" s="41" t="s">
        <v>139</v>
      </c>
      <c r="V113" s="41" t="s">
        <v>139</v>
      </c>
      <c r="W113" s="41" t="s">
        <v>139</v>
      </c>
      <c r="X113" s="41" t="s">
        <v>2835</v>
      </c>
      <c r="Y113" s="42" t="s">
        <v>139</v>
      </c>
      <c r="Z113" s="43" t="s">
        <v>139</v>
      </c>
      <c r="AA113" s="41" t="s">
        <v>139</v>
      </c>
      <c r="AB113" s="41" t="s">
        <v>139</v>
      </c>
      <c r="AC113" s="41" t="s">
        <v>2837</v>
      </c>
      <c r="AD113" s="41" t="s">
        <v>139</v>
      </c>
      <c r="AE113" s="44"/>
      <c r="AF113" s="196" t="s">
        <v>2460</v>
      </c>
      <c r="AG113" s="45"/>
      <c r="AH113" s="189">
        <v>1</v>
      </c>
      <c r="AI113" s="45" t="s">
        <v>3980</v>
      </c>
      <c r="AJ113" s="45" t="s">
        <v>3981</v>
      </c>
      <c r="AK113" s="45" t="s">
        <v>3967</v>
      </c>
      <c r="AL113" s="3" t="s">
        <v>1582</v>
      </c>
    </row>
    <row r="114" spans="2:38" ht="40.5" hidden="1">
      <c r="B114" s="144">
        <f t="shared" si="1"/>
        <v>111</v>
      </c>
      <c r="C114" s="148" t="s">
        <v>3732</v>
      </c>
      <c r="D114" s="148"/>
      <c r="E114" s="148"/>
      <c r="F114" s="148"/>
      <c r="G114" s="148"/>
      <c r="H114" s="148"/>
      <c r="I114" s="148"/>
      <c r="J114" s="148"/>
      <c r="K114" s="165" t="s">
        <v>3659</v>
      </c>
      <c r="L114" s="165" t="s">
        <v>3672</v>
      </c>
      <c r="M114" s="165" t="s">
        <v>3678</v>
      </c>
      <c r="N114" s="165" t="s">
        <v>3714</v>
      </c>
      <c r="O114" s="165" t="s">
        <v>930</v>
      </c>
      <c r="P114" s="165" t="s">
        <v>930</v>
      </c>
      <c r="Q114" s="126" t="s">
        <v>931</v>
      </c>
      <c r="R114" s="40" t="s">
        <v>932</v>
      </c>
      <c r="S114" s="40" t="s">
        <v>933</v>
      </c>
      <c r="T114" s="40" t="s">
        <v>192</v>
      </c>
      <c r="U114" s="41" t="s">
        <v>139</v>
      </c>
      <c r="V114" s="41" t="s">
        <v>139</v>
      </c>
      <c r="W114" s="41" t="s">
        <v>139</v>
      </c>
      <c r="X114" s="41" t="s">
        <v>934</v>
      </c>
      <c r="Y114" s="42" t="s">
        <v>139</v>
      </c>
      <c r="Z114" s="43" t="s">
        <v>139</v>
      </c>
      <c r="AA114" s="41" t="s">
        <v>139</v>
      </c>
      <c r="AB114" s="41" t="s">
        <v>139</v>
      </c>
      <c r="AC114" s="41" t="s">
        <v>880</v>
      </c>
      <c r="AD114" s="41" t="s">
        <v>139</v>
      </c>
      <c r="AE114" s="44"/>
      <c r="AF114" s="45"/>
      <c r="AG114" s="45"/>
      <c r="AH114" s="46"/>
      <c r="AI114" s="45"/>
      <c r="AJ114" s="45"/>
      <c r="AK114" s="45"/>
      <c r="AL114" s="3" t="s">
        <v>1582</v>
      </c>
    </row>
    <row r="115" spans="2:38" ht="67.5" hidden="1">
      <c r="B115" s="144">
        <f t="shared" si="1"/>
        <v>112</v>
      </c>
      <c r="C115" s="148" t="s">
        <v>3732</v>
      </c>
      <c r="D115" s="148"/>
      <c r="E115" s="148"/>
      <c r="F115" s="148"/>
      <c r="G115" s="148"/>
      <c r="H115" s="148"/>
      <c r="I115" s="148"/>
      <c r="J115" s="148"/>
      <c r="K115" s="165" t="s">
        <v>3659</v>
      </c>
      <c r="L115" s="165" t="s">
        <v>3672</v>
      </c>
      <c r="M115" s="165" t="s">
        <v>3678</v>
      </c>
      <c r="N115" s="165" t="s">
        <v>3714</v>
      </c>
      <c r="O115" s="165" t="s">
        <v>675</v>
      </c>
      <c r="P115" s="165" t="s">
        <v>675</v>
      </c>
      <c r="Q115" s="126" t="s">
        <v>139</v>
      </c>
      <c r="R115" s="40" t="s">
        <v>676</v>
      </c>
      <c r="S115" s="40"/>
      <c r="T115" s="40" t="s">
        <v>284</v>
      </c>
      <c r="U115" s="41" t="s">
        <v>139</v>
      </c>
      <c r="V115" s="41" t="s">
        <v>139</v>
      </c>
      <c r="W115" s="41" t="s">
        <v>139</v>
      </c>
      <c r="X115" s="41" t="s">
        <v>677</v>
      </c>
      <c r="Y115" s="42" t="s">
        <v>139</v>
      </c>
      <c r="Z115" s="43" t="s">
        <v>139</v>
      </c>
      <c r="AA115" s="41" t="s">
        <v>139</v>
      </c>
      <c r="AB115" s="41" t="s">
        <v>139</v>
      </c>
      <c r="AC115" s="41" t="s">
        <v>668</v>
      </c>
      <c r="AD115" s="41" t="s">
        <v>139</v>
      </c>
      <c r="AE115" s="44"/>
      <c r="AF115" s="45"/>
      <c r="AG115" s="45"/>
      <c r="AH115" s="46"/>
      <c r="AI115" s="45"/>
      <c r="AJ115" s="45"/>
      <c r="AK115" s="45"/>
      <c r="AL115" s="3" t="s">
        <v>1582</v>
      </c>
    </row>
    <row r="116" spans="2:38" ht="40.5" hidden="1">
      <c r="B116" s="144">
        <f t="shared" si="1"/>
        <v>113</v>
      </c>
      <c r="C116" s="148" t="s">
        <v>3732</v>
      </c>
      <c r="D116" s="148"/>
      <c r="E116" s="148"/>
      <c r="F116" s="148"/>
      <c r="G116" s="148"/>
      <c r="H116" s="148"/>
      <c r="I116" s="148"/>
      <c r="J116" s="148"/>
      <c r="K116" s="165" t="s">
        <v>3659</v>
      </c>
      <c r="L116" s="165" t="s">
        <v>3672</v>
      </c>
      <c r="M116" s="165" t="s">
        <v>3678</v>
      </c>
      <c r="N116" s="165" t="s">
        <v>3714</v>
      </c>
      <c r="O116" s="165" t="s">
        <v>3502</v>
      </c>
      <c r="P116" s="165" t="s">
        <v>2135</v>
      </c>
      <c r="Q116" s="126" t="s">
        <v>1637</v>
      </c>
      <c r="R116" s="40" t="s">
        <v>2136</v>
      </c>
      <c r="S116" s="40"/>
      <c r="T116" s="62" t="s">
        <v>2137</v>
      </c>
      <c r="U116" s="41" t="s">
        <v>139</v>
      </c>
      <c r="V116" s="41" t="s">
        <v>139</v>
      </c>
      <c r="W116" s="41" t="s">
        <v>139</v>
      </c>
      <c r="X116" s="41" t="s">
        <v>2139</v>
      </c>
      <c r="Y116" s="42" t="s">
        <v>139</v>
      </c>
      <c r="Z116" s="43" t="s">
        <v>139</v>
      </c>
      <c r="AA116" s="41" t="s">
        <v>139</v>
      </c>
      <c r="AB116" s="41" t="s">
        <v>139</v>
      </c>
      <c r="AC116" s="41" t="s">
        <v>2138</v>
      </c>
      <c r="AD116" s="41" t="s">
        <v>139</v>
      </c>
      <c r="AE116" s="44"/>
      <c r="AF116" s="45"/>
      <c r="AG116" s="45"/>
      <c r="AH116" s="46"/>
      <c r="AI116" s="45"/>
      <c r="AJ116" s="45"/>
      <c r="AK116" s="45"/>
      <c r="AL116" s="3" t="s">
        <v>1582</v>
      </c>
    </row>
    <row r="117" spans="2:38" ht="40.5" hidden="1">
      <c r="B117" s="144">
        <f t="shared" si="1"/>
        <v>114</v>
      </c>
      <c r="C117" s="148" t="s">
        <v>3732</v>
      </c>
      <c r="D117" s="148"/>
      <c r="E117" s="148"/>
      <c r="F117" s="148"/>
      <c r="G117" s="148"/>
      <c r="H117" s="148"/>
      <c r="I117" s="148"/>
      <c r="J117" s="148"/>
      <c r="K117" s="165" t="s">
        <v>3659</v>
      </c>
      <c r="L117" s="165" t="s">
        <v>3672</v>
      </c>
      <c r="M117" s="165" t="s">
        <v>3674</v>
      </c>
      <c r="N117" s="165" t="s">
        <v>3720</v>
      </c>
      <c r="O117" s="165" t="s">
        <v>1080</v>
      </c>
      <c r="P117" s="165" t="s">
        <v>1080</v>
      </c>
      <c r="Q117" s="126" t="s">
        <v>2017</v>
      </c>
      <c r="R117" s="40" t="s">
        <v>1081</v>
      </c>
      <c r="S117" s="62"/>
      <c r="T117" s="40" t="s">
        <v>1895</v>
      </c>
      <c r="U117" s="41" t="s">
        <v>139</v>
      </c>
      <c r="V117" s="41" t="s">
        <v>139</v>
      </c>
      <c r="W117" s="41" t="s">
        <v>1896</v>
      </c>
      <c r="X117" s="41" t="s">
        <v>139</v>
      </c>
      <c r="Y117" s="42" t="s">
        <v>2018</v>
      </c>
      <c r="Z117" s="43" t="s">
        <v>139</v>
      </c>
      <c r="AA117" s="41" t="s">
        <v>139</v>
      </c>
      <c r="AB117" s="41" t="s">
        <v>1082</v>
      </c>
      <c r="AC117" s="41" t="s">
        <v>139</v>
      </c>
      <c r="AD117" s="41" t="s">
        <v>614</v>
      </c>
      <c r="AE117" s="44"/>
      <c r="AF117" s="45"/>
      <c r="AG117" s="45"/>
      <c r="AH117" s="46"/>
      <c r="AI117" s="45"/>
      <c r="AJ117" s="45"/>
      <c r="AK117" s="45"/>
      <c r="AL117" s="3" t="s">
        <v>1582</v>
      </c>
    </row>
    <row r="118" spans="2:38" ht="40.5" hidden="1">
      <c r="B118" s="144">
        <f t="shared" si="1"/>
        <v>115</v>
      </c>
      <c r="C118" s="148" t="s">
        <v>3732</v>
      </c>
      <c r="D118" s="148"/>
      <c r="E118" s="148"/>
      <c r="F118" s="148"/>
      <c r="G118" s="148"/>
      <c r="H118" s="148"/>
      <c r="I118" s="148"/>
      <c r="J118" s="148"/>
      <c r="K118" s="165" t="s">
        <v>3659</v>
      </c>
      <c r="L118" s="165" t="s">
        <v>3672</v>
      </c>
      <c r="M118" s="165" t="s">
        <v>3674</v>
      </c>
      <c r="N118" s="165" t="s">
        <v>3720</v>
      </c>
      <c r="O118" s="165" t="s">
        <v>1088</v>
      </c>
      <c r="P118" s="165" t="s">
        <v>1088</v>
      </c>
      <c r="Q118" s="126" t="s">
        <v>139</v>
      </c>
      <c r="R118" s="40" t="s">
        <v>1089</v>
      </c>
      <c r="S118" s="40" t="s">
        <v>1090</v>
      </c>
      <c r="T118" s="40" t="s">
        <v>161</v>
      </c>
      <c r="U118" s="41" t="s">
        <v>139</v>
      </c>
      <c r="V118" s="41" t="s">
        <v>139</v>
      </c>
      <c r="W118" s="41" t="s">
        <v>1083</v>
      </c>
      <c r="X118" s="41" t="s">
        <v>139</v>
      </c>
      <c r="Y118" s="42" t="s">
        <v>139</v>
      </c>
      <c r="Z118" s="43" t="s">
        <v>139</v>
      </c>
      <c r="AA118" s="41" t="s">
        <v>139</v>
      </c>
      <c r="AB118" s="41" t="s">
        <v>1082</v>
      </c>
      <c r="AC118" s="41" t="s">
        <v>139</v>
      </c>
      <c r="AD118" s="41" t="s">
        <v>139</v>
      </c>
      <c r="AE118" s="44"/>
      <c r="AF118" s="45"/>
      <c r="AG118" s="45"/>
      <c r="AH118" s="46"/>
      <c r="AI118" s="45"/>
      <c r="AJ118" s="45"/>
      <c r="AK118" s="45"/>
      <c r="AL118" s="3" t="s">
        <v>1582</v>
      </c>
    </row>
    <row r="119" spans="2:38" ht="40.5">
      <c r="B119" s="144">
        <f t="shared" si="1"/>
        <v>116</v>
      </c>
      <c r="C119" s="148" t="s">
        <v>3731</v>
      </c>
      <c r="D119" s="148"/>
      <c r="E119" s="148"/>
      <c r="F119" s="148"/>
      <c r="G119" s="148"/>
      <c r="H119" s="148"/>
      <c r="I119" s="148"/>
      <c r="J119" s="148"/>
      <c r="K119" s="165" t="s">
        <v>3659</v>
      </c>
      <c r="L119" s="165" t="s">
        <v>3672</v>
      </c>
      <c r="M119" s="165" t="s">
        <v>3674</v>
      </c>
      <c r="N119" s="165" t="s">
        <v>3720</v>
      </c>
      <c r="O119" s="165" t="s">
        <v>3351</v>
      </c>
      <c r="P119" s="165" t="s">
        <v>1951</v>
      </c>
      <c r="Q119" s="126" t="s">
        <v>1637</v>
      </c>
      <c r="R119" s="40" t="s">
        <v>2032</v>
      </c>
      <c r="S119" s="63"/>
      <c r="T119" s="40" t="s">
        <v>1645</v>
      </c>
      <c r="U119" s="41" t="s">
        <v>139</v>
      </c>
      <c r="V119" s="41" t="s">
        <v>139</v>
      </c>
      <c r="W119" s="41" t="s">
        <v>139</v>
      </c>
      <c r="X119" s="41" t="s">
        <v>139</v>
      </c>
      <c r="Y119" s="42" t="s">
        <v>1891</v>
      </c>
      <c r="Z119" s="43" t="s">
        <v>139</v>
      </c>
      <c r="AA119" s="41" t="s">
        <v>139</v>
      </c>
      <c r="AB119" s="41" t="s">
        <v>139</v>
      </c>
      <c r="AC119" s="41" t="s">
        <v>139</v>
      </c>
      <c r="AD119" s="41" t="s">
        <v>1596</v>
      </c>
      <c r="AE119" s="44" t="s">
        <v>2033</v>
      </c>
      <c r="AF119" s="196" t="s">
        <v>2124</v>
      </c>
      <c r="AG119" s="45"/>
      <c r="AH119" s="189"/>
      <c r="AI119" s="45"/>
      <c r="AJ119" s="45"/>
      <c r="AK119" s="45"/>
      <c r="AL119" s="3" t="s">
        <v>1582</v>
      </c>
    </row>
    <row r="120" spans="2:38" ht="40.5" hidden="1">
      <c r="B120" s="144">
        <f t="shared" si="1"/>
        <v>117</v>
      </c>
      <c r="C120" s="148" t="s">
        <v>3732</v>
      </c>
      <c r="D120" s="148"/>
      <c r="E120" s="148"/>
      <c r="F120" s="148"/>
      <c r="G120" s="148"/>
      <c r="H120" s="148"/>
      <c r="I120" s="148"/>
      <c r="J120" s="148"/>
      <c r="K120" s="165" t="s">
        <v>3659</v>
      </c>
      <c r="L120" s="165" t="s">
        <v>3672</v>
      </c>
      <c r="M120" s="165" t="s">
        <v>3674</v>
      </c>
      <c r="N120" s="165" t="s">
        <v>3720</v>
      </c>
      <c r="O120" s="165" t="s">
        <v>1094</v>
      </c>
      <c r="P120" s="165" t="s">
        <v>1094</v>
      </c>
      <c r="Q120" s="126" t="s">
        <v>1095</v>
      </c>
      <c r="R120" s="40" t="s">
        <v>1096</v>
      </c>
      <c r="S120" s="40"/>
      <c r="T120" s="40" t="s">
        <v>192</v>
      </c>
      <c r="U120" s="41" t="s">
        <v>139</v>
      </c>
      <c r="V120" s="41" t="s">
        <v>139</v>
      </c>
      <c r="W120" s="41" t="s">
        <v>1083</v>
      </c>
      <c r="X120" s="41" t="s">
        <v>139</v>
      </c>
      <c r="Y120" s="42" t="s">
        <v>1891</v>
      </c>
      <c r="Z120" s="43" t="s">
        <v>139</v>
      </c>
      <c r="AA120" s="41" t="s">
        <v>139</v>
      </c>
      <c r="AB120" s="41" t="s">
        <v>1606</v>
      </c>
      <c r="AC120" s="41" t="s">
        <v>139</v>
      </c>
      <c r="AD120" s="41" t="s">
        <v>614</v>
      </c>
      <c r="AE120" s="44"/>
      <c r="AF120" s="45"/>
      <c r="AG120" s="45"/>
      <c r="AH120" s="46"/>
      <c r="AI120" s="45"/>
      <c r="AJ120" s="45"/>
      <c r="AK120" s="45"/>
      <c r="AL120" s="3" t="s">
        <v>1582</v>
      </c>
    </row>
    <row r="121" spans="2:38" ht="54">
      <c r="B121" s="144">
        <f t="shared" si="1"/>
        <v>118</v>
      </c>
      <c r="C121" s="148" t="s">
        <v>3731</v>
      </c>
      <c r="D121" s="148"/>
      <c r="E121" s="148"/>
      <c r="F121" s="148"/>
      <c r="G121" s="148"/>
      <c r="H121" s="148"/>
      <c r="I121" s="148"/>
      <c r="J121" s="148"/>
      <c r="K121" s="165" t="s">
        <v>3659</v>
      </c>
      <c r="L121" s="165" t="s">
        <v>3672</v>
      </c>
      <c r="M121" s="165" t="s">
        <v>3674</v>
      </c>
      <c r="N121" s="165" t="s">
        <v>3720</v>
      </c>
      <c r="O121" s="165" t="s">
        <v>3348</v>
      </c>
      <c r="P121" s="165" t="s">
        <v>803</v>
      </c>
      <c r="Q121" s="126" t="s">
        <v>2840</v>
      </c>
      <c r="R121" s="62" t="s">
        <v>2046</v>
      </c>
      <c r="S121" s="62" t="s">
        <v>2048</v>
      </c>
      <c r="T121" s="40" t="s">
        <v>1645</v>
      </c>
      <c r="U121" s="41" t="s">
        <v>139</v>
      </c>
      <c r="V121" s="41" t="s">
        <v>139</v>
      </c>
      <c r="W121" s="41" t="s">
        <v>139</v>
      </c>
      <c r="X121" s="41" t="s">
        <v>2835</v>
      </c>
      <c r="Y121" s="42" t="s">
        <v>1891</v>
      </c>
      <c r="Z121" s="43" t="s">
        <v>139</v>
      </c>
      <c r="AA121" s="41" t="s">
        <v>139</v>
      </c>
      <c r="AB121" s="41" t="s">
        <v>139</v>
      </c>
      <c r="AC121" s="41" t="s">
        <v>2837</v>
      </c>
      <c r="AD121" s="41" t="s">
        <v>1892</v>
      </c>
      <c r="AE121" s="44" t="s">
        <v>2043</v>
      </c>
      <c r="AF121" s="196" t="s">
        <v>2460</v>
      </c>
      <c r="AG121" s="45"/>
      <c r="AH121" s="189">
        <v>1</v>
      </c>
      <c r="AI121" s="45" t="s">
        <v>3985</v>
      </c>
      <c r="AJ121" s="45" t="s">
        <v>3986</v>
      </c>
      <c r="AK121" s="45" t="s">
        <v>1645</v>
      </c>
      <c r="AL121" s="3" t="s">
        <v>1582</v>
      </c>
    </row>
    <row r="122" spans="2:38" ht="54">
      <c r="B122" s="144">
        <f t="shared" si="1"/>
        <v>119</v>
      </c>
      <c r="C122" s="148" t="s">
        <v>3731</v>
      </c>
      <c r="D122" s="148"/>
      <c r="E122" s="148"/>
      <c r="F122" s="148"/>
      <c r="G122" s="148"/>
      <c r="H122" s="148"/>
      <c r="I122" s="148"/>
      <c r="J122" s="148"/>
      <c r="K122" s="165" t="s">
        <v>3659</v>
      </c>
      <c r="L122" s="165" t="s">
        <v>3672</v>
      </c>
      <c r="M122" s="165" t="s">
        <v>3674</v>
      </c>
      <c r="N122" s="165" t="s">
        <v>3720</v>
      </c>
      <c r="O122" s="165" t="s">
        <v>3349</v>
      </c>
      <c r="P122" s="165" t="s">
        <v>803</v>
      </c>
      <c r="Q122" s="126" t="s">
        <v>2843</v>
      </c>
      <c r="R122" s="62" t="s">
        <v>2045</v>
      </c>
      <c r="S122" s="62" t="s">
        <v>804</v>
      </c>
      <c r="T122" s="40" t="s">
        <v>1645</v>
      </c>
      <c r="U122" s="41" t="s">
        <v>139</v>
      </c>
      <c r="V122" s="41" t="s">
        <v>139</v>
      </c>
      <c r="W122" s="41" t="s">
        <v>139</v>
      </c>
      <c r="X122" s="41" t="s">
        <v>805</v>
      </c>
      <c r="Y122" s="42" t="s">
        <v>3100</v>
      </c>
      <c r="Z122" s="43" t="s">
        <v>139</v>
      </c>
      <c r="AA122" s="41" t="s">
        <v>139</v>
      </c>
      <c r="AB122" s="41" t="s">
        <v>139</v>
      </c>
      <c r="AC122" s="41" t="s">
        <v>806</v>
      </c>
      <c r="AD122" s="41" t="s">
        <v>614</v>
      </c>
      <c r="AE122" s="44" t="s">
        <v>2043</v>
      </c>
      <c r="AF122" s="196" t="s">
        <v>2460</v>
      </c>
      <c r="AG122" s="45"/>
      <c r="AH122" s="189">
        <v>1</v>
      </c>
      <c r="AI122" s="45" t="s">
        <v>3984</v>
      </c>
      <c r="AJ122" s="45" t="s">
        <v>804</v>
      </c>
      <c r="AK122" s="45" t="s">
        <v>1645</v>
      </c>
      <c r="AL122" s="3" t="s">
        <v>1582</v>
      </c>
    </row>
    <row r="123" spans="2:38" ht="54" hidden="1">
      <c r="B123" s="144">
        <f t="shared" si="1"/>
        <v>120</v>
      </c>
      <c r="C123" s="148" t="s">
        <v>3732</v>
      </c>
      <c r="D123" s="148"/>
      <c r="E123" s="148"/>
      <c r="F123" s="148"/>
      <c r="G123" s="148"/>
      <c r="H123" s="148"/>
      <c r="I123" s="148"/>
      <c r="J123" s="148"/>
      <c r="K123" s="165" t="s">
        <v>3659</v>
      </c>
      <c r="L123" s="165" t="s">
        <v>3672</v>
      </c>
      <c r="M123" s="165" t="s">
        <v>3674</v>
      </c>
      <c r="N123" s="165" t="s">
        <v>3720</v>
      </c>
      <c r="O123" s="165" t="s">
        <v>1816</v>
      </c>
      <c r="P123" s="165" t="s">
        <v>1816</v>
      </c>
      <c r="Q123" s="127" t="s">
        <v>139</v>
      </c>
      <c r="R123" s="60" t="s">
        <v>2026</v>
      </c>
      <c r="S123" s="60" t="s">
        <v>2025</v>
      </c>
      <c r="T123" s="60" t="s">
        <v>2082</v>
      </c>
      <c r="U123" s="48" t="s">
        <v>139</v>
      </c>
      <c r="V123" s="48" t="s">
        <v>139</v>
      </c>
      <c r="W123" s="79" t="s">
        <v>1817</v>
      </c>
      <c r="X123" s="48" t="s">
        <v>139</v>
      </c>
      <c r="Y123" s="49" t="s">
        <v>139</v>
      </c>
      <c r="Z123" s="50" t="s">
        <v>139</v>
      </c>
      <c r="AA123" s="48" t="s">
        <v>139</v>
      </c>
      <c r="AB123" s="79" t="s">
        <v>1125</v>
      </c>
      <c r="AC123" s="48" t="s">
        <v>139</v>
      </c>
      <c r="AD123" s="48" t="s">
        <v>139</v>
      </c>
      <c r="AE123" s="44"/>
      <c r="AF123" s="45"/>
      <c r="AG123" s="45"/>
      <c r="AH123" s="46"/>
      <c r="AI123" s="45"/>
      <c r="AJ123" s="45"/>
      <c r="AK123" s="45"/>
      <c r="AL123" s="3" t="s">
        <v>1582</v>
      </c>
    </row>
    <row r="124" spans="2:38" ht="67.5" hidden="1">
      <c r="B124" s="144">
        <f t="shared" si="1"/>
        <v>121</v>
      </c>
      <c r="C124" s="148" t="s">
        <v>3732</v>
      </c>
      <c r="D124" s="148"/>
      <c r="E124" s="148"/>
      <c r="F124" s="148"/>
      <c r="G124" s="148"/>
      <c r="H124" s="148"/>
      <c r="I124" s="148"/>
      <c r="J124" s="148"/>
      <c r="K124" s="165" t="s">
        <v>3659</v>
      </c>
      <c r="L124" s="165" t="s">
        <v>3672</v>
      </c>
      <c r="M124" s="165" t="s">
        <v>3674</v>
      </c>
      <c r="N124" s="165" t="s">
        <v>3720</v>
      </c>
      <c r="O124" s="165" t="s">
        <v>1818</v>
      </c>
      <c r="P124" s="165" t="s">
        <v>1818</v>
      </c>
      <c r="Q124" s="127" t="s">
        <v>139</v>
      </c>
      <c r="R124" s="60" t="s">
        <v>1819</v>
      </c>
      <c r="S124" s="60" t="s">
        <v>2030</v>
      </c>
      <c r="T124" s="60" t="s">
        <v>1820</v>
      </c>
      <c r="U124" s="48" t="s">
        <v>139</v>
      </c>
      <c r="V124" s="48" t="s">
        <v>139</v>
      </c>
      <c r="W124" s="79" t="s">
        <v>1821</v>
      </c>
      <c r="X124" s="48" t="s">
        <v>139</v>
      </c>
      <c r="Y124" s="49" t="s">
        <v>139</v>
      </c>
      <c r="Z124" s="50" t="s">
        <v>139</v>
      </c>
      <c r="AA124" s="48" t="s">
        <v>139</v>
      </c>
      <c r="AB124" s="79" t="s">
        <v>1125</v>
      </c>
      <c r="AC124" s="48" t="s">
        <v>139</v>
      </c>
      <c r="AD124" s="48" t="s">
        <v>139</v>
      </c>
      <c r="AE124" s="44"/>
      <c r="AF124" s="45"/>
      <c r="AG124" s="45"/>
      <c r="AH124" s="46"/>
      <c r="AI124" s="45"/>
      <c r="AJ124" s="45"/>
      <c r="AK124" s="45"/>
      <c r="AL124" s="3" t="s">
        <v>1582</v>
      </c>
    </row>
    <row r="125" spans="2:38" ht="40.5" hidden="1">
      <c r="B125" s="144">
        <f t="shared" si="1"/>
        <v>122</v>
      </c>
      <c r="C125" s="148" t="s">
        <v>3732</v>
      </c>
      <c r="D125" s="148"/>
      <c r="E125" s="148"/>
      <c r="F125" s="148"/>
      <c r="G125" s="148"/>
      <c r="H125" s="148"/>
      <c r="I125" s="148"/>
      <c r="J125" s="148"/>
      <c r="K125" s="165" t="s">
        <v>3659</v>
      </c>
      <c r="L125" s="165" t="s">
        <v>3672</v>
      </c>
      <c r="M125" s="165" t="s">
        <v>3674</v>
      </c>
      <c r="N125" s="165" t="s">
        <v>3721</v>
      </c>
      <c r="O125" s="165" t="s">
        <v>3404</v>
      </c>
      <c r="P125" s="165" t="s">
        <v>2349</v>
      </c>
      <c r="Q125" s="126" t="s">
        <v>1637</v>
      </c>
      <c r="R125" s="40" t="s">
        <v>2350</v>
      </c>
      <c r="S125" s="47" t="s">
        <v>2351</v>
      </c>
      <c r="T125" s="40" t="s">
        <v>2171</v>
      </c>
      <c r="U125" s="41" t="s">
        <v>139</v>
      </c>
      <c r="V125" s="41" t="s">
        <v>139</v>
      </c>
      <c r="W125" s="41" t="s">
        <v>139</v>
      </c>
      <c r="X125" s="41" t="s">
        <v>2334</v>
      </c>
      <c r="Y125" s="42" t="s">
        <v>139</v>
      </c>
      <c r="Z125" s="43" t="s">
        <v>139</v>
      </c>
      <c r="AA125" s="41" t="s">
        <v>139</v>
      </c>
      <c r="AB125" s="41" t="s">
        <v>139</v>
      </c>
      <c r="AC125" s="41" t="s">
        <v>708</v>
      </c>
      <c r="AD125" s="41" t="s">
        <v>139</v>
      </c>
      <c r="AE125" s="44"/>
      <c r="AF125" s="45"/>
      <c r="AG125" s="45"/>
      <c r="AH125" s="46"/>
      <c r="AI125" s="45"/>
      <c r="AJ125" s="45"/>
      <c r="AK125" s="45"/>
      <c r="AL125" s="3" t="s">
        <v>1582</v>
      </c>
    </row>
    <row r="126" spans="2:38" ht="54" hidden="1">
      <c r="B126" s="144">
        <f t="shared" si="1"/>
        <v>123</v>
      </c>
      <c r="C126" s="148" t="s">
        <v>3732</v>
      </c>
      <c r="D126" s="148"/>
      <c r="E126" s="148"/>
      <c r="F126" s="148"/>
      <c r="G126" s="148"/>
      <c r="H126" s="148"/>
      <c r="I126" s="148"/>
      <c r="J126" s="148"/>
      <c r="K126" s="165" t="s">
        <v>3659</v>
      </c>
      <c r="L126" s="165" t="s">
        <v>3672</v>
      </c>
      <c r="M126" s="165" t="s">
        <v>3674</v>
      </c>
      <c r="N126" s="165" t="s">
        <v>3721</v>
      </c>
      <c r="O126" s="165" t="s">
        <v>1073</v>
      </c>
      <c r="P126" s="165" t="s">
        <v>1073</v>
      </c>
      <c r="Q126" s="126" t="s">
        <v>139</v>
      </c>
      <c r="R126" s="40" t="s">
        <v>1610</v>
      </c>
      <c r="S126" s="40" t="s">
        <v>1611</v>
      </c>
      <c r="T126" s="40" t="s">
        <v>2047</v>
      </c>
      <c r="U126" s="41" t="s">
        <v>139</v>
      </c>
      <c r="V126" s="41" t="s">
        <v>139</v>
      </c>
      <c r="W126" s="41" t="s">
        <v>1909</v>
      </c>
      <c r="X126" s="41" t="s">
        <v>139</v>
      </c>
      <c r="Y126" s="42" t="s">
        <v>139</v>
      </c>
      <c r="Z126" s="43" t="s">
        <v>139</v>
      </c>
      <c r="AA126" s="41" t="s">
        <v>139</v>
      </c>
      <c r="AB126" s="41" t="s">
        <v>1609</v>
      </c>
      <c r="AC126" s="41" t="s">
        <v>139</v>
      </c>
      <c r="AD126" s="41" t="s">
        <v>139</v>
      </c>
      <c r="AE126" s="44"/>
      <c r="AF126" s="45"/>
      <c r="AG126" s="45"/>
      <c r="AH126" s="46"/>
      <c r="AI126" s="45"/>
      <c r="AJ126" s="45"/>
      <c r="AK126" s="45"/>
      <c r="AL126" s="3" t="s">
        <v>1582</v>
      </c>
    </row>
    <row r="127" spans="2:38" ht="40.5" hidden="1">
      <c r="B127" s="144">
        <f t="shared" si="1"/>
        <v>124</v>
      </c>
      <c r="C127" s="148" t="s">
        <v>3732</v>
      </c>
      <c r="D127" s="148"/>
      <c r="E127" s="148"/>
      <c r="F127" s="148"/>
      <c r="G127" s="148"/>
      <c r="H127" s="148"/>
      <c r="I127" s="148"/>
      <c r="J127" s="148"/>
      <c r="K127" s="165" t="s">
        <v>3659</v>
      </c>
      <c r="L127" s="165" t="s">
        <v>3672</v>
      </c>
      <c r="M127" s="165" t="s">
        <v>3674</v>
      </c>
      <c r="N127" s="165" t="s">
        <v>3721</v>
      </c>
      <c r="O127" s="165" t="s">
        <v>1720</v>
      </c>
      <c r="P127" s="165" t="s">
        <v>1720</v>
      </c>
      <c r="Q127" s="127" t="s">
        <v>139</v>
      </c>
      <c r="R127" s="60" t="s">
        <v>1721</v>
      </c>
      <c r="S127" s="60" t="s">
        <v>1722</v>
      </c>
      <c r="T127" s="60" t="s">
        <v>161</v>
      </c>
      <c r="U127" s="48" t="s">
        <v>139</v>
      </c>
      <c r="V127" s="48" t="s">
        <v>139</v>
      </c>
      <c r="W127" s="79" t="s">
        <v>1723</v>
      </c>
      <c r="X127" s="48" t="s">
        <v>139</v>
      </c>
      <c r="Y127" s="49" t="s">
        <v>139</v>
      </c>
      <c r="Z127" s="50" t="s">
        <v>139</v>
      </c>
      <c r="AA127" s="48" t="s">
        <v>139</v>
      </c>
      <c r="AB127" s="79" t="s">
        <v>1125</v>
      </c>
      <c r="AC127" s="48" t="s">
        <v>139</v>
      </c>
      <c r="AD127" s="48" t="s">
        <v>139</v>
      </c>
      <c r="AE127" s="44"/>
      <c r="AF127" s="45"/>
      <c r="AG127" s="45"/>
      <c r="AH127" s="46"/>
      <c r="AI127" s="45"/>
      <c r="AJ127" s="45"/>
      <c r="AK127" s="45"/>
      <c r="AL127" s="3" t="s">
        <v>1582</v>
      </c>
    </row>
    <row r="128" spans="2:38" ht="40.5" hidden="1">
      <c r="B128" s="144">
        <f t="shared" si="1"/>
        <v>125</v>
      </c>
      <c r="C128" s="148" t="s">
        <v>3732</v>
      </c>
      <c r="D128" s="148"/>
      <c r="E128" s="148"/>
      <c r="F128" s="148"/>
      <c r="G128" s="148"/>
      <c r="H128" s="148"/>
      <c r="I128" s="148"/>
      <c r="J128" s="148"/>
      <c r="K128" s="165" t="s">
        <v>3659</v>
      </c>
      <c r="L128" s="165" t="s">
        <v>3672</v>
      </c>
      <c r="M128" s="165" t="s">
        <v>3674</v>
      </c>
      <c r="N128" s="165" t="s">
        <v>3721</v>
      </c>
      <c r="O128" s="165" t="s">
        <v>1710</v>
      </c>
      <c r="P128" s="165" t="s">
        <v>1710</v>
      </c>
      <c r="Q128" s="127" t="s">
        <v>139</v>
      </c>
      <c r="R128" s="60" t="s">
        <v>1711</v>
      </c>
      <c r="S128" s="60" t="s">
        <v>1712</v>
      </c>
      <c r="T128" s="60" t="s">
        <v>1713</v>
      </c>
      <c r="U128" s="48" t="s">
        <v>139</v>
      </c>
      <c r="V128" s="48" t="s">
        <v>139</v>
      </c>
      <c r="W128" s="79" t="s">
        <v>1714</v>
      </c>
      <c r="X128" s="48" t="s">
        <v>139</v>
      </c>
      <c r="Y128" s="49" t="s">
        <v>139</v>
      </c>
      <c r="Z128" s="50" t="s">
        <v>139</v>
      </c>
      <c r="AA128" s="48" t="s">
        <v>139</v>
      </c>
      <c r="AB128" s="79" t="s">
        <v>1125</v>
      </c>
      <c r="AC128" s="48" t="s">
        <v>139</v>
      </c>
      <c r="AD128" s="48" t="s">
        <v>139</v>
      </c>
      <c r="AE128" s="44"/>
      <c r="AF128" s="45"/>
      <c r="AG128" s="45"/>
      <c r="AH128" s="46"/>
      <c r="AI128" s="45"/>
      <c r="AJ128" s="45"/>
      <c r="AK128" s="45"/>
      <c r="AL128" s="3" t="s">
        <v>1582</v>
      </c>
    </row>
    <row r="129" spans="2:38" ht="40.5" hidden="1">
      <c r="B129" s="144">
        <f t="shared" si="1"/>
        <v>126</v>
      </c>
      <c r="C129" s="148" t="s">
        <v>3732</v>
      </c>
      <c r="D129" s="148"/>
      <c r="E129" s="148"/>
      <c r="F129" s="148"/>
      <c r="G129" s="148"/>
      <c r="H129" s="148"/>
      <c r="I129" s="148"/>
      <c r="J129" s="148"/>
      <c r="K129" s="165" t="s">
        <v>3659</v>
      </c>
      <c r="L129" s="165" t="s">
        <v>3672</v>
      </c>
      <c r="M129" s="165" t="s">
        <v>3674</v>
      </c>
      <c r="N129" s="165" t="s">
        <v>3721</v>
      </c>
      <c r="O129" s="165" t="s">
        <v>1112</v>
      </c>
      <c r="P129" s="165" t="s">
        <v>1112</v>
      </c>
      <c r="Q129" s="126" t="s">
        <v>139</v>
      </c>
      <c r="R129" s="40" t="s">
        <v>1628</v>
      </c>
      <c r="S129" s="40" t="s">
        <v>1629</v>
      </c>
      <c r="T129" s="40" t="s">
        <v>1113</v>
      </c>
      <c r="U129" s="41" t="s">
        <v>139</v>
      </c>
      <c r="V129" s="41" t="s">
        <v>139</v>
      </c>
      <c r="W129" s="41" t="s">
        <v>1114</v>
      </c>
      <c r="X129" s="41" t="s">
        <v>139</v>
      </c>
      <c r="Y129" s="42" t="s">
        <v>139</v>
      </c>
      <c r="Z129" s="43" t="s">
        <v>139</v>
      </c>
      <c r="AA129" s="41" t="s">
        <v>139</v>
      </c>
      <c r="AB129" s="41" t="s">
        <v>1613</v>
      </c>
      <c r="AC129" s="41" t="s">
        <v>139</v>
      </c>
      <c r="AD129" s="41" t="s">
        <v>139</v>
      </c>
      <c r="AE129" s="44"/>
      <c r="AF129" s="45"/>
      <c r="AG129" s="45"/>
      <c r="AH129" s="46"/>
      <c r="AI129" s="45"/>
      <c r="AJ129" s="45"/>
      <c r="AK129" s="45"/>
      <c r="AL129" s="3" t="s">
        <v>1582</v>
      </c>
    </row>
    <row r="130" spans="2:38" ht="40.5" hidden="1">
      <c r="B130" s="144">
        <f t="shared" si="1"/>
        <v>127</v>
      </c>
      <c r="C130" s="148" t="s">
        <v>3732</v>
      </c>
      <c r="D130" s="148"/>
      <c r="E130" s="148"/>
      <c r="F130" s="148"/>
      <c r="G130" s="148"/>
      <c r="H130" s="148"/>
      <c r="I130" s="148"/>
      <c r="J130" s="148"/>
      <c r="K130" s="165" t="s">
        <v>3659</v>
      </c>
      <c r="L130" s="165" t="s">
        <v>3672</v>
      </c>
      <c r="M130" s="165" t="s">
        <v>3674</v>
      </c>
      <c r="N130" s="165" t="s">
        <v>3721</v>
      </c>
      <c r="O130" s="165" t="s">
        <v>3409</v>
      </c>
      <c r="P130" s="165" t="s">
        <v>2326</v>
      </c>
      <c r="Q130" s="126" t="s">
        <v>1637</v>
      </c>
      <c r="R130" s="40" t="s">
        <v>2327</v>
      </c>
      <c r="S130" s="62" t="s">
        <v>2328</v>
      </c>
      <c r="T130" s="40" t="s">
        <v>2983</v>
      </c>
      <c r="U130" s="41" t="s">
        <v>139</v>
      </c>
      <c r="V130" s="41" t="s">
        <v>139</v>
      </c>
      <c r="W130" s="41" t="s">
        <v>139</v>
      </c>
      <c r="X130" s="41" t="s">
        <v>2321</v>
      </c>
      <c r="Y130" s="42" t="s">
        <v>139</v>
      </c>
      <c r="Z130" s="43" t="s">
        <v>139</v>
      </c>
      <c r="AA130" s="41" t="s">
        <v>139</v>
      </c>
      <c r="AB130" s="41" t="s">
        <v>139</v>
      </c>
      <c r="AC130" s="41" t="s">
        <v>2352</v>
      </c>
      <c r="AD130" s="41" t="s">
        <v>139</v>
      </c>
      <c r="AE130" s="44"/>
      <c r="AF130" s="45"/>
      <c r="AG130" s="45"/>
      <c r="AH130" s="46"/>
      <c r="AI130" s="45"/>
      <c r="AJ130" s="45"/>
      <c r="AK130" s="45"/>
      <c r="AL130" s="3" t="s">
        <v>1582</v>
      </c>
    </row>
    <row r="131" spans="2:38" ht="40.5" hidden="1">
      <c r="B131" s="144">
        <f t="shared" si="1"/>
        <v>128</v>
      </c>
      <c r="C131" s="148" t="s">
        <v>3732</v>
      </c>
      <c r="D131" s="148"/>
      <c r="E131" s="148"/>
      <c r="F131" s="148"/>
      <c r="G131" s="148"/>
      <c r="H131" s="148"/>
      <c r="I131" s="148"/>
      <c r="J131" s="148"/>
      <c r="K131" s="165" t="s">
        <v>3659</v>
      </c>
      <c r="L131" s="165" t="s">
        <v>3672</v>
      </c>
      <c r="M131" s="165" t="s">
        <v>3674</v>
      </c>
      <c r="N131" s="165" t="s">
        <v>3721</v>
      </c>
      <c r="O131" s="165" t="s">
        <v>1787</v>
      </c>
      <c r="P131" s="165" t="s">
        <v>1787</v>
      </c>
      <c r="Q131" s="127" t="s">
        <v>139</v>
      </c>
      <c r="R131" s="60" t="s">
        <v>1788</v>
      </c>
      <c r="S131" s="60" t="s">
        <v>1789</v>
      </c>
      <c r="T131" s="60" t="s">
        <v>1790</v>
      </c>
      <c r="U131" s="48" t="s">
        <v>139</v>
      </c>
      <c r="V131" s="48" t="s">
        <v>139</v>
      </c>
      <c r="W131" s="79" t="s">
        <v>1791</v>
      </c>
      <c r="X131" s="48" t="s">
        <v>139</v>
      </c>
      <c r="Y131" s="49" t="s">
        <v>139</v>
      </c>
      <c r="Z131" s="50" t="s">
        <v>139</v>
      </c>
      <c r="AA131" s="48" t="s">
        <v>139</v>
      </c>
      <c r="AB131" s="79" t="s">
        <v>1125</v>
      </c>
      <c r="AC131" s="48" t="s">
        <v>139</v>
      </c>
      <c r="AD131" s="48" t="s">
        <v>139</v>
      </c>
      <c r="AE131" s="44"/>
      <c r="AF131" s="45"/>
      <c r="AG131" s="45"/>
      <c r="AH131" s="46"/>
      <c r="AI131" s="45"/>
      <c r="AJ131" s="45"/>
      <c r="AK131" s="45"/>
      <c r="AL131" s="3" t="s">
        <v>1582</v>
      </c>
    </row>
    <row r="132" spans="2:38" ht="67.5" hidden="1">
      <c r="B132" s="144">
        <f t="shared" si="1"/>
        <v>129</v>
      </c>
      <c r="C132" s="148" t="s">
        <v>3732</v>
      </c>
      <c r="D132" s="148"/>
      <c r="E132" s="148"/>
      <c r="F132" s="148"/>
      <c r="G132" s="148"/>
      <c r="H132" s="148"/>
      <c r="I132" s="148"/>
      <c r="J132" s="148"/>
      <c r="K132" s="165" t="s">
        <v>3659</v>
      </c>
      <c r="L132" s="165" t="s">
        <v>3672</v>
      </c>
      <c r="M132" s="165" t="s">
        <v>3674</v>
      </c>
      <c r="N132" s="165" t="s">
        <v>3721</v>
      </c>
      <c r="O132" s="165" t="s">
        <v>1751</v>
      </c>
      <c r="P132" s="165" t="s">
        <v>1751</v>
      </c>
      <c r="Q132" s="127" t="s">
        <v>139</v>
      </c>
      <c r="R132" s="60" t="s">
        <v>1752</v>
      </c>
      <c r="S132" s="60" t="s">
        <v>1955</v>
      </c>
      <c r="T132" s="60" t="s">
        <v>161</v>
      </c>
      <c r="U132" s="48" t="s">
        <v>139</v>
      </c>
      <c r="V132" s="48" t="s">
        <v>139</v>
      </c>
      <c r="W132" s="79" t="s">
        <v>1753</v>
      </c>
      <c r="X132" s="48" t="s">
        <v>139</v>
      </c>
      <c r="Y132" s="49" t="s">
        <v>139</v>
      </c>
      <c r="Z132" s="50" t="s">
        <v>139</v>
      </c>
      <c r="AA132" s="48" t="s">
        <v>139</v>
      </c>
      <c r="AB132" s="79" t="s">
        <v>1125</v>
      </c>
      <c r="AC132" s="48" t="s">
        <v>139</v>
      </c>
      <c r="AD132" s="48" t="s">
        <v>139</v>
      </c>
      <c r="AE132" s="44"/>
      <c r="AF132" s="45"/>
      <c r="AG132" s="45"/>
      <c r="AH132" s="46"/>
      <c r="AI132" s="45"/>
      <c r="AJ132" s="45"/>
      <c r="AK132" s="45"/>
      <c r="AL132" s="3" t="s">
        <v>1582</v>
      </c>
    </row>
    <row r="133" spans="2:38" ht="40.5" hidden="1">
      <c r="B133" s="144">
        <f t="shared" si="1"/>
        <v>130</v>
      </c>
      <c r="C133" s="148" t="s">
        <v>3732</v>
      </c>
      <c r="D133" s="148"/>
      <c r="E133" s="148"/>
      <c r="F133" s="148"/>
      <c r="G133" s="148"/>
      <c r="H133" s="148"/>
      <c r="I133" s="148"/>
      <c r="J133" s="148"/>
      <c r="K133" s="165" t="s">
        <v>3659</v>
      </c>
      <c r="L133" s="165" t="s">
        <v>3672</v>
      </c>
      <c r="M133" s="165" t="s">
        <v>3674</v>
      </c>
      <c r="N133" s="165" t="s">
        <v>3721</v>
      </c>
      <c r="O133" s="165" t="s">
        <v>3411</v>
      </c>
      <c r="P133" s="165" t="s">
        <v>1910</v>
      </c>
      <c r="Q133" s="126" t="s">
        <v>139</v>
      </c>
      <c r="R133" s="40" t="s">
        <v>1911</v>
      </c>
      <c r="S133" s="40" t="s">
        <v>1913</v>
      </c>
      <c r="T133" s="40" t="s">
        <v>161</v>
      </c>
      <c r="U133" s="41" t="s">
        <v>139</v>
      </c>
      <c r="V133" s="41" t="s">
        <v>139</v>
      </c>
      <c r="W133" s="41" t="s">
        <v>1915</v>
      </c>
      <c r="X133" s="41" t="s">
        <v>139</v>
      </c>
      <c r="Y133" s="42" t="s">
        <v>139</v>
      </c>
      <c r="Z133" s="43" t="s">
        <v>139</v>
      </c>
      <c r="AA133" s="41" t="s">
        <v>139</v>
      </c>
      <c r="AB133" s="41" t="s">
        <v>1916</v>
      </c>
      <c r="AC133" s="41" t="s">
        <v>139</v>
      </c>
      <c r="AD133" s="41" t="s">
        <v>139</v>
      </c>
      <c r="AE133" s="44"/>
      <c r="AF133" s="45"/>
      <c r="AG133" s="45"/>
      <c r="AH133" s="46"/>
      <c r="AI133" s="45"/>
      <c r="AJ133" s="45"/>
      <c r="AK133" s="45"/>
      <c r="AL133" s="3" t="s">
        <v>1582</v>
      </c>
    </row>
    <row r="134" spans="2:38" ht="40.5" hidden="1">
      <c r="B134" s="144">
        <f t="shared" si="1"/>
        <v>131</v>
      </c>
      <c r="C134" s="148" t="s">
        <v>3732</v>
      </c>
      <c r="D134" s="148"/>
      <c r="E134" s="148"/>
      <c r="F134" s="148"/>
      <c r="G134" s="148"/>
      <c r="H134" s="148"/>
      <c r="I134" s="148"/>
      <c r="J134" s="148"/>
      <c r="K134" s="165" t="s">
        <v>3659</v>
      </c>
      <c r="L134" s="165" t="s">
        <v>3672</v>
      </c>
      <c r="M134" s="165" t="s">
        <v>3674</v>
      </c>
      <c r="N134" s="165" t="s">
        <v>3721</v>
      </c>
      <c r="O134" s="165" t="s">
        <v>1705</v>
      </c>
      <c r="P134" s="165" t="s">
        <v>1705</v>
      </c>
      <c r="Q134" s="127" t="s">
        <v>139</v>
      </c>
      <c r="R134" s="60" t="s">
        <v>1706</v>
      </c>
      <c r="S134" s="60" t="s">
        <v>1920</v>
      </c>
      <c r="T134" s="60" t="s">
        <v>161</v>
      </c>
      <c r="U134" s="48" t="s">
        <v>139</v>
      </c>
      <c r="V134" s="48" t="s">
        <v>139</v>
      </c>
      <c r="W134" s="79" t="s">
        <v>1707</v>
      </c>
      <c r="X134" s="48" t="s">
        <v>139</v>
      </c>
      <c r="Y134" s="49" t="s">
        <v>139</v>
      </c>
      <c r="Z134" s="50" t="s">
        <v>139</v>
      </c>
      <c r="AA134" s="48" t="s">
        <v>139</v>
      </c>
      <c r="AB134" s="79" t="s">
        <v>1125</v>
      </c>
      <c r="AC134" s="48" t="s">
        <v>139</v>
      </c>
      <c r="AD134" s="48" t="s">
        <v>139</v>
      </c>
      <c r="AE134" s="44"/>
      <c r="AF134" s="45"/>
      <c r="AG134" s="45"/>
      <c r="AH134" s="46"/>
      <c r="AI134" s="45"/>
      <c r="AJ134" s="45"/>
      <c r="AK134" s="45"/>
      <c r="AL134" s="3" t="s">
        <v>1582</v>
      </c>
    </row>
    <row r="135" spans="2:38" ht="40.5" hidden="1">
      <c r="B135" s="144">
        <f t="shared" si="1"/>
        <v>132</v>
      </c>
      <c r="C135" s="148" t="s">
        <v>3732</v>
      </c>
      <c r="D135" s="148"/>
      <c r="E135" s="148"/>
      <c r="F135" s="148"/>
      <c r="G135" s="148"/>
      <c r="H135" s="148"/>
      <c r="I135" s="148"/>
      <c r="J135" s="148"/>
      <c r="K135" s="165" t="s">
        <v>3659</v>
      </c>
      <c r="L135" s="165" t="s">
        <v>3672</v>
      </c>
      <c r="M135" s="165" t="s">
        <v>3674</v>
      </c>
      <c r="N135" s="165" t="s">
        <v>3721</v>
      </c>
      <c r="O135" s="165" t="s">
        <v>3412</v>
      </c>
      <c r="P135" s="165" t="s">
        <v>3250</v>
      </c>
      <c r="Q135" s="126" t="s">
        <v>3251</v>
      </c>
      <c r="R135" s="40" t="s">
        <v>1070</v>
      </c>
      <c r="S135" s="40" t="s">
        <v>1071</v>
      </c>
      <c r="T135" s="40" t="s">
        <v>161</v>
      </c>
      <c r="U135" s="41" t="s">
        <v>139</v>
      </c>
      <c r="V135" s="41" t="s">
        <v>139</v>
      </c>
      <c r="W135" s="41" t="s">
        <v>1072</v>
      </c>
      <c r="X135" s="41" t="s">
        <v>139</v>
      </c>
      <c r="Y135" s="42" t="s">
        <v>139</v>
      </c>
      <c r="Z135" s="43" t="s">
        <v>139</v>
      </c>
      <c r="AA135" s="41" t="s">
        <v>139</v>
      </c>
      <c r="AB135" s="41" t="s">
        <v>1609</v>
      </c>
      <c r="AC135" s="41" t="s">
        <v>139</v>
      </c>
      <c r="AD135" s="41" t="s">
        <v>139</v>
      </c>
      <c r="AE135" s="44"/>
      <c r="AF135" s="45"/>
      <c r="AG135" s="45"/>
      <c r="AH135" s="46"/>
      <c r="AI135" s="45"/>
      <c r="AJ135" s="45"/>
      <c r="AK135" s="45"/>
      <c r="AL135" s="3" t="s">
        <v>1582</v>
      </c>
    </row>
    <row r="136" spans="2:38" ht="81" hidden="1">
      <c r="B136" s="144">
        <f t="shared" ref="B136:B199" si="2">ROW()-3</f>
        <v>133</v>
      </c>
      <c r="C136" s="148" t="s">
        <v>3732</v>
      </c>
      <c r="D136" s="148"/>
      <c r="E136" s="148"/>
      <c r="F136" s="148"/>
      <c r="G136" s="148"/>
      <c r="H136" s="148"/>
      <c r="I136" s="148"/>
      <c r="J136" s="148"/>
      <c r="K136" s="165" t="s">
        <v>3659</v>
      </c>
      <c r="L136" s="165" t="s">
        <v>3672</v>
      </c>
      <c r="M136" s="165" t="s">
        <v>3674</v>
      </c>
      <c r="N136" s="165" t="s">
        <v>3721</v>
      </c>
      <c r="O136" s="165" t="s">
        <v>1708</v>
      </c>
      <c r="P136" s="165" t="s">
        <v>1708</v>
      </c>
      <c r="Q136" s="127" t="s">
        <v>139</v>
      </c>
      <c r="R136" s="60" t="s">
        <v>1709</v>
      </c>
      <c r="S136" s="60" t="s">
        <v>1928</v>
      </c>
      <c r="T136" s="60" t="s">
        <v>161</v>
      </c>
      <c r="U136" s="48" t="s">
        <v>139</v>
      </c>
      <c r="V136" s="48" t="s">
        <v>139</v>
      </c>
      <c r="W136" s="79" t="s">
        <v>1693</v>
      </c>
      <c r="X136" s="48" t="s">
        <v>139</v>
      </c>
      <c r="Y136" s="49" t="s">
        <v>139</v>
      </c>
      <c r="Z136" s="50" t="s">
        <v>139</v>
      </c>
      <c r="AA136" s="48" t="s">
        <v>139</v>
      </c>
      <c r="AB136" s="79" t="s">
        <v>1125</v>
      </c>
      <c r="AC136" s="48" t="s">
        <v>139</v>
      </c>
      <c r="AD136" s="48" t="s">
        <v>139</v>
      </c>
      <c r="AE136" s="44"/>
      <c r="AF136" s="45"/>
      <c r="AG136" s="45"/>
      <c r="AH136" s="46"/>
      <c r="AI136" s="45"/>
      <c r="AJ136" s="45"/>
      <c r="AK136" s="45"/>
      <c r="AL136" s="3" t="s">
        <v>1582</v>
      </c>
    </row>
    <row r="137" spans="2:38" ht="40.5" hidden="1">
      <c r="B137" s="144">
        <f t="shared" si="2"/>
        <v>134</v>
      </c>
      <c r="C137" s="148" t="s">
        <v>3732</v>
      </c>
      <c r="D137" s="148"/>
      <c r="E137" s="148"/>
      <c r="F137" s="148"/>
      <c r="G137" s="148"/>
      <c r="H137" s="148"/>
      <c r="I137" s="148"/>
      <c r="J137" s="148"/>
      <c r="K137" s="165" t="s">
        <v>3659</v>
      </c>
      <c r="L137" s="165" t="s">
        <v>3672</v>
      </c>
      <c r="M137" s="165" t="s">
        <v>3674</v>
      </c>
      <c r="N137" s="165" t="s">
        <v>3721</v>
      </c>
      <c r="O137" s="165" t="s">
        <v>1715</v>
      </c>
      <c r="P137" s="165" t="s">
        <v>1715</v>
      </c>
      <c r="Q137" s="127" t="s">
        <v>139</v>
      </c>
      <c r="R137" s="60" t="s">
        <v>1716</v>
      </c>
      <c r="S137" s="60" t="s">
        <v>1717</v>
      </c>
      <c r="T137" s="60" t="s">
        <v>1718</v>
      </c>
      <c r="U137" s="48" t="s">
        <v>139</v>
      </c>
      <c r="V137" s="48" t="s">
        <v>139</v>
      </c>
      <c r="W137" s="79" t="s">
        <v>1719</v>
      </c>
      <c r="X137" s="48" t="s">
        <v>139</v>
      </c>
      <c r="Y137" s="49" t="s">
        <v>139</v>
      </c>
      <c r="Z137" s="50" t="s">
        <v>139</v>
      </c>
      <c r="AA137" s="48" t="s">
        <v>139</v>
      </c>
      <c r="AB137" s="79" t="s">
        <v>1125</v>
      </c>
      <c r="AC137" s="48" t="s">
        <v>139</v>
      </c>
      <c r="AD137" s="48" t="s">
        <v>139</v>
      </c>
      <c r="AE137" s="44"/>
      <c r="AF137" s="45"/>
      <c r="AG137" s="45"/>
      <c r="AH137" s="46"/>
      <c r="AI137" s="45"/>
      <c r="AJ137" s="45"/>
      <c r="AK137" s="45"/>
      <c r="AL137" s="3" t="s">
        <v>1582</v>
      </c>
    </row>
    <row r="138" spans="2:38" ht="108" hidden="1">
      <c r="B138" s="144">
        <f t="shared" si="2"/>
        <v>135</v>
      </c>
      <c r="C138" s="148" t="s">
        <v>3732</v>
      </c>
      <c r="D138" s="148"/>
      <c r="E138" s="148"/>
      <c r="F138" s="148"/>
      <c r="G138" s="148"/>
      <c r="H138" s="148"/>
      <c r="I138" s="148"/>
      <c r="J138" s="148"/>
      <c r="K138" s="165" t="s">
        <v>3659</v>
      </c>
      <c r="L138" s="165" t="s">
        <v>3672</v>
      </c>
      <c r="M138" s="165" t="s">
        <v>3674</v>
      </c>
      <c r="N138" s="165" t="s">
        <v>3721</v>
      </c>
      <c r="O138" s="165" t="s">
        <v>1879</v>
      </c>
      <c r="P138" s="165" t="s">
        <v>1879</v>
      </c>
      <c r="Q138" s="127" t="s">
        <v>139</v>
      </c>
      <c r="R138" s="60" t="s">
        <v>2040</v>
      </c>
      <c r="S138" s="60" t="s">
        <v>2041</v>
      </c>
      <c r="T138" s="60" t="s">
        <v>139</v>
      </c>
      <c r="U138" s="48" t="s">
        <v>139</v>
      </c>
      <c r="V138" s="48" t="s">
        <v>139</v>
      </c>
      <c r="W138" s="79" t="s">
        <v>1880</v>
      </c>
      <c r="X138" s="48" t="s">
        <v>139</v>
      </c>
      <c r="Y138" s="49" t="s">
        <v>139</v>
      </c>
      <c r="Z138" s="50" t="s">
        <v>139</v>
      </c>
      <c r="AA138" s="48" t="s">
        <v>139</v>
      </c>
      <c r="AB138" s="79" t="s">
        <v>1125</v>
      </c>
      <c r="AC138" s="48" t="s">
        <v>139</v>
      </c>
      <c r="AD138" s="48" t="s">
        <v>139</v>
      </c>
      <c r="AE138" s="44"/>
      <c r="AF138" s="45"/>
      <c r="AG138" s="45"/>
      <c r="AH138" s="46"/>
      <c r="AI138" s="45"/>
      <c r="AJ138" s="45"/>
      <c r="AK138" s="45"/>
      <c r="AL138" s="3" t="s">
        <v>1582</v>
      </c>
    </row>
    <row r="139" spans="2:38" ht="40.5" hidden="1">
      <c r="B139" s="144">
        <f t="shared" si="2"/>
        <v>136</v>
      </c>
      <c r="C139" s="148" t="s">
        <v>3732</v>
      </c>
      <c r="D139" s="148"/>
      <c r="E139" s="148"/>
      <c r="F139" s="148"/>
      <c r="G139" s="148"/>
      <c r="H139" s="148"/>
      <c r="I139" s="148"/>
      <c r="J139" s="148"/>
      <c r="K139" s="165" t="s">
        <v>3659</v>
      </c>
      <c r="L139" s="165" t="s">
        <v>3672</v>
      </c>
      <c r="M139" s="165" t="s">
        <v>3674</v>
      </c>
      <c r="N139" s="165" t="s">
        <v>3721</v>
      </c>
      <c r="O139" s="165" t="s">
        <v>1747</v>
      </c>
      <c r="P139" s="165" t="s">
        <v>1747</v>
      </c>
      <c r="Q139" s="127" t="s">
        <v>139</v>
      </c>
      <c r="R139" s="60" t="s">
        <v>1748</v>
      </c>
      <c r="S139" s="60" t="s">
        <v>1899</v>
      </c>
      <c r="T139" s="60" t="s">
        <v>1749</v>
      </c>
      <c r="U139" s="48" t="s">
        <v>139</v>
      </c>
      <c r="V139" s="48" t="s">
        <v>139</v>
      </c>
      <c r="W139" s="79" t="s">
        <v>1750</v>
      </c>
      <c r="X139" s="48" t="s">
        <v>139</v>
      </c>
      <c r="Y139" s="49" t="s">
        <v>139</v>
      </c>
      <c r="Z139" s="50" t="s">
        <v>139</v>
      </c>
      <c r="AA139" s="48" t="s">
        <v>139</v>
      </c>
      <c r="AB139" s="79" t="s">
        <v>1125</v>
      </c>
      <c r="AC139" s="48" t="s">
        <v>139</v>
      </c>
      <c r="AD139" s="48" t="s">
        <v>139</v>
      </c>
      <c r="AE139" s="44"/>
      <c r="AF139" s="45"/>
      <c r="AG139" s="45"/>
      <c r="AH139" s="46"/>
      <c r="AI139" s="45"/>
      <c r="AJ139" s="45"/>
      <c r="AK139" s="45"/>
      <c r="AL139" s="3" t="s">
        <v>1582</v>
      </c>
    </row>
    <row r="140" spans="2:38" ht="40.5" hidden="1">
      <c r="B140" s="144">
        <f t="shared" si="2"/>
        <v>137</v>
      </c>
      <c r="C140" s="148" t="s">
        <v>3732</v>
      </c>
      <c r="D140" s="148"/>
      <c r="E140" s="148"/>
      <c r="F140" s="148"/>
      <c r="G140" s="148"/>
      <c r="H140" s="148"/>
      <c r="I140" s="148"/>
      <c r="J140" s="148"/>
      <c r="K140" s="165" t="s">
        <v>3659</v>
      </c>
      <c r="L140" s="165" t="s">
        <v>3672</v>
      </c>
      <c r="M140" s="165" t="s">
        <v>3674</v>
      </c>
      <c r="N140" s="165" t="s">
        <v>3721</v>
      </c>
      <c r="O140" s="165" t="s">
        <v>1701</v>
      </c>
      <c r="P140" s="165" t="s">
        <v>1701</v>
      </c>
      <c r="Q140" s="127" t="s">
        <v>139</v>
      </c>
      <c r="R140" s="60" t="s">
        <v>1702</v>
      </c>
      <c r="S140" s="60" t="s">
        <v>1919</v>
      </c>
      <c r="T140" s="60" t="s">
        <v>1703</v>
      </c>
      <c r="U140" s="48" t="s">
        <v>139</v>
      </c>
      <c r="V140" s="48" t="s">
        <v>139</v>
      </c>
      <c r="W140" s="79" t="s">
        <v>1704</v>
      </c>
      <c r="X140" s="48" t="s">
        <v>139</v>
      </c>
      <c r="Y140" s="49" t="s">
        <v>139</v>
      </c>
      <c r="Z140" s="50" t="s">
        <v>139</v>
      </c>
      <c r="AA140" s="48" t="s">
        <v>139</v>
      </c>
      <c r="AB140" s="79" t="s">
        <v>1125</v>
      </c>
      <c r="AC140" s="48" t="s">
        <v>139</v>
      </c>
      <c r="AD140" s="48" t="s">
        <v>139</v>
      </c>
      <c r="AE140" s="44"/>
      <c r="AF140" s="45"/>
      <c r="AG140" s="45"/>
      <c r="AH140" s="46"/>
      <c r="AI140" s="45"/>
      <c r="AJ140" s="45"/>
      <c r="AK140" s="45"/>
      <c r="AL140" s="3" t="s">
        <v>1582</v>
      </c>
    </row>
    <row r="141" spans="2:38" ht="54" hidden="1">
      <c r="B141" s="144">
        <f t="shared" si="2"/>
        <v>138</v>
      </c>
      <c r="C141" s="148" t="s">
        <v>3732</v>
      </c>
      <c r="D141" s="148"/>
      <c r="E141" s="148"/>
      <c r="F141" s="148"/>
      <c r="G141" s="148"/>
      <c r="H141" s="148"/>
      <c r="I141" s="148"/>
      <c r="J141" s="148"/>
      <c r="K141" s="165" t="s">
        <v>3659</v>
      </c>
      <c r="L141" s="165" t="s">
        <v>3672</v>
      </c>
      <c r="M141" s="165" t="s">
        <v>3674</v>
      </c>
      <c r="N141" s="165" t="s">
        <v>3721</v>
      </c>
      <c r="O141" s="165" t="s">
        <v>1733</v>
      </c>
      <c r="P141" s="165" t="s">
        <v>1733</v>
      </c>
      <c r="Q141" s="127" t="s">
        <v>139</v>
      </c>
      <c r="R141" s="60" t="s">
        <v>1734</v>
      </c>
      <c r="S141" s="60" t="s">
        <v>1735</v>
      </c>
      <c r="T141" s="60" t="s">
        <v>2051</v>
      </c>
      <c r="U141" s="48" t="s">
        <v>139</v>
      </c>
      <c r="V141" s="48" t="s">
        <v>139</v>
      </c>
      <c r="W141" s="79" t="s">
        <v>1736</v>
      </c>
      <c r="X141" s="48" t="s">
        <v>139</v>
      </c>
      <c r="Y141" s="49" t="s">
        <v>139</v>
      </c>
      <c r="Z141" s="50" t="s">
        <v>139</v>
      </c>
      <c r="AA141" s="48" t="s">
        <v>139</v>
      </c>
      <c r="AB141" s="79" t="s">
        <v>1125</v>
      </c>
      <c r="AC141" s="48" t="s">
        <v>139</v>
      </c>
      <c r="AD141" s="48" t="s">
        <v>139</v>
      </c>
      <c r="AE141" s="44"/>
      <c r="AF141" s="45"/>
      <c r="AG141" s="45"/>
      <c r="AH141" s="46"/>
      <c r="AI141" s="45"/>
      <c r="AJ141" s="45"/>
      <c r="AK141" s="45"/>
      <c r="AL141" s="3" t="s">
        <v>1582</v>
      </c>
    </row>
    <row r="142" spans="2:38" ht="202.5" hidden="1">
      <c r="B142" s="144">
        <f t="shared" si="2"/>
        <v>139</v>
      </c>
      <c r="C142" s="148" t="s">
        <v>3732</v>
      </c>
      <c r="D142" s="148"/>
      <c r="E142" s="148"/>
      <c r="F142" s="148"/>
      <c r="G142" s="148"/>
      <c r="H142" s="148"/>
      <c r="I142" s="148"/>
      <c r="J142" s="148"/>
      <c r="K142" s="165" t="s">
        <v>3659</v>
      </c>
      <c r="L142" s="165" t="s">
        <v>3672</v>
      </c>
      <c r="M142" s="165" t="s">
        <v>3674</v>
      </c>
      <c r="N142" s="165" t="s">
        <v>3721</v>
      </c>
      <c r="O142" s="165" t="s">
        <v>1743</v>
      </c>
      <c r="P142" s="165" t="s">
        <v>1743</v>
      </c>
      <c r="Q142" s="127" t="s">
        <v>139</v>
      </c>
      <c r="R142" s="60" t="s">
        <v>1744</v>
      </c>
      <c r="S142" s="60" t="s">
        <v>1954</v>
      </c>
      <c r="T142" s="60" t="s">
        <v>1745</v>
      </c>
      <c r="U142" s="48" t="s">
        <v>139</v>
      </c>
      <c r="V142" s="48" t="s">
        <v>139</v>
      </c>
      <c r="W142" s="79" t="s">
        <v>1746</v>
      </c>
      <c r="X142" s="48" t="s">
        <v>139</v>
      </c>
      <c r="Y142" s="49" t="s">
        <v>139</v>
      </c>
      <c r="Z142" s="50" t="s">
        <v>139</v>
      </c>
      <c r="AA142" s="48" t="s">
        <v>139</v>
      </c>
      <c r="AB142" s="79" t="s">
        <v>1125</v>
      </c>
      <c r="AC142" s="48" t="s">
        <v>139</v>
      </c>
      <c r="AD142" s="48" t="s">
        <v>139</v>
      </c>
      <c r="AE142" s="44"/>
      <c r="AF142" s="45"/>
      <c r="AG142" s="45"/>
      <c r="AH142" s="46"/>
      <c r="AI142" s="45"/>
      <c r="AJ142" s="45"/>
      <c r="AK142" s="45"/>
      <c r="AL142" s="3" t="s">
        <v>1582</v>
      </c>
    </row>
    <row r="143" spans="2:38" ht="40.5" hidden="1">
      <c r="B143" s="144">
        <f t="shared" si="2"/>
        <v>140</v>
      </c>
      <c r="C143" s="148" t="s">
        <v>3732</v>
      </c>
      <c r="D143" s="148"/>
      <c r="E143" s="148"/>
      <c r="F143" s="148"/>
      <c r="G143" s="148"/>
      <c r="H143" s="148"/>
      <c r="I143" s="148"/>
      <c r="J143" s="148"/>
      <c r="K143" s="165" t="s">
        <v>3659</v>
      </c>
      <c r="L143" s="165" t="s">
        <v>3672</v>
      </c>
      <c r="M143" s="165" t="s">
        <v>3674</v>
      </c>
      <c r="N143" s="165" t="s">
        <v>3721</v>
      </c>
      <c r="O143" s="165" t="s">
        <v>3410</v>
      </c>
      <c r="P143" s="165" t="s">
        <v>1930</v>
      </c>
      <c r="Q143" s="127" t="s">
        <v>139</v>
      </c>
      <c r="R143" s="60" t="s">
        <v>1931</v>
      </c>
      <c r="S143" s="60" t="s">
        <v>1927</v>
      </c>
      <c r="T143" s="60" t="s">
        <v>161</v>
      </c>
      <c r="U143" s="48" t="s">
        <v>139</v>
      </c>
      <c r="V143" s="48" t="s">
        <v>139</v>
      </c>
      <c r="W143" s="48" t="s">
        <v>139</v>
      </c>
      <c r="X143" s="48" t="s">
        <v>139</v>
      </c>
      <c r="Y143" s="49" t="s">
        <v>139</v>
      </c>
      <c r="Z143" s="50" t="s">
        <v>139</v>
      </c>
      <c r="AA143" s="48" t="s">
        <v>139</v>
      </c>
      <c r="AB143" s="48" t="s">
        <v>139</v>
      </c>
      <c r="AC143" s="48" t="s">
        <v>139</v>
      </c>
      <c r="AD143" s="48" t="s">
        <v>139</v>
      </c>
      <c r="AE143" s="44"/>
      <c r="AF143" s="45"/>
      <c r="AG143" s="45"/>
      <c r="AH143" s="46"/>
      <c r="AI143" s="45"/>
      <c r="AJ143" s="45"/>
      <c r="AK143" s="45"/>
      <c r="AL143" s="3" t="s">
        <v>1582</v>
      </c>
    </row>
    <row r="144" spans="2:38" ht="40.5" hidden="1">
      <c r="B144" s="144">
        <f t="shared" si="2"/>
        <v>141</v>
      </c>
      <c r="C144" s="148" t="s">
        <v>3732</v>
      </c>
      <c r="D144" s="148"/>
      <c r="E144" s="148"/>
      <c r="F144" s="148"/>
      <c r="G144" s="148"/>
      <c r="H144" s="148"/>
      <c r="I144" s="148"/>
      <c r="J144" s="148"/>
      <c r="K144" s="165" t="s">
        <v>3659</v>
      </c>
      <c r="L144" s="165" t="s">
        <v>3672</v>
      </c>
      <c r="M144" s="165" t="s">
        <v>3674</v>
      </c>
      <c r="N144" s="65" t="s">
        <v>3721</v>
      </c>
      <c r="O144" s="65" t="s">
        <v>3431</v>
      </c>
      <c r="P144" s="65" t="s">
        <v>2099</v>
      </c>
      <c r="Q144" s="126" t="s">
        <v>1637</v>
      </c>
      <c r="R144" s="62" t="s">
        <v>2036</v>
      </c>
      <c r="S144" s="62" t="s">
        <v>2037</v>
      </c>
      <c r="T144" s="40" t="s">
        <v>2093</v>
      </c>
      <c r="U144" s="41" t="s">
        <v>139</v>
      </c>
      <c r="V144" s="41" t="s">
        <v>139</v>
      </c>
      <c r="W144" s="41" t="s">
        <v>139</v>
      </c>
      <c r="X144" s="41" t="s">
        <v>139</v>
      </c>
      <c r="Y144" s="42" t="s">
        <v>1891</v>
      </c>
      <c r="Z144" s="43" t="s">
        <v>139</v>
      </c>
      <c r="AA144" s="41" t="s">
        <v>139</v>
      </c>
      <c r="AB144" s="41" t="s">
        <v>139</v>
      </c>
      <c r="AC144" s="41" t="s">
        <v>139</v>
      </c>
      <c r="AD144" s="41" t="s">
        <v>1892</v>
      </c>
      <c r="AE144" s="44" t="s">
        <v>2038</v>
      </c>
      <c r="AF144" s="45"/>
      <c r="AG144" s="45"/>
      <c r="AH144" s="46"/>
      <c r="AI144" s="45"/>
      <c r="AJ144" s="45"/>
      <c r="AK144" s="45"/>
      <c r="AL144" s="3" t="s">
        <v>1582</v>
      </c>
    </row>
    <row r="145" spans="2:38" ht="40.5" hidden="1">
      <c r="B145" s="144">
        <f t="shared" si="2"/>
        <v>142</v>
      </c>
      <c r="C145" s="148" t="s">
        <v>3732</v>
      </c>
      <c r="D145" s="148"/>
      <c r="E145" s="148"/>
      <c r="F145" s="148"/>
      <c r="G145" s="148"/>
      <c r="H145" s="148"/>
      <c r="I145" s="148"/>
      <c r="J145" s="148"/>
      <c r="K145" s="165" t="s">
        <v>3659</v>
      </c>
      <c r="L145" s="165" t="s">
        <v>3672</v>
      </c>
      <c r="M145" s="165" t="s">
        <v>3674</v>
      </c>
      <c r="N145" s="165" t="s">
        <v>3721</v>
      </c>
      <c r="O145" s="165" t="s">
        <v>3479</v>
      </c>
      <c r="P145" s="165" t="s">
        <v>3331</v>
      </c>
      <c r="Q145" s="126" t="s">
        <v>1637</v>
      </c>
      <c r="R145" s="40" t="s">
        <v>2322</v>
      </c>
      <c r="S145" s="62" t="s">
        <v>2323</v>
      </c>
      <c r="T145" s="40" t="s">
        <v>2324</v>
      </c>
      <c r="U145" s="41" t="s">
        <v>139</v>
      </c>
      <c r="V145" s="41" t="s">
        <v>139</v>
      </c>
      <c r="W145" s="41" t="s">
        <v>139</v>
      </c>
      <c r="X145" s="41" t="s">
        <v>2321</v>
      </c>
      <c r="Y145" s="42" t="s">
        <v>139</v>
      </c>
      <c r="Z145" s="43" t="s">
        <v>139</v>
      </c>
      <c r="AA145" s="41" t="s">
        <v>139</v>
      </c>
      <c r="AB145" s="41" t="s">
        <v>139</v>
      </c>
      <c r="AC145" s="41" t="s">
        <v>2352</v>
      </c>
      <c r="AD145" s="41" t="s">
        <v>139</v>
      </c>
      <c r="AE145" s="44"/>
      <c r="AF145" s="45"/>
      <c r="AG145" s="45"/>
      <c r="AH145" s="46"/>
      <c r="AI145" s="45"/>
      <c r="AJ145" s="45"/>
      <c r="AK145" s="45"/>
      <c r="AL145" s="3" t="s">
        <v>1582</v>
      </c>
    </row>
    <row r="146" spans="2:38" ht="40.5" hidden="1">
      <c r="B146" s="144">
        <f t="shared" si="2"/>
        <v>143</v>
      </c>
      <c r="C146" s="148" t="s">
        <v>3732</v>
      </c>
      <c r="D146" s="148"/>
      <c r="E146" s="148"/>
      <c r="F146" s="148"/>
      <c r="G146" s="148"/>
      <c r="H146" s="148"/>
      <c r="I146" s="148"/>
      <c r="J146" s="148"/>
      <c r="K146" s="165" t="s">
        <v>3659</v>
      </c>
      <c r="L146" s="165" t="s">
        <v>3672</v>
      </c>
      <c r="M146" s="165" t="s">
        <v>3674</v>
      </c>
      <c r="N146" s="165" t="s">
        <v>3721</v>
      </c>
      <c r="O146" s="165" t="s">
        <v>3484</v>
      </c>
      <c r="P146" s="165" t="s">
        <v>2332</v>
      </c>
      <c r="Q146" s="126" t="s">
        <v>1637</v>
      </c>
      <c r="R146" s="40" t="s">
        <v>3072</v>
      </c>
      <c r="S146" s="40"/>
      <c r="T146" s="40" t="s">
        <v>2333</v>
      </c>
      <c r="U146" s="41" t="s">
        <v>139</v>
      </c>
      <c r="V146" s="41" t="s">
        <v>139</v>
      </c>
      <c r="W146" s="41" t="s">
        <v>139</v>
      </c>
      <c r="X146" s="41" t="s">
        <v>2334</v>
      </c>
      <c r="Y146" s="42" t="s">
        <v>139</v>
      </c>
      <c r="Z146" s="43" t="s">
        <v>139</v>
      </c>
      <c r="AA146" s="41" t="s">
        <v>139</v>
      </c>
      <c r="AB146" s="41" t="s">
        <v>139</v>
      </c>
      <c r="AC146" s="41" t="s">
        <v>708</v>
      </c>
      <c r="AD146" s="41" t="s">
        <v>139</v>
      </c>
      <c r="AE146" s="44"/>
      <c r="AF146" s="45"/>
      <c r="AG146" s="45"/>
      <c r="AH146" s="46"/>
      <c r="AI146" s="45"/>
      <c r="AJ146" s="45"/>
      <c r="AK146" s="45"/>
      <c r="AL146" s="3" t="s">
        <v>1582</v>
      </c>
    </row>
    <row r="147" spans="2:38" ht="40.5" hidden="1">
      <c r="B147" s="144">
        <f t="shared" si="2"/>
        <v>144</v>
      </c>
      <c r="C147" s="148" t="s">
        <v>3732</v>
      </c>
      <c r="D147" s="148"/>
      <c r="E147" s="148"/>
      <c r="F147" s="148"/>
      <c r="G147" s="148"/>
      <c r="H147" s="148"/>
      <c r="I147" s="148"/>
      <c r="J147" s="148"/>
      <c r="K147" s="165" t="s">
        <v>3659</v>
      </c>
      <c r="L147" s="165" t="s">
        <v>3672</v>
      </c>
      <c r="M147" s="165" t="s">
        <v>3674</v>
      </c>
      <c r="N147" s="165" t="s">
        <v>3721</v>
      </c>
      <c r="O147" s="165" t="s">
        <v>1758</v>
      </c>
      <c r="P147" s="165" t="s">
        <v>1758</v>
      </c>
      <c r="Q147" s="127" t="s">
        <v>1759</v>
      </c>
      <c r="R147" s="60" t="s">
        <v>1957</v>
      </c>
      <c r="S147" s="60" t="s">
        <v>1958</v>
      </c>
      <c r="T147" s="60" t="s">
        <v>1760</v>
      </c>
      <c r="U147" s="48" t="s">
        <v>139</v>
      </c>
      <c r="V147" s="48" t="s">
        <v>139</v>
      </c>
      <c r="W147" s="79" t="s">
        <v>1761</v>
      </c>
      <c r="X147" s="48" t="s">
        <v>139</v>
      </c>
      <c r="Y147" s="49" t="s">
        <v>139</v>
      </c>
      <c r="Z147" s="50" t="s">
        <v>139</v>
      </c>
      <c r="AA147" s="48" t="s">
        <v>139</v>
      </c>
      <c r="AB147" s="79" t="s">
        <v>1125</v>
      </c>
      <c r="AC147" s="48" t="s">
        <v>139</v>
      </c>
      <c r="AD147" s="48" t="s">
        <v>139</v>
      </c>
      <c r="AE147" s="44"/>
      <c r="AF147" s="45"/>
      <c r="AG147" s="45"/>
      <c r="AH147" s="46"/>
      <c r="AI147" s="45"/>
      <c r="AJ147" s="45"/>
      <c r="AK147" s="45"/>
      <c r="AL147" s="3" t="s">
        <v>1582</v>
      </c>
    </row>
    <row r="148" spans="2:38" ht="54" hidden="1">
      <c r="B148" s="144">
        <f t="shared" si="2"/>
        <v>145</v>
      </c>
      <c r="C148" s="148" t="s">
        <v>3732</v>
      </c>
      <c r="D148" s="148"/>
      <c r="E148" s="148"/>
      <c r="F148" s="148"/>
      <c r="G148" s="148"/>
      <c r="H148" s="148"/>
      <c r="I148" s="148"/>
      <c r="J148" s="148"/>
      <c r="K148" s="165" t="s">
        <v>3659</v>
      </c>
      <c r="L148" s="165" t="s">
        <v>3672</v>
      </c>
      <c r="M148" s="165" t="s">
        <v>3674</v>
      </c>
      <c r="N148" s="165" t="s">
        <v>3721</v>
      </c>
      <c r="O148" s="165" t="s">
        <v>1762</v>
      </c>
      <c r="P148" s="165" t="s">
        <v>1762</v>
      </c>
      <c r="Q148" s="127" t="s">
        <v>139</v>
      </c>
      <c r="R148" s="60" t="s">
        <v>1763</v>
      </c>
      <c r="S148" s="60" t="s">
        <v>3063</v>
      </c>
      <c r="T148" s="60" t="s">
        <v>1760</v>
      </c>
      <c r="U148" s="48" t="s">
        <v>139</v>
      </c>
      <c r="V148" s="48" t="s">
        <v>139</v>
      </c>
      <c r="W148" s="79" t="s">
        <v>1764</v>
      </c>
      <c r="X148" s="48" t="s">
        <v>139</v>
      </c>
      <c r="Y148" s="49" t="s">
        <v>139</v>
      </c>
      <c r="Z148" s="50" t="s">
        <v>139</v>
      </c>
      <c r="AA148" s="48" t="s">
        <v>139</v>
      </c>
      <c r="AB148" s="79" t="s">
        <v>1125</v>
      </c>
      <c r="AC148" s="48" t="s">
        <v>139</v>
      </c>
      <c r="AD148" s="48" t="s">
        <v>139</v>
      </c>
      <c r="AE148" s="44"/>
      <c r="AF148" s="45"/>
      <c r="AG148" s="45"/>
      <c r="AH148" s="46"/>
      <c r="AI148" s="45"/>
      <c r="AJ148" s="45"/>
      <c r="AK148" s="45"/>
      <c r="AL148" s="3" t="s">
        <v>1582</v>
      </c>
    </row>
    <row r="149" spans="2:38" ht="40.5" hidden="1">
      <c r="B149" s="144">
        <f t="shared" si="2"/>
        <v>146</v>
      </c>
      <c r="C149" s="148" t="s">
        <v>3732</v>
      </c>
      <c r="D149" s="148"/>
      <c r="E149" s="148"/>
      <c r="F149" s="148"/>
      <c r="G149" s="148"/>
      <c r="H149" s="148"/>
      <c r="I149" s="148"/>
      <c r="J149" s="148"/>
      <c r="K149" s="165" t="s">
        <v>3659</v>
      </c>
      <c r="L149" s="165" t="s">
        <v>3672</v>
      </c>
      <c r="M149" s="165" t="s">
        <v>3674</v>
      </c>
      <c r="N149" s="165" t="s">
        <v>3721</v>
      </c>
      <c r="O149" s="165" t="s">
        <v>702</v>
      </c>
      <c r="P149" s="165" t="s">
        <v>702</v>
      </c>
      <c r="Q149" s="126" t="s">
        <v>703</v>
      </c>
      <c r="R149" s="40" t="s">
        <v>704</v>
      </c>
      <c r="S149" s="40"/>
      <c r="T149" s="40" t="s">
        <v>672</v>
      </c>
      <c r="U149" s="41" t="s">
        <v>139</v>
      </c>
      <c r="V149" s="41" t="s">
        <v>139</v>
      </c>
      <c r="W149" s="41" t="s">
        <v>705</v>
      </c>
      <c r="X149" s="41" t="s">
        <v>706</v>
      </c>
      <c r="Y149" s="42" t="s">
        <v>139</v>
      </c>
      <c r="Z149" s="43" t="s">
        <v>139</v>
      </c>
      <c r="AA149" s="41" t="s">
        <v>139</v>
      </c>
      <c r="AB149" s="41" t="s">
        <v>707</v>
      </c>
      <c r="AC149" s="41" t="s">
        <v>708</v>
      </c>
      <c r="AD149" s="41" t="s">
        <v>139</v>
      </c>
      <c r="AE149" s="44"/>
      <c r="AF149" s="45"/>
      <c r="AG149" s="45"/>
      <c r="AH149" s="46"/>
      <c r="AI149" s="45"/>
      <c r="AJ149" s="45"/>
      <c r="AK149" s="45"/>
      <c r="AL149" s="3" t="s">
        <v>1582</v>
      </c>
    </row>
    <row r="150" spans="2:38" ht="40.5" hidden="1">
      <c r="B150" s="144">
        <f t="shared" si="2"/>
        <v>147</v>
      </c>
      <c r="C150" s="148" t="s">
        <v>3732</v>
      </c>
      <c r="D150" s="148"/>
      <c r="E150" s="148"/>
      <c r="F150" s="148"/>
      <c r="G150" s="148"/>
      <c r="H150" s="148"/>
      <c r="I150" s="148"/>
      <c r="J150" s="148"/>
      <c r="K150" s="165" t="s">
        <v>3659</v>
      </c>
      <c r="L150" s="165" t="s">
        <v>3672</v>
      </c>
      <c r="M150" s="165" t="s">
        <v>3674</v>
      </c>
      <c r="N150" s="165" t="s">
        <v>3721</v>
      </c>
      <c r="O150" s="165" t="s">
        <v>3408</v>
      </c>
      <c r="P150" s="165" t="s">
        <v>3084</v>
      </c>
      <c r="Q150" s="126" t="s">
        <v>1115</v>
      </c>
      <c r="R150" s="40" t="s">
        <v>1116</v>
      </c>
      <c r="S150" s="40" t="s">
        <v>1616</v>
      </c>
      <c r="T150" s="40" t="s">
        <v>1113</v>
      </c>
      <c r="U150" s="41" t="s">
        <v>139</v>
      </c>
      <c r="V150" s="41" t="s">
        <v>139</v>
      </c>
      <c r="W150" s="41" t="s">
        <v>1117</v>
      </c>
      <c r="X150" s="41" t="s">
        <v>139</v>
      </c>
      <c r="Y150" s="42" t="s">
        <v>139</v>
      </c>
      <c r="Z150" s="43" t="s">
        <v>139</v>
      </c>
      <c r="AA150" s="41" t="s">
        <v>139</v>
      </c>
      <c r="AB150" s="41" t="s">
        <v>1076</v>
      </c>
      <c r="AC150" s="41" t="s">
        <v>139</v>
      </c>
      <c r="AD150" s="41" t="s">
        <v>139</v>
      </c>
      <c r="AE150" s="44"/>
      <c r="AF150" s="45"/>
      <c r="AG150" s="45"/>
      <c r="AH150" s="46"/>
      <c r="AI150" s="45"/>
      <c r="AJ150" s="45"/>
      <c r="AK150" s="45"/>
      <c r="AL150" s="3" t="s">
        <v>1582</v>
      </c>
    </row>
    <row r="151" spans="2:38" ht="40.5" hidden="1">
      <c r="B151" s="144">
        <f t="shared" si="2"/>
        <v>148</v>
      </c>
      <c r="C151" s="148" t="s">
        <v>3732</v>
      </c>
      <c r="D151" s="148"/>
      <c r="E151" s="148"/>
      <c r="F151" s="148"/>
      <c r="G151" s="148"/>
      <c r="H151" s="148"/>
      <c r="I151" s="148"/>
      <c r="J151" s="148"/>
      <c r="K151" s="165" t="s">
        <v>3659</v>
      </c>
      <c r="L151" s="165" t="s">
        <v>3672</v>
      </c>
      <c r="M151" s="165" t="s">
        <v>3674</v>
      </c>
      <c r="N151" s="165" t="s">
        <v>3722</v>
      </c>
      <c r="O151" s="165" t="s">
        <v>1121</v>
      </c>
      <c r="P151" s="165" t="s">
        <v>1121</v>
      </c>
      <c r="Q151" s="126" t="s">
        <v>139</v>
      </c>
      <c r="R151" s="40" t="s">
        <v>1917</v>
      </c>
      <c r="S151" s="40" t="s">
        <v>1918</v>
      </c>
      <c r="T151" s="40" t="s">
        <v>161</v>
      </c>
      <c r="U151" s="41" t="s">
        <v>139</v>
      </c>
      <c r="V151" s="41" t="s">
        <v>139</v>
      </c>
      <c r="W151" s="41" t="s">
        <v>1122</v>
      </c>
      <c r="X151" s="41" t="s">
        <v>139</v>
      </c>
      <c r="Y151" s="42" t="s">
        <v>139</v>
      </c>
      <c r="Z151" s="43" t="s">
        <v>139</v>
      </c>
      <c r="AA151" s="41" t="s">
        <v>139</v>
      </c>
      <c r="AB151" s="41" t="s">
        <v>1076</v>
      </c>
      <c r="AC151" s="41" t="s">
        <v>139</v>
      </c>
      <c r="AD151" s="41" t="s">
        <v>139</v>
      </c>
      <c r="AE151" s="44"/>
      <c r="AF151" s="45"/>
      <c r="AG151" s="45"/>
      <c r="AH151" s="46"/>
      <c r="AI151" s="45"/>
      <c r="AJ151" s="45"/>
      <c r="AK151" s="45"/>
      <c r="AL151" s="3" t="s">
        <v>1582</v>
      </c>
    </row>
    <row r="152" spans="2:38" ht="40.5" hidden="1">
      <c r="B152" s="144">
        <f t="shared" si="2"/>
        <v>149</v>
      </c>
      <c r="C152" s="148" t="s">
        <v>3732</v>
      </c>
      <c r="D152" s="148"/>
      <c r="E152" s="148"/>
      <c r="F152" s="148"/>
      <c r="G152" s="148"/>
      <c r="H152" s="148"/>
      <c r="I152" s="148"/>
      <c r="J152" s="148"/>
      <c r="K152" s="165" t="s">
        <v>3659</v>
      </c>
      <c r="L152" s="165" t="s">
        <v>3672</v>
      </c>
      <c r="M152" s="165" t="s">
        <v>3674</v>
      </c>
      <c r="N152" s="165" t="s">
        <v>3722</v>
      </c>
      <c r="O152" s="165" t="s">
        <v>3413</v>
      </c>
      <c r="P152" s="165" t="s">
        <v>1622</v>
      </c>
      <c r="Q152" s="126" t="s">
        <v>1637</v>
      </c>
      <c r="R152" s="40" t="s">
        <v>1619</v>
      </c>
      <c r="S152" s="40" t="s">
        <v>1624</v>
      </c>
      <c r="T152" s="40" t="s">
        <v>161</v>
      </c>
      <c r="U152" s="41" t="s">
        <v>139</v>
      </c>
      <c r="V152" s="41" t="s">
        <v>139</v>
      </c>
      <c r="W152" s="41" t="s">
        <v>1128</v>
      </c>
      <c r="X152" s="41" t="s">
        <v>139</v>
      </c>
      <c r="Y152" s="42" t="s">
        <v>139</v>
      </c>
      <c r="Z152" s="43" t="s">
        <v>139</v>
      </c>
      <c r="AA152" s="41" t="s">
        <v>139</v>
      </c>
      <c r="AB152" s="41" t="s">
        <v>1125</v>
      </c>
      <c r="AC152" s="41" t="s">
        <v>139</v>
      </c>
      <c r="AD152" s="41" t="s">
        <v>139</v>
      </c>
      <c r="AE152" s="44"/>
      <c r="AF152" s="45"/>
      <c r="AG152" s="45"/>
      <c r="AH152" s="46"/>
      <c r="AI152" s="45"/>
      <c r="AJ152" s="45"/>
      <c r="AK152" s="45"/>
      <c r="AL152" s="3" t="s">
        <v>1582</v>
      </c>
    </row>
    <row r="153" spans="2:38" ht="54" hidden="1">
      <c r="B153" s="144">
        <f t="shared" si="2"/>
        <v>150</v>
      </c>
      <c r="C153" s="148" t="s">
        <v>3732</v>
      </c>
      <c r="D153" s="148"/>
      <c r="E153" s="148"/>
      <c r="F153" s="148"/>
      <c r="G153" s="148"/>
      <c r="H153" s="148"/>
      <c r="I153" s="148"/>
      <c r="J153" s="148"/>
      <c r="K153" s="165" t="s">
        <v>3659</v>
      </c>
      <c r="L153" s="165" t="s">
        <v>3672</v>
      </c>
      <c r="M153" s="165" t="s">
        <v>3674</v>
      </c>
      <c r="N153" s="165" t="s">
        <v>3722</v>
      </c>
      <c r="O153" s="165" t="s">
        <v>1074</v>
      </c>
      <c r="P153" s="165" t="s">
        <v>1074</v>
      </c>
      <c r="Q153" s="126" t="s">
        <v>139</v>
      </c>
      <c r="R153" s="40" t="s">
        <v>1612</v>
      </c>
      <c r="S153" s="40"/>
      <c r="T153" s="40" t="s">
        <v>161</v>
      </c>
      <c r="U153" s="41" t="s">
        <v>139</v>
      </c>
      <c r="V153" s="41" t="s">
        <v>139</v>
      </c>
      <c r="W153" s="41" t="s">
        <v>1075</v>
      </c>
      <c r="X153" s="41" t="s">
        <v>139</v>
      </c>
      <c r="Y153" s="42" t="s">
        <v>139</v>
      </c>
      <c r="Z153" s="43" t="s">
        <v>139</v>
      </c>
      <c r="AA153" s="41" t="s">
        <v>139</v>
      </c>
      <c r="AB153" s="41" t="s">
        <v>1076</v>
      </c>
      <c r="AC153" s="41" t="s">
        <v>139</v>
      </c>
      <c r="AD153" s="41" t="s">
        <v>139</v>
      </c>
      <c r="AE153" s="44"/>
      <c r="AF153" s="45"/>
      <c r="AG153" s="45"/>
      <c r="AH153" s="46"/>
      <c r="AI153" s="45"/>
      <c r="AJ153" s="45"/>
      <c r="AK153" s="45"/>
      <c r="AL153" s="3" t="s">
        <v>1582</v>
      </c>
    </row>
    <row r="154" spans="2:38" ht="40.5" hidden="1">
      <c r="B154" s="144">
        <f t="shared" si="2"/>
        <v>151</v>
      </c>
      <c r="C154" s="148" t="s">
        <v>3732</v>
      </c>
      <c r="D154" s="148"/>
      <c r="E154" s="148"/>
      <c r="F154" s="148"/>
      <c r="G154" s="148"/>
      <c r="H154" s="148"/>
      <c r="I154" s="148"/>
      <c r="J154" s="148"/>
      <c r="K154" s="165" t="s">
        <v>3659</v>
      </c>
      <c r="L154" s="165" t="s">
        <v>3672</v>
      </c>
      <c r="M154" s="165" t="s">
        <v>3674</v>
      </c>
      <c r="N154" s="165" t="s">
        <v>3722</v>
      </c>
      <c r="O154" s="165" t="s">
        <v>1696</v>
      </c>
      <c r="P154" s="165" t="s">
        <v>1696</v>
      </c>
      <c r="Q154" s="127" t="s">
        <v>139</v>
      </c>
      <c r="R154" s="60" t="s">
        <v>1697</v>
      </c>
      <c r="S154" s="60" t="s">
        <v>1908</v>
      </c>
      <c r="T154" s="60" t="s">
        <v>161</v>
      </c>
      <c r="U154" s="48" t="s">
        <v>139</v>
      </c>
      <c r="V154" s="48" t="s">
        <v>139</v>
      </c>
      <c r="W154" s="79" t="s">
        <v>1698</v>
      </c>
      <c r="X154" s="48" t="s">
        <v>139</v>
      </c>
      <c r="Y154" s="49" t="s">
        <v>139</v>
      </c>
      <c r="Z154" s="50" t="s">
        <v>139</v>
      </c>
      <c r="AA154" s="48" t="s">
        <v>139</v>
      </c>
      <c r="AB154" s="79" t="s">
        <v>1125</v>
      </c>
      <c r="AC154" s="48" t="s">
        <v>139</v>
      </c>
      <c r="AD154" s="48" t="s">
        <v>139</v>
      </c>
      <c r="AE154" s="44"/>
      <c r="AF154" s="45"/>
      <c r="AG154" s="45"/>
      <c r="AH154" s="46"/>
      <c r="AI154" s="45"/>
      <c r="AJ154" s="45"/>
      <c r="AK154" s="45"/>
      <c r="AL154" s="3" t="s">
        <v>1582</v>
      </c>
    </row>
    <row r="155" spans="2:38" ht="67.5" hidden="1">
      <c r="B155" s="144">
        <f t="shared" si="2"/>
        <v>152</v>
      </c>
      <c r="C155" s="148" t="s">
        <v>3732</v>
      </c>
      <c r="D155" s="148"/>
      <c r="E155" s="148"/>
      <c r="F155" s="148"/>
      <c r="G155" s="148"/>
      <c r="H155" s="148"/>
      <c r="I155" s="148"/>
      <c r="J155" s="148"/>
      <c r="K155" s="165" t="s">
        <v>3659</v>
      </c>
      <c r="L155" s="165" t="s">
        <v>3672</v>
      </c>
      <c r="M155" s="165" t="s">
        <v>3674</v>
      </c>
      <c r="N155" s="165" t="s">
        <v>3722</v>
      </c>
      <c r="O155" s="165" t="s">
        <v>1689</v>
      </c>
      <c r="P155" s="165" t="s">
        <v>1689</v>
      </c>
      <c r="Q155" s="127" t="s">
        <v>139</v>
      </c>
      <c r="R155" s="60" t="s">
        <v>3277</v>
      </c>
      <c r="S155" s="60" t="s">
        <v>3278</v>
      </c>
      <c r="T155" s="60" t="s">
        <v>161</v>
      </c>
      <c r="U155" s="48" t="s">
        <v>139</v>
      </c>
      <c r="V155" s="48" t="s">
        <v>139</v>
      </c>
      <c r="W155" s="79" t="s">
        <v>1690</v>
      </c>
      <c r="X155" s="48" t="s">
        <v>139</v>
      </c>
      <c r="Y155" s="49" t="s">
        <v>139</v>
      </c>
      <c r="Z155" s="50" t="s">
        <v>139</v>
      </c>
      <c r="AA155" s="48" t="s">
        <v>139</v>
      </c>
      <c r="AB155" s="79" t="s">
        <v>1125</v>
      </c>
      <c r="AC155" s="48" t="s">
        <v>139</v>
      </c>
      <c r="AD155" s="48" t="s">
        <v>139</v>
      </c>
      <c r="AE155" s="44"/>
      <c r="AF155" s="45"/>
      <c r="AG155" s="45"/>
      <c r="AH155" s="46"/>
      <c r="AI155" s="45"/>
      <c r="AJ155" s="45"/>
      <c r="AK155" s="45"/>
      <c r="AL155" s="3" t="s">
        <v>1582</v>
      </c>
    </row>
    <row r="156" spans="2:38" ht="54">
      <c r="B156" s="144">
        <f t="shared" si="2"/>
        <v>153</v>
      </c>
      <c r="C156" s="148" t="s">
        <v>3731</v>
      </c>
      <c r="D156" s="148"/>
      <c r="E156" s="148"/>
      <c r="F156" s="148"/>
      <c r="G156" s="148"/>
      <c r="H156" s="148"/>
      <c r="I156" s="148"/>
      <c r="J156" s="148"/>
      <c r="K156" s="165" t="s">
        <v>3659</v>
      </c>
      <c r="L156" s="165" t="s">
        <v>3672</v>
      </c>
      <c r="M156" s="165" t="s">
        <v>3674</v>
      </c>
      <c r="N156" s="165" t="s">
        <v>3722</v>
      </c>
      <c r="O156" s="165" t="s">
        <v>1085</v>
      </c>
      <c r="P156" s="165" t="s">
        <v>1085</v>
      </c>
      <c r="Q156" s="126" t="s">
        <v>139</v>
      </c>
      <c r="R156" s="40" t="s">
        <v>1086</v>
      </c>
      <c r="S156" s="40" t="s">
        <v>1953</v>
      </c>
      <c r="T156" s="40" t="s">
        <v>2044</v>
      </c>
      <c r="U156" s="41" t="s">
        <v>139</v>
      </c>
      <c r="V156" s="41" t="s">
        <v>139</v>
      </c>
      <c r="W156" s="41" t="s">
        <v>1083</v>
      </c>
      <c r="X156" s="41" t="s">
        <v>139</v>
      </c>
      <c r="Y156" s="42" t="s">
        <v>139</v>
      </c>
      <c r="Z156" s="43" t="s">
        <v>139</v>
      </c>
      <c r="AA156" s="41" t="s">
        <v>139</v>
      </c>
      <c r="AB156" s="41" t="s">
        <v>1087</v>
      </c>
      <c r="AC156" s="41" t="s">
        <v>139</v>
      </c>
      <c r="AD156" s="41" t="s">
        <v>139</v>
      </c>
      <c r="AE156" s="44"/>
      <c r="AF156" s="196" t="s">
        <v>2124</v>
      </c>
      <c r="AG156" s="45"/>
      <c r="AH156" s="189">
        <v>1</v>
      </c>
      <c r="AI156" s="45" t="s">
        <v>3987</v>
      </c>
      <c r="AJ156" s="45" t="s">
        <v>3988</v>
      </c>
      <c r="AK156" s="45"/>
      <c r="AL156" s="3" t="s">
        <v>1582</v>
      </c>
    </row>
    <row r="157" spans="2:38" ht="40.5" hidden="1">
      <c r="B157" s="144">
        <f t="shared" si="2"/>
        <v>154</v>
      </c>
      <c r="C157" s="148" t="s">
        <v>3732</v>
      </c>
      <c r="D157" s="148"/>
      <c r="E157" s="148"/>
      <c r="F157" s="148"/>
      <c r="G157" s="148"/>
      <c r="H157" s="148"/>
      <c r="I157" s="148"/>
      <c r="J157" s="148"/>
      <c r="K157" s="165" t="s">
        <v>3659</v>
      </c>
      <c r="L157" s="165" t="s">
        <v>3672</v>
      </c>
      <c r="M157" s="165" t="s">
        <v>3674</v>
      </c>
      <c r="N157" s="165" t="s">
        <v>3722</v>
      </c>
      <c r="O157" s="165" t="s">
        <v>3414</v>
      </c>
      <c r="P157" s="165" t="s">
        <v>1881</v>
      </c>
      <c r="Q157" s="126" t="s">
        <v>139</v>
      </c>
      <c r="R157" s="40" t="s">
        <v>1882</v>
      </c>
      <c r="S157" s="40" t="s">
        <v>1883</v>
      </c>
      <c r="T157" s="40" t="s">
        <v>1666</v>
      </c>
      <c r="U157" s="41" t="s">
        <v>139</v>
      </c>
      <c r="V157" s="41" t="s">
        <v>139</v>
      </c>
      <c r="W157" s="41" t="s">
        <v>1887</v>
      </c>
      <c r="X157" s="41" t="s">
        <v>139</v>
      </c>
      <c r="Y157" s="42" t="s">
        <v>139</v>
      </c>
      <c r="Z157" s="43" t="s">
        <v>139</v>
      </c>
      <c r="AA157" s="41" t="s">
        <v>139</v>
      </c>
      <c r="AB157" s="41" t="s">
        <v>1125</v>
      </c>
      <c r="AC157" s="41" t="s">
        <v>139</v>
      </c>
      <c r="AD157" s="41" t="s">
        <v>139</v>
      </c>
      <c r="AE157" s="44"/>
      <c r="AF157" s="45"/>
      <c r="AG157" s="45"/>
      <c r="AH157" s="46"/>
      <c r="AI157" s="45"/>
      <c r="AJ157" s="45"/>
      <c r="AK157" s="45"/>
      <c r="AL157" s="3" t="s">
        <v>1582</v>
      </c>
    </row>
    <row r="158" spans="2:38" ht="40.5" hidden="1">
      <c r="B158" s="144">
        <f t="shared" si="2"/>
        <v>155</v>
      </c>
      <c r="C158" s="148" t="s">
        <v>3732</v>
      </c>
      <c r="D158" s="148"/>
      <c r="E158" s="148"/>
      <c r="F158" s="148"/>
      <c r="G158" s="148"/>
      <c r="H158" s="148"/>
      <c r="I158" s="148"/>
      <c r="J158" s="148"/>
      <c r="K158" s="165" t="s">
        <v>3659</v>
      </c>
      <c r="L158" s="165" t="s">
        <v>3672</v>
      </c>
      <c r="M158" s="165" t="s">
        <v>3674</v>
      </c>
      <c r="N158" s="165" t="s">
        <v>3722</v>
      </c>
      <c r="O158" s="165" t="s">
        <v>1694</v>
      </c>
      <c r="P158" s="165" t="s">
        <v>1694</v>
      </c>
      <c r="Q158" s="127" t="s">
        <v>139</v>
      </c>
      <c r="R158" s="60" t="s">
        <v>1695</v>
      </c>
      <c r="S158" s="60" t="s">
        <v>1907</v>
      </c>
      <c r="T158" s="60" t="s">
        <v>161</v>
      </c>
      <c r="U158" s="48" t="s">
        <v>139</v>
      </c>
      <c r="V158" s="48" t="s">
        <v>139</v>
      </c>
      <c r="W158" s="79" t="s">
        <v>1693</v>
      </c>
      <c r="X158" s="48" t="s">
        <v>139</v>
      </c>
      <c r="Y158" s="49" t="s">
        <v>139</v>
      </c>
      <c r="Z158" s="50" t="s">
        <v>139</v>
      </c>
      <c r="AA158" s="48" t="s">
        <v>139</v>
      </c>
      <c r="AB158" s="79" t="s">
        <v>1125</v>
      </c>
      <c r="AC158" s="48" t="s">
        <v>139</v>
      </c>
      <c r="AD158" s="48" t="s">
        <v>139</v>
      </c>
      <c r="AE158" s="44"/>
      <c r="AF158" s="45"/>
      <c r="AG158" s="45"/>
      <c r="AH158" s="46"/>
      <c r="AI158" s="45"/>
      <c r="AJ158" s="45"/>
      <c r="AK158" s="45"/>
      <c r="AL158" s="3" t="s">
        <v>1582</v>
      </c>
    </row>
    <row r="159" spans="2:38" ht="40.5" hidden="1">
      <c r="B159" s="144">
        <f t="shared" si="2"/>
        <v>156</v>
      </c>
      <c r="C159" s="148" t="s">
        <v>3732</v>
      </c>
      <c r="D159" s="148"/>
      <c r="E159" s="148"/>
      <c r="F159" s="148"/>
      <c r="G159" s="148"/>
      <c r="H159" s="148"/>
      <c r="I159" s="148"/>
      <c r="J159" s="148"/>
      <c r="K159" s="165" t="s">
        <v>3659</v>
      </c>
      <c r="L159" s="165" t="s">
        <v>3672</v>
      </c>
      <c r="M159" s="165" t="s">
        <v>3674</v>
      </c>
      <c r="N159" s="165" t="s">
        <v>3722</v>
      </c>
      <c r="O159" s="165" t="s">
        <v>1691</v>
      </c>
      <c r="P159" s="165" t="s">
        <v>1691</v>
      </c>
      <c r="Q159" s="127" t="s">
        <v>139</v>
      </c>
      <c r="R159" s="60" t="s">
        <v>1692</v>
      </c>
      <c r="S159" s="60" t="s">
        <v>1906</v>
      </c>
      <c r="T159" s="60" t="s">
        <v>161</v>
      </c>
      <c r="U159" s="48" t="s">
        <v>139</v>
      </c>
      <c r="V159" s="48" t="s">
        <v>139</v>
      </c>
      <c r="W159" s="79" t="s">
        <v>1693</v>
      </c>
      <c r="X159" s="48" t="s">
        <v>139</v>
      </c>
      <c r="Y159" s="49" t="s">
        <v>139</v>
      </c>
      <c r="Z159" s="50" t="s">
        <v>139</v>
      </c>
      <c r="AA159" s="48" t="s">
        <v>139</v>
      </c>
      <c r="AB159" s="79" t="s">
        <v>1125</v>
      </c>
      <c r="AC159" s="48" t="s">
        <v>139</v>
      </c>
      <c r="AD159" s="48" t="s">
        <v>139</v>
      </c>
      <c r="AE159" s="44"/>
      <c r="AF159" s="45"/>
      <c r="AG159" s="45"/>
      <c r="AH159" s="46"/>
      <c r="AI159" s="45"/>
      <c r="AJ159" s="45"/>
      <c r="AK159" s="45"/>
      <c r="AL159" s="3" t="s">
        <v>1582</v>
      </c>
    </row>
    <row r="160" spans="2:38" ht="40.5">
      <c r="B160" s="144">
        <f t="shared" si="2"/>
        <v>157</v>
      </c>
      <c r="C160" s="148" t="s">
        <v>3731</v>
      </c>
      <c r="D160" s="148"/>
      <c r="E160" s="148"/>
      <c r="F160" s="148"/>
      <c r="G160" s="148"/>
      <c r="H160" s="148"/>
      <c r="I160" s="148"/>
      <c r="J160" s="148"/>
      <c r="K160" s="165" t="s">
        <v>3659</v>
      </c>
      <c r="L160" s="165" t="s">
        <v>3672</v>
      </c>
      <c r="M160" s="165" t="s">
        <v>3674</v>
      </c>
      <c r="N160" s="165" t="s">
        <v>3722</v>
      </c>
      <c r="O160" s="165" t="s">
        <v>3415</v>
      </c>
      <c r="P160" s="165" t="s">
        <v>1620</v>
      </c>
      <c r="Q160" s="126" t="s">
        <v>1127</v>
      </c>
      <c r="R160" s="40" t="s">
        <v>1619</v>
      </c>
      <c r="S160" s="40" t="s">
        <v>1621</v>
      </c>
      <c r="T160" s="40" t="s">
        <v>161</v>
      </c>
      <c r="U160" s="41" t="s">
        <v>139</v>
      </c>
      <c r="V160" s="41" t="s">
        <v>139</v>
      </c>
      <c r="W160" s="41" t="s">
        <v>1128</v>
      </c>
      <c r="X160" s="41" t="s">
        <v>139</v>
      </c>
      <c r="Y160" s="42" t="s">
        <v>139</v>
      </c>
      <c r="Z160" s="43" t="s">
        <v>139</v>
      </c>
      <c r="AA160" s="41" t="s">
        <v>139</v>
      </c>
      <c r="AB160" s="41" t="s">
        <v>1125</v>
      </c>
      <c r="AC160" s="41" t="s">
        <v>139</v>
      </c>
      <c r="AD160" s="41" t="s">
        <v>139</v>
      </c>
      <c r="AE160" s="44"/>
      <c r="AF160" s="196" t="s">
        <v>2124</v>
      </c>
      <c r="AG160" s="45"/>
      <c r="AH160" s="189"/>
      <c r="AI160" s="45"/>
      <c r="AJ160" s="45"/>
      <c r="AK160" s="45"/>
      <c r="AL160" s="3" t="s">
        <v>1582</v>
      </c>
    </row>
    <row r="161" spans="2:38" ht="40.5" hidden="1">
      <c r="B161" s="144">
        <f t="shared" si="2"/>
        <v>158</v>
      </c>
      <c r="C161" s="148" t="s">
        <v>3732</v>
      </c>
      <c r="D161" s="148"/>
      <c r="E161" s="148"/>
      <c r="F161" s="148"/>
      <c r="G161" s="148"/>
      <c r="H161" s="148"/>
      <c r="I161" s="148"/>
      <c r="J161" s="148"/>
      <c r="K161" s="165" t="s">
        <v>3659</v>
      </c>
      <c r="L161" s="165" t="s">
        <v>3672</v>
      </c>
      <c r="M161" s="165" t="s">
        <v>3674</v>
      </c>
      <c r="N161" s="165" t="s">
        <v>3722</v>
      </c>
      <c r="O161" s="165" t="s">
        <v>1627</v>
      </c>
      <c r="P161" s="165" t="s">
        <v>1627</v>
      </c>
      <c r="Q161" s="127" t="s">
        <v>139</v>
      </c>
      <c r="R161" s="60" t="s">
        <v>1699</v>
      </c>
      <c r="S161" s="60" t="s">
        <v>1898</v>
      </c>
      <c r="T161" s="60" t="s">
        <v>161</v>
      </c>
      <c r="U161" s="48" t="s">
        <v>139</v>
      </c>
      <c r="V161" s="48" t="s">
        <v>139</v>
      </c>
      <c r="W161" s="79" t="s">
        <v>1700</v>
      </c>
      <c r="X161" s="48" t="s">
        <v>139</v>
      </c>
      <c r="Y161" s="49" t="s">
        <v>139</v>
      </c>
      <c r="Z161" s="50" t="s">
        <v>139</v>
      </c>
      <c r="AA161" s="48" t="s">
        <v>139</v>
      </c>
      <c r="AB161" s="79" t="s">
        <v>1125</v>
      </c>
      <c r="AC161" s="48" t="s">
        <v>139</v>
      </c>
      <c r="AD161" s="48" t="s">
        <v>139</v>
      </c>
      <c r="AE161" s="44"/>
      <c r="AF161" s="45"/>
      <c r="AG161" s="45"/>
      <c r="AH161" s="46"/>
      <c r="AI161" s="45"/>
      <c r="AJ161" s="45"/>
      <c r="AK161" s="45"/>
      <c r="AL161" s="3" t="s">
        <v>1582</v>
      </c>
    </row>
    <row r="162" spans="2:38" ht="40.5">
      <c r="B162" s="144">
        <f t="shared" si="2"/>
        <v>159</v>
      </c>
      <c r="C162" s="148" t="s">
        <v>3731</v>
      </c>
      <c r="D162" s="148"/>
      <c r="E162" s="148"/>
      <c r="F162" s="148"/>
      <c r="G162" s="148"/>
      <c r="H162" s="148"/>
      <c r="I162" s="148"/>
      <c r="J162" s="148"/>
      <c r="K162" s="165" t="s">
        <v>3659</v>
      </c>
      <c r="L162" s="165" t="s">
        <v>3672</v>
      </c>
      <c r="M162" s="165" t="s">
        <v>3674</v>
      </c>
      <c r="N162" s="165" t="s">
        <v>3722</v>
      </c>
      <c r="O162" s="165" t="s">
        <v>3403</v>
      </c>
      <c r="P162" s="165" t="s">
        <v>1884</v>
      </c>
      <c r="Q162" s="126" t="s">
        <v>139</v>
      </c>
      <c r="R162" s="40" t="s">
        <v>1885</v>
      </c>
      <c r="S162" s="40" t="s">
        <v>1886</v>
      </c>
      <c r="T162" s="40" t="s">
        <v>1666</v>
      </c>
      <c r="U162" s="41" t="s">
        <v>139</v>
      </c>
      <c r="V162" s="41" t="s">
        <v>139</v>
      </c>
      <c r="W162" s="41" t="s">
        <v>1887</v>
      </c>
      <c r="X162" s="41" t="s">
        <v>139</v>
      </c>
      <c r="Y162" s="42" t="s">
        <v>139</v>
      </c>
      <c r="Z162" s="43" t="s">
        <v>139</v>
      </c>
      <c r="AA162" s="41" t="s">
        <v>139</v>
      </c>
      <c r="AB162" s="41" t="s">
        <v>1125</v>
      </c>
      <c r="AC162" s="41" t="s">
        <v>139</v>
      </c>
      <c r="AD162" s="41" t="s">
        <v>139</v>
      </c>
      <c r="AE162" s="44"/>
      <c r="AF162" s="196" t="s">
        <v>2124</v>
      </c>
      <c r="AG162" s="45"/>
      <c r="AH162" s="189">
        <v>1</v>
      </c>
      <c r="AI162" s="45" t="s">
        <v>3989</v>
      </c>
      <c r="AJ162" s="40" t="s">
        <v>1886</v>
      </c>
      <c r="AK162" s="40" t="s">
        <v>1666</v>
      </c>
      <c r="AL162" s="3" t="s">
        <v>1582</v>
      </c>
    </row>
    <row r="163" spans="2:38" ht="40.5" hidden="1">
      <c r="B163" s="144">
        <f t="shared" si="2"/>
        <v>160</v>
      </c>
      <c r="C163" s="148" t="s">
        <v>3732</v>
      </c>
      <c r="D163" s="148"/>
      <c r="E163" s="148"/>
      <c r="F163" s="148"/>
      <c r="G163" s="148"/>
      <c r="H163" s="148"/>
      <c r="I163" s="148"/>
      <c r="J163" s="148"/>
      <c r="K163" s="165" t="s">
        <v>3659</v>
      </c>
      <c r="L163" s="165" t="s">
        <v>3672</v>
      </c>
      <c r="M163" s="165" t="s">
        <v>3674</v>
      </c>
      <c r="N163" s="165" t="s">
        <v>3722</v>
      </c>
      <c r="O163" s="165" t="s">
        <v>3422</v>
      </c>
      <c r="P163" s="165" t="s">
        <v>2115</v>
      </c>
      <c r="Q163" s="126" t="s">
        <v>1637</v>
      </c>
      <c r="R163" s="61"/>
      <c r="S163" s="62" t="s">
        <v>2116</v>
      </c>
      <c r="T163" s="61"/>
      <c r="U163" s="41" t="s">
        <v>139</v>
      </c>
      <c r="V163" s="41" t="s">
        <v>139</v>
      </c>
      <c r="W163" s="41" t="s">
        <v>139</v>
      </c>
      <c r="X163" s="41" t="s">
        <v>2123</v>
      </c>
      <c r="Y163" s="42" t="s">
        <v>139</v>
      </c>
      <c r="Z163" s="43" t="s">
        <v>139</v>
      </c>
      <c r="AA163" s="41" t="s">
        <v>139</v>
      </c>
      <c r="AB163" s="41" t="s">
        <v>139</v>
      </c>
      <c r="AC163" s="41" t="s">
        <v>711</v>
      </c>
      <c r="AD163" s="41" t="s">
        <v>139</v>
      </c>
      <c r="AE163" s="44"/>
      <c r="AF163" s="45"/>
      <c r="AG163" s="45"/>
      <c r="AH163" s="46"/>
      <c r="AI163" s="45"/>
      <c r="AJ163" s="45"/>
      <c r="AK163" s="45"/>
      <c r="AL163" s="3" t="s">
        <v>1582</v>
      </c>
    </row>
    <row r="164" spans="2:38" ht="81" hidden="1">
      <c r="B164" s="144">
        <f t="shared" si="2"/>
        <v>161</v>
      </c>
      <c r="C164" s="148" t="s">
        <v>3732</v>
      </c>
      <c r="D164" s="148"/>
      <c r="E164" s="148"/>
      <c r="F164" s="148"/>
      <c r="G164" s="148"/>
      <c r="H164" s="148"/>
      <c r="I164" s="148"/>
      <c r="J164" s="148"/>
      <c r="K164" s="165" t="s">
        <v>3659</v>
      </c>
      <c r="L164" s="165" t="s">
        <v>3672</v>
      </c>
      <c r="M164" s="165" t="s">
        <v>3674</v>
      </c>
      <c r="N164" s="165" t="s">
        <v>3722</v>
      </c>
      <c r="O164" s="165" t="s">
        <v>3423</v>
      </c>
      <c r="P164" s="165" t="s">
        <v>2049</v>
      </c>
      <c r="Q164" s="127" t="s">
        <v>139</v>
      </c>
      <c r="R164" s="60" t="s">
        <v>1814</v>
      </c>
      <c r="S164" s="60" t="s">
        <v>1900</v>
      </c>
      <c r="T164" s="60" t="s">
        <v>2050</v>
      </c>
      <c r="U164" s="48" t="s">
        <v>139</v>
      </c>
      <c r="V164" s="48" t="s">
        <v>139</v>
      </c>
      <c r="W164" s="79" t="s">
        <v>1815</v>
      </c>
      <c r="X164" s="48" t="s">
        <v>139</v>
      </c>
      <c r="Y164" s="49" t="s">
        <v>139</v>
      </c>
      <c r="Z164" s="50" t="s">
        <v>139</v>
      </c>
      <c r="AA164" s="48" t="s">
        <v>139</v>
      </c>
      <c r="AB164" s="79" t="s">
        <v>1125</v>
      </c>
      <c r="AC164" s="48" t="s">
        <v>139</v>
      </c>
      <c r="AD164" s="48" t="s">
        <v>139</v>
      </c>
      <c r="AE164" s="44"/>
      <c r="AF164" s="45"/>
      <c r="AG164" s="45"/>
      <c r="AH164" s="46"/>
      <c r="AI164" s="45"/>
      <c r="AJ164" s="45"/>
      <c r="AK164" s="45"/>
      <c r="AL164" s="3" t="s">
        <v>1582</v>
      </c>
    </row>
    <row r="165" spans="2:38" ht="40.5" hidden="1">
      <c r="B165" s="144">
        <f t="shared" si="2"/>
        <v>162</v>
      </c>
      <c r="C165" s="148" t="s">
        <v>3732</v>
      </c>
      <c r="D165" s="148"/>
      <c r="E165" s="148"/>
      <c r="F165" s="148"/>
      <c r="G165" s="148"/>
      <c r="H165" s="148"/>
      <c r="I165" s="148"/>
      <c r="J165" s="148"/>
      <c r="K165" s="165" t="s">
        <v>3659</v>
      </c>
      <c r="L165" s="165" t="s">
        <v>3672</v>
      </c>
      <c r="M165" s="165" t="s">
        <v>3674</v>
      </c>
      <c r="N165" s="165" t="s">
        <v>3722</v>
      </c>
      <c r="O165" s="165" t="s">
        <v>3424</v>
      </c>
      <c r="P165" s="165" t="s">
        <v>2020</v>
      </c>
      <c r="Q165" s="126" t="s">
        <v>1897</v>
      </c>
      <c r="R165" s="40" t="s">
        <v>1925</v>
      </c>
      <c r="S165" s="40"/>
      <c r="T165" s="40" t="s">
        <v>822</v>
      </c>
      <c r="U165" s="41" t="s">
        <v>139</v>
      </c>
      <c r="V165" s="41" t="s">
        <v>139</v>
      </c>
      <c r="W165" s="41" t="s">
        <v>1083</v>
      </c>
      <c r="X165" s="41" t="s">
        <v>139</v>
      </c>
      <c r="Y165" s="42" t="s">
        <v>1891</v>
      </c>
      <c r="Z165" s="43" t="s">
        <v>139</v>
      </c>
      <c r="AA165" s="41" t="s">
        <v>139</v>
      </c>
      <c r="AB165" s="41" t="s">
        <v>1084</v>
      </c>
      <c r="AC165" s="41" t="s">
        <v>139</v>
      </c>
      <c r="AD165" s="41" t="s">
        <v>1596</v>
      </c>
      <c r="AE165" s="44"/>
      <c r="AF165" s="45"/>
      <c r="AG165" s="45"/>
      <c r="AH165" s="46"/>
      <c r="AI165" s="45"/>
      <c r="AJ165" s="45"/>
      <c r="AK165" s="45"/>
      <c r="AL165" s="3" t="s">
        <v>1582</v>
      </c>
    </row>
    <row r="166" spans="2:38" ht="40.5" hidden="1">
      <c r="B166" s="144">
        <f t="shared" si="2"/>
        <v>163</v>
      </c>
      <c r="C166" s="148" t="s">
        <v>3732</v>
      </c>
      <c r="D166" s="148"/>
      <c r="E166" s="148"/>
      <c r="F166" s="148"/>
      <c r="G166" s="148"/>
      <c r="H166" s="148"/>
      <c r="I166" s="148"/>
      <c r="J166" s="148"/>
      <c r="K166" s="165" t="s">
        <v>3659</v>
      </c>
      <c r="L166" s="165" t="s">
        <v>3672</v>
      </c>
      <c r="M166" s="165" t="s">
        <v>3674</v>
      </c>
      <c r="N166" s="165" t="s">
        <v>3722</v>
      </c>
      <c r="O166" s="165" t="s">
        <v>3425</v>
      </c>
      <c r="P166" s="165" t="s">
        <v>2021</v>
      </c>
      <c r="Q166" s="126" t="s">
        <v>1637</v>
      </c>
      <c r="R166" s="62" t="s">
        <v>2029</v>
      </c>
      <c r="S166" s="40"/>
      <c r="T166" s="40" t="s">
        <v>2023</v>
      </c>
      <c r="U166" s="41" t="s">
        <v>139</v>
      </c>
      <c r="V166" s="41" t="s">
        <v>139</v>
      </c>
      <c r="W166" s="41" t="s">
        <v>139</v>
      </c>
      <c r="X166" s="41" t="s">
        <v>139</v>
      </c>
      <c r="Y166" s="42" t="s">
        <v>1891</v>
      </c>
      <c r="Z166" s="43" t="s">
        <v>139</v>
      </c>
      <c r="AA166" s="41" t="s">
        <v>139</v>
      </c>
      <c r="AB166" s="41" t="s">
        <v>139</v>
      </c>
      <c r="AC166" s="41" t="s">
        <v>139</v>
      </c>
      <c r="AD166" s="41" t="s">
        <v>1596</v>
      </c>
      <c r="AE166" s="44"/>
      <c r="AF166" s="45"/>
      <c r="AG166" s="45"/>
      <c r="AH166" s="46"/>
      <c r="AI166" s="45"/>
      <c r="AJ166" s="45"/>
      <c r="AK166" s="45"/>
      <c r="AL166" s="3" t="s">
        <v>1582</v>
      </c>
    </row>
    <row r="167" spans="2:38" ht="40.5" hidden="1">
      <c r="B167" s="144">
        <f t="shared" si="2"/>
        <v>164</v>
      </c>
      <c r="C167" s="148" t="s">
        <v>3732</v>
      </c>
      <c r="D167" s="148"/>
      <c r="E167" s="148"/>
      <c r="F167" s="148"/>
      <c r="G167" s="148"/>
      <c r="H167" s="148"/>
      <c r="I167" s="148"/>
      <c r="J167" s="148"/>
      <c r="K167" s="165" t="s">
        <v>3659</v>
      </c>
      <c r="L167" s="165" t="s">
        <v>3672</v>
      </c>
      <c r="M167" s="165" t="s">
        <v>3674</v>
      </c>
      <c r="N167" s="165" t="s">
        <v>3722</v>
      </c>
      <c r="O167" s="165" t="s">
        <v>3426</v>
      </c>
      <c r="P167" s="165" t="s">
        <v>2022</v>
      </c>
      <c r="Q167" s="126" t="s">
        <v>1637</v>
      </c>
      <c r="R167" s="62" t="s">
        <v>2027</v>
      </c>
      <c r="S167" s="62" t="s">
        <v>2028</v>
      </c>
      <c r="T167" s="40" t="s">
        <v>2024</v>
      </c>
      <c r="U167" s="41" t="s">
        <v>139</v>
      </c>
      <c r="V167" s="41" t="s">
        <v>139</v>
      </c>
      <c r="W167" s="41" t="s">
        <v>139</v>
      </c>
      <c r="X167" s="41" t="s">
        <v>139</v>
      </c>
      <c r="Y167" s="42" t="s">
        <v>1891</v>
      </c>
      <c r="Z167" s="43" t="s">
        <v>139</v>
      </c>
      <c r="AA167" s="41" t="s">
        <v>139</v>
      </c>
      <c r="AB167" s="41" t="s">
        <v>139</v>
      </c>
      <c r="AC167" s="41" t="s">
        <v>139</v>
      </c>
      <c r="AD167" s="41" t="s">
        <v>1596</v>
      </c>
      <c r="AE167" s="44"/>
      <c r="AF167" s="45"/>
      <c r="AG167" s="45"/>
      <c r="AH167" s="46"/>
      <c r="AI167" s="45"/>
      <c r="AJ167" s="45"/>
      <c r="AK167" s="45"/>
      <c r="AL167" s="3" t="s">
        <v>1582</v>
      </c>
    </row>
    <row r="168" spans="2:38" ht="54">
      <c r="B168" s="144">
        <f t="shared" si="2"/>
        <v>165</v>
      </c>
      <c r="C168" s="148" t="s">
        <v>3731</v>
      </c>
      <c r="D168" s="148"/>
      <c r="E168" s="148"/>
      <c r="F168" s="148"/>
      <c r="G168" s="148"/>
      <c r="H168" s="148"/>
      <c r="I168" s="148"/>
      <c r="J168" s="148"/>
      <c r="K168" s="165" t="s">
        <v>3659</v>
      </c>
      <c r="L168" s="165" t="s">
        <v>3672</v>
      </c>
      <c r="M168" s="165" t="s">
        <v>3674</v>
      </c>
      <c r="N168" s="165" t="s">
        <v>3723</v>
      </c>
      <c r="O168" s="165" t="s">
        <v>3357</v>
      </c>
      <c r="P168" s="165" t="s">
        <v>1951</v>
      </c>
      <c r="Q168" s="126" t="s">
        <v>1637</v>
      </c>
      <c r="R168" s="40" t="s">
        <v>2971</v>
      </c>
      <c r="S168" s="40" t="s">
        <v>1952</v>
      </c>
      <c r="T168" s="40" t="s">
        <v>2081</v>
      </c>
      <c r="U168" s="41" t="s">
        <v>139</v>
      </c>
      <c r="V168" s="41" t="s">
        <v>139</v>
      </c>
      <c r="W168" s="41" t="s">
        <v>1083</v>
      </c>
      <c r="X168" s="41" t="s">
        <v>139</v>
      </c>
      <c r="Y168" s="42" t="s">
        <v>139</v>
      </c>
      <c r="Z168" s="43" t="s">
        <v>139</v>
      </c>
      <c r="AA168" s="41" t="s">
        <v>139</v>
      </c>
      <c r="AB168" s="41" t="s">
        <v>1084</v>
      </c>
      <c r="AC168" s="41" t="s">
        <v>139</v>
      </c>
      <c r="AD168" s="41" t="s">
        <v>139</v>
      </c>
      <c r="AE168" s="44" t="s">
        <v>2033</v>
      </c>
      <c r="AF168" s="196" t="s">
        <v>2124</v>
      </c>
      <c r="AG168" s="45"/>
      <c r="AH168" s="189"/>
      <c r="AI168" s="45"/>
      <c r="AJ168" s="45"/>
      <c r="AK168" s="45"/>
      <c r="AL168" s="3" t="s">
        <v>1582</v>
      </c>
    </row>
    <row r="169" spans="2:38" ht="40.5" hidden="1">
      <c r="B169" s="144">
        <f t="shared" si="2"/>
        <v>166</v>
      </c>
      <c r="C169" s="148" t="s">
        <v>3732</v>
      </c>
      <c r="D169" s="148"/>
      <c r="E169" s="148"/>
      <c r="F169" s="148"/>
      <c r="G169" s="148"/>
      <c r="H169" s="148"/>
      <c r="I169" s="148"/>
      <c r="J169" s="148"/>
      <c r="K169" s="165" t="s">
        <v>3659</v>
      </c>
      <c r="L169" s="165" t="s">
        <v>3672</v>
      </c>
      <c r="M169" s="165" t="s">
        <v>3674</v>
      </c>
      <c r="N169" s="165" t="s">
        <v>3723</v>
      </c>
      <c r="O169" s="165" t="s">
        <v>3416</v>
      </c>
      <c r="P169" s="165" t="s">
        <v>3098</v>
      </c>
      <c r="Q169" s="126" t="s">
        <v>2144</v>
      </c>
      <c r="R169" s="40" t="s">
        <v>2145</v>
      </c>
      <c r="S169" s="40"/>
      <c r="T169" s="40" t="s">
        <v>2171</v>
      </c>
      <c r="U169" s="41" t="s">
        <v>139</v>
      </c>
      <c r="V169" s="41" t="s">
        <v>139</v>
      </c>
      <c r="W169" s="41" t="s">
        <v>139</v>
      </c>
      <c r="X169" s="41" t="s">
        <v>2173</v>
      </c>
      <c r="Y169" s="42" t="s">
        <v>139</v>
      </c>
      <c r="Z169" s="43" t="s">
        <v>139</v>
      </c>
      <c r="AA169" s="41" t="s">
        <v>139</v>
      </c>
      <c r="AB169" s="41" t="s">
        <v>139</v>
      </c>
      <c r="AC169" s="41" t="s">
        <v>2172</v>
      </c>
      <c r="AD169" s="41" t="s">
        <v>139</v>
      </c>
      <c r="AE169" s="44"/>
      <c r="AF169" s="45"/>
      <c r="AG169" s="45"/>
      <c r="AH169" s="46"/>
      <c r="AI169" s="45"/>
      <c r="AJ169" s="45"/>
      <c r="AK169" s="45"/>
      <c r="AL169" s="3" t="s">
        <v>1582</v>
      </c>
    </row>
    <row r="170" spans="2:38" ht="40.5" hidden="1">
      <c r="B170" s="144">
        <f t="shared" si="2"/>
        <v>167</v>
      </c>
      <c r="C170" s="148" t="s">
        <v>3732</v>
      </c>
      <c r="D170" s="148"/>
      <c r="E170" s="148"/>
      <c r="F170" s="148"/>
      <c r="G170" s="148"/>
      <c r="H170" s="148"/>
      <c r="I170" s="148"/>
      <c r="J170" s="148"/>
      <c r="K170" s="165" t="s">
        <v>3659</v>
      </c>
      <c r="L170" s="165" t="s">
        <v>3672</v>
      </c>
      <c r="M170" s="165" t="s">
        <v>3674</v>
      </c>
      <c r="N170" s="165" t="s">
        <v>3723</v>
      </c>
      <c r="O170" s="165" t="s">
        <v>2165</v>
      </c>
      <c r="P170" s="165" t="s">
        <v>2165</v>
      </c>
      <c r="Q170" s="126" t="s">
        <v>1637</v>
      </c>
      <c r="R170" s="40" t="s">
        <v>2166</v>
      </c>
      <c r="S170" s="40"/>
      <c r="T170" s="40" t="s">
        <v>2171</v>
      </c>
      <c r="U170" s="41" t="s">
        <v>139</v>
      </c>
      <c r="V170" s="41" t="s">
        <v>139</v>
      </c>
      <c r="W170" s="41" t="s">
        <v>139</v>
      </c>
      <c r="X170" s="41" t="s">
        <v>2173</v>
      </c>
      <c r="Y170" s="42" t="s">
        <v>139</v>
      </c>
      <c r="Z170" s="43" t="s">
        <v>139</v>
      </c>
      <c r="AA170" s="41" t="s">
        <v>139</v>
      </c>
      <c r="AB170" s="41" t="s">
        <v>139</v>
      </c>
      <c r="AC170" s="41" t="s">
        <v>2172</v>
      </c>
      <c r="AD170" s="41" t="s">
        <v>139</v>
      </c>
      <c r="AE170" s="44"/>
      <c r="AF170" s="45"/>
      <c r="AG170" s="45"/>
      <c r="AH170" s="46"/>
      <c r="AI170" s="45"/>
      <c r="AJ170" s="45"/>
      <c r="AK170" s="45"/>
      <c r="AL170" s="3" t="s">
        <v>1582</v>
      </c>
    </row>
    <row r="171" spans="2:38" ht="40.5" hidden="1">
      <c r="B171" s="144">
        <f t="shared" si="2"/>
        <v>168</v>
      </c>
      <c r="C171" s="148" t="s">
        <v>3732</v>
      </c>
      <c r="D171" s="148"/>
      <c r="E171" s="148"/>
      <c r="F171" s="148"/>
      <c r="G171" s="148"/>
      <c r="H171" s="148"/>
      <c r="I171" s="148"/>
      <c r="J171" s="148"/>
      <c r="K171" s="165" t="s">
        <v>3659</v>
      </c>
      <c r="L171" s="165" t="s">
        <v>3672</v>
      </c>
      <c r="M171" s="165" t="s">
        <v>3674</v>
      </c>
      <c r="N171" s="165" t="s">
        <v>3723</v>
      </c>
      <c r="O171" s="165" t="s">
        <v>2167</v>
      </c>
      <c r="P171" s="165" t="s">
        <v>2167</v>
      </c>
      <c r="Q171" s="126" t="s">
        <v>1637</v>
      </c>
      <c r="R171" s="40" t="s">
        <v>2168</v>
      </c>
      <c r="S171" s="40"/>
      <c r="T171" s="40" t="s">
        <v>2171</v>
      </c>
      <c r="U171" s="41" t="s">
        <v>139</v>
      </c>
      <c r="V171" s="41" t="s">
        <v>139</v>
      </c>
      <c r="W171" s="41" t="s">
        <v>139</v>
      </c>
      <c r="X171" s="41" t="s">
        <v>2173</v>
      </c>
      <c r="Y171" s="42" t="s">
        <v>139</v>
      </c>
      <c r="Z171" s="43" t="s">
        <v>139</v>
      </c>
      <c r="AA171" s="41" t="s">
        <v>139</v>
      </c>
      <c r="AB171" s="41" t="s">
        <v>139</v>
      </c>
      <c r="AC171" s="41" t="s">
        <v>2172</v>
      </c>
      <c r="AD171" s="41" t="s">
        <v>139</v>
      </c>
      <c r="AE171" s="44"/>
      <c r="AF171" s="45"/>
      <c r="AG171" s="45"/>
      <c r="AH171" s="46"/>
      <c r="AI171" s="45"/>
      <c r="AJ171" s="45"/>
      <c r="AK171" s="45"/>
      <c r="AL171" s="3" t="s">
        <v>1582</v>
      </c>
    </row>
    <row r="172" spans="2:38" ht="40.5" hidden="1">
      <c r="B172" s="144">
        <f t="shared" si="2"/>
        <v>169</v>
      </c>
      <c r="C172" s="148" t="s">
        <v>3732</v>
      </c>
      <c r="D172" s="148"/>
      <c r="E172" s="148"/>
      <c r="F172" s="148"/>
      <c r="G172" s="148"/>
      <c r="H172" s="148"/>
      <c r="I172" s="148"/>
      <c r="J172" s="148"/>
      <c r="K172" s="165" t="s">
        <v>3659</v>
      </c>
      <c r="L172" s="165" t="s">
        <v>3672</v>
      </c>
      <c r="M172" s="165" t="s">
        <v>3674</v>
      </c>
      <c r="N172" s="165" t="s">
        <v>3723</v>
      </c>
      <c r="O172" s="165" t="s">
        <v>2163</v>
      </c>
      <c r="P172" s="165" t="s">
        <v>2163</v>
      </c>
      <c r="Q172" s="126" t="s">
        <v>1637</v>
      </c>
      <c r="R172" s="40" t="s">
        <v>2164</v>
      </c>
      <c r="S172" s="40"/>
      <c r="T172" s="40" t="s">
        <v>2171</v>
      </c>
      <c r="U172" s="41" t="s">
        <v>139</v>
      </c>
      <c r="V172" s="41" t="s">
        <v>139</v>
      </c>
      <c r="W172" s="41" t="s">
        <v>139</v>
      </c>
      <c r="X172" s="41" t="s">
        <v>2173</v>
      </c>
      <c r="Y172" s="42" t="s">
        <v>139</v>
      </c>
      <c r="Z172" s="43" t="s">
        <v>139</v>
      </c>
      <c r="AA172" s="41" t="s">
        <v>139</v>
      </c>
      <c r="AB172" s="41" t="s">
        <v>139</v>
      </c>
      <c r="AC172" s="41" t="s">
        <v>2172</v>
      </c>
      <c r="AD172" s="41" t="s">
        <v>139</v>
      </c>
      <c r="AE172" s="44"/>
      <c r="AF172" s="45"/>
      <c r="AG172" s="45"/>
      <c r="AH172" s="46"/>
      <c r="AI172" s="45"/>
      <c r="AJ172" s="45"/>
      <c r="AK172" s="45"/>
      <c r="AL172" s="3" t="s">
        <v>1582</v>
      </c>
    </row>
    <row r="173" spans="2:38" ht="40.5" hidden="1">
      <c r="B173" s="144">
        <f t="shared" si="2"/>
        <v>170</v>
      </c>
      <c r="C173" s="148" t="s">
        <v>3732</v>
      </c>
      <c r="D173" s="148"/>
      <c r="E173" s="148"/>
      <c r="F173" s="148"/>
      <c r="G173" s="148"/>
      <c r="H173" s="148"/>
      <c r="I173" s="148"/>
      <c r="J173" s="148"/>
      <c r="K173" s="165" t="s">
        <v>3659</v>
      </c>
      <c r="L173" s="165" t="s">
        <v>3672</v>
      </c>
      <c r="M173" s="165" t="s">
        <v>3674</v>
      </c>
      <c r="N173" s="165" t="s">
        <v>3723</v>
      </c>
      <c r="O173" s="165" t="s">
        <v>3417</v>
      </c>
      <c r="P173" s="165" t="s">
        <v>3045</v>
      </c>
      <c r="Q173" s="126" t="s">
        <v>1637</v>
      </c>
      <c r="R173" s="40" t="s">
        <v>2154</v>
      </c>
      <c r="S173" s="40"/>
      <c r="T173" s="40" t="s">
        <v>2171</v>
      </c>
      <c r="U173" s="41" t="s">
        <v>139</v>
      </c>
      <c r="V173" s="41" t="s">
        <v>139</v>
      </c>
      <c r="W173" s="41" t="s">
        <v>139</v>
      </c>
      <c r="X173" s="41" t="s">
        <v>2173</v>
      </c>
      <c r="Y173" s="42" t="s">
        <v>139</v>
      </c>
      <c r="Z173" s="43" t="s">
        <v>139</v>
      </c>
      <c r="AA173" s="41" t="s">
        <v>139</v>
      </c>
      <c r="AB173" s="41" t="s">
        <v>139</v>
      </c>
      <c r="AC173" s="41" t="s">
        <v>2172</v>
      </c>
      <c r="AD173" s="41" t="s">
        <v>139</v>
      </c>
      <c r="AE173" s="44"/>
      <c r="AF173" s="45"/>
      <c r="AG173" s="45"/>
      <c r="AH173" s="46"/>
      <c r="AI173" s="45"/>
      <c r="AJ173" s="45"/>
      <c r="AK173" s="45"/>
      <c r="AL173" s="3" t="s">
        <v>1582</v>
      </c>
    </row>
    <row r="174" spans="2:38" ht="40.5" hidden="1">
      <c r="B174" s="144">
        <f t="shared" si="2"/>
        <v>171</v>
      </c>
      <c r="C174" s="148" t="s">
        <v>3732</v>
      </c>
      <c r="D174" s="148"/>
      <c r="E174" s="148"/>
      <c r="F174" s="148"/>
      <c r="G174" s="148"/>
      <c r="H174" s="148"/>
      <c r="I174" s="148"/>
      <c r="J174" s="148"/>
      <c r="K174" s="165" t="s">
        <v>3659</v>
      </c>
      <c r="L174" s="165" t="s">
        <v>3672</v>
      </c>
      <c r="M174" s="165" t="s">
        <v>3674</v>
      </c>
      <c r="N174" s="165" t="s">
        <v>3723</v>
      </c>
      <c r="O174" s="165" t="s">
        <v>3418</v>
      </c>
      <c r="P174" s="165" t="s">
        <v>2335</v>
      </c>
      <c r="Q174" s="126" t="s">
        <v>1637</v>
      </c>
      <c r="R174" s="40" t="s">
        <v>2336</v>
      </c>
      <c r="S174" s="40"/>
      <c r="T174" s="40" t="s">
        <v>2171</v>
      </c>
      <c r="U174" s="41" t="s">
        <v>139</v>
      </c>
      <c r="V174" s="41" t="s">
        <v>139</v>
      </c>
      <c r="W174" s="41" t="s">
        <v>139</v>
      </c>
      <c r="X174" s="41" t="s">
        <v>2334</v>
      </c>
      <c r="Y174" s="42" t="s">
        <v>139</v>
      </c>
      <c r="Z174" s="43" t="s">
        <v>139</v>
      </c>
      <c r="AA174" s="41" t="s">
        <v>139</v>
      </c>
      <c r="AB174" s="41" t="s">
        <v>139</v>
      </c>
      <c r="AC174" s="41" t="s">
        <v>708</v>
      </c>
      <c r="AD174" s="41" t="s">
        <v>139</v>
      </c>
      <c r="AE174" s="44"/>
      <c r="AF174" s="45"/>
      <c r="AG174" s="45"/>
      <c r="AH174" s="46"/>
      <c r="AI174" s="45"/>
      <c r="AJ174" s="45"/>
      <c r="AK174" s="45"/>
      <c r="AL174" s="3" t="s">
        <v>1582</v>
      </c>
    </row>
    <row r="175" spans="2:38" ht="40.5" hidden="1">
      <c r="B175" s="144">
        <f t="shared" si="2"/>
        <v>172</v>
      </c>
      <c r="C175" s="148" t="s">
        <v>3732</v>
      </c>
      <c r="D175" s="148"/>
      <c r="E175" s="148"/>
      <c r="F175" s="148"/>
      <c r="G175" s="148"/>
      <c r="H175" s="148"/>
      <c r="I175" s="148"/>
      <c r="J175" s="148"/>
      <c r="K175" s="165" t="s">
        <v>3659</v>
      </c>
      <c r="L175" s="165" t="s">
        <v>3672</v>
      </c>
      <c r="M175" s="165" t="s">
        <v>3674</v>
      </c>
      <c r="N175" s="165" t="s">
        <v>3723</v>
      </c>
      <c r="O175" s="165" t="s">
        <v>2146</v>
      </c>
      <c r="P175" s="165" t="s">
        <v>2146</v>
      </c>
      <c r="Q175" s="126" t="s">
        <v>2147</v>
      </c>
      <c r="R175" s="40" t="s">
        <v>2148</v>
      </c>
      <c r="S175" s="40"/>
      <c r="T175" s="40" t="s">
        <v>2171</v>
      </c>
      <c r="U175" s="41" t="s">
        <v>139</v>
      </c>
      <c r="V175" s="41" t="s">
        <v>139</v>
      </c>
      <c r="W175" s="41" t="s">
        <v>139</v>
      </c>
      <c r="X175" s="41" t="s">
        <v>2173</v>
      </c>
      <c r="Y175" s="42" t="s">
        <v>139</v>
      </c>
      <c r="Z175" s="43" t="s">
        <v>139</v>
      </c>
      <c r="AA175" s="41" t="s">
        <v>139</v>
      </c>
      <c r="AB175" s="41" t="s">
        <v>139</v>
      </c>
      <c r="AC175" s="41" t="s">
        <v>2172</v>
      </c>
      <c r="AD175" s="41" t="s">
        <v>139</v>
      </c>
      <c r="AE175" s="44"/>
      <c r="AF175" s="45"/>
      <c r="AG175" s="45"/>
      <c r="AH175" s="46"/>
      <c r="AI175" s="45"/>
      <c r="AJ175" s="45"/>
      <c r="AK175" s="45"/>
      <c r="AL175" s="3" t="s">
        <v>1582</v>
      </c>
    </row>
    <row r="176" spans="2:38" ht="81" hidden="1">
      <c r="B176" s="144">
        <f t="shared" si="2"/>
        <v>173</v>
      </c>
      <c r="C176" s="148" t="s">
        <v>3732</v>
      </c>
      <c r="D176" s="148"/>
      <c r="E176" s="148"/>
      <c r="F176" s="148"/>
      <c r="G176" s="148"/>
      <c r="H176" s="148"/>
      <c r="I176" s="148"/>
      <c r="J176" s="148"/>
      <c r="K176" s="165" t="s">
        <v>3659</v>
      </c>
      <c r="L176" s="165" t="s">
        <v>3672</v>
      </c>
      <c r="M176" s="165" t="s">
        <v>3674</v>
      </c>
      <c r="N176" s="165" t="s">
        <v>3723</v>
      </c>
      <c r="O176" s="165" t="s">
        <v>1754</v>
      </c>
      <c r="P176" s="165" t="s">
        <v>1754</v>
      </c>
      <c r="Q176" s="127" t="s">
        <v>139</v>
      </c>
      <c r="R176" s="60" t="s">
        <v>1755</v>
      </c>
      <c r="S176" s="60" t="s">
        <v>1956</v>
      </c>
      <c r="T176" s="60" t="s">
        <v>1756</v>
      </c>
      <c r="U176" s="48" t="s">
        <v>139</v>
      </c>
      <c r="V176" s="48" t="s">
        <v>139</v>
      </c>
      <c r="W176" s="79" t="s">
        <v>1757</v>
      </c>
      <c r="X176" s="48" t="s">
        <v>139</v>
      </c>
      <c r="Y176" s="49" t="s">
        <v>139</v>
      </c>
      <c r="Z176" s="50" t="s">
        <v>139</v>
      </c>
      <c r="AA176" s="48" t="s">
        <v>139</v>
      </c>
      <c r="AB176" s="79" t="s">
        <v>1125</v>
      </c>
      <c r="AC176" s="48" t="s">
        <v>139</v>
      </c>
      <c r="AD176" s="48" t="s">
        <v>139</v>
      </c>
      <c r="AE176" s="44"/>
      <c r="AF176" s="45"/>
      <c r="AG176" s="45"/>
      <c r="AH176" s="46"/>
      <c r="AI176" s="45"/>
      <c r="AJ176" s="45"/>
      <c r="AK176" s="45"/>
      <c r="AL176" s="3" t="s">
        <v>1582</v>
      </c>
    </row>
    <row r="177" spans="2:38" ht="40.5" hidden="1">
      <c r="B177" s="144">
        <f t="shared" si="2"/>
        <v>174</v>
      </c>
      <c r="C177" s="148" t="s">
        <v>3732</v>
      </c>
      <c r="D177" s="148"/>
      <c r="E177" s="148"/>
      <c r="F177" s="148"/>
      <c r="G177" s="148"/>
      <c r="H177" s="148"/>
      <c r="I177" s="148"/>
      <c r="J177" s="148"/>
      <c r="K177" s="165" t="s">
        <v>3659</v>
      </c>
      <c r="L177" s="165" t="s">
        <v>3672</v>
      </c>
      <c r="M177" s="165" t="s">
        <v>3674</v>
      </c>
      <c r="N177" s="165" t="s">
        <v>3723</v>
      </c>
      <c r="O177" s="165" t="s">
        <v>2152</v>
      </c>
      <c r="P177" s="165" t="s">
        <v>2152</v>
      </c>
      <c r="Q177" s="126" t="s">
        <v>1637</v>
      </c>
      <c r="R177" s="40" t="s">
        <v>2153</v>
      </c>
      <c r="S177" s="40"/>
      <c r="T177" s="40" t="s">
        <v>2171</v>
      </c>
      <c r="U177" s="41" t="s">
        <v>139</v>
      </c>
      <c r="V177" s="41" t="s">
        <v>139</v>
      </c>
      <c r="W177" s="41" t="s">
        <v>139</v>
      </c>
      <c r="X177" s="41" t="s">
        <v>2173</v>
      </c>
      <c r="Y177" s="42" t="s">
        <v>139</v>
      </c>
      <c r="Z177" s="43" t="s">
        <v>139</v>
      </c>
      <c r="AA177" s="41" t="s">
        <v>139</v>
      </c>
      <c r="AB177" s="41" t="s">
        <v>139</v>
      </c>
      <c r="AC177" s="41" t="s">
        <v>2172</v>
      </c>
      <c r="AD177" s="41" t="s">
        <v>139</v>
      </c>
      <c r="AE177" s="44"/>
      <c r="AF177" s="45"/>
      <c r="AG177" s="45"/>
      <c r="AH177" s="46"/>
      <c r="AI177" s="45"/>
      <c r="AJ177" s="45"/>
      <c r="AK177" s="45"/>
      <c r="AL177" s="3" t="s">
        <v>1582</v>
      </c>
    </row>
    <row r="178" spans="2:38" ht="40.5" hidden="1">
      <c r="B178" s="144">
        <f t="shared" si="2"/>
        <v>175</v>
      </c>
      <c r="C178" s="148" t="s">
        <v>3732</v>
      </c>
      <c r="D178" s="148"/>
      <c r="E178" s="148"/>
      <c r="F178" s="148"/>
      <c r="G178" s="148"/>
      <c r="H178" s="148"/>
      <c r="I178" s="148"/>
      <c r="J178" s="148"/>
      <c r="K178" s="165" t="s">
        <v>3659</v>
      </c>
      <c r="L178" s="165" t="s">
        <v>3672</v>
      </c>
      <c r="M178" s="165" t="s">
        <v>3674</v>
      </c>
      <c r="N178" s="165" t="s">
        <v>3723</v>
      </c>
      <c r="O178" s="165" t="s">
        <v>3419</v>
      </c>
      <c r="P178" s="165" t="s">
        <v>2339</v>
      </c>
      <c r="Q178" s="126" t="s">
        <v>1637</v>
      </c>
      <c r="R178" s="40" t="s">
        <v>2340</v>
      </c>
      <c r="S178" s="40"/>
      <c r="T178" s="40" t="s">
        <v>2171</v>
      </c>
      <c r="U178" s="41" t="s">
        <v>139</v>
      </c>
      <c r="V178" s="41" t="s">
        <v>139</v>
      </c>
      <c r="W178" s="41" t="s">
        <v>139</v>
      </c>
      <c r="X178" s="41" t="s">
        <v>2334</v>
      </c>
      <c r="Y178" s="42" t="s">
        <v>139</v>
      </c>
      <c r="Z178" s="43" t="s">
        <v>139</v>
      </c>
      <c r="AA178" s="41" t="s">
        <v>139</v>
      </c>
      <c r="AB178" s="41" t="s">
        <v>139</v>
      </c>
      <c r="AC178" s="41" t="s">
        <v>708</v>
      </c>
      <c r="AD178" s="41" t="s">
        <v>139</v>
      </c>
      <c r="AE178" s="44"/>
      <c r="AF178" s="45"/>
      <c r="AG178" s="45"/>
      <c r="AH178" s="46"/>
      <c r="AI178" s="45"/>
      <c r="AJ178" s="45"/>
      <c r="AK178" s="45"/>
      <c r="AL178" s="3" t="s">
        <v>1582</v>
      </c>
    </row>
    <row r="179" spans="2:38" ht="40.5" hidden="1">
      <c r="B179" s="144">
        <f t="shared" si="2"/>
        <v>176</v>
      </c>
      <c r="C179" s="148" t="s">
        <v>3732</v>
      </c>
      <c r="D179" s="148"/>
      <c r="E179" s="148"/>
      <c r="F179" s="148"/>
      <c r="G179" s="148"/>
      <c r="H179" s="148"/>
      <c r="I179" s="148"/>
      <c r="J179" s="148"/>
      <c r="K179" s="165" t="s">
        <v>3659</v>
      </c>
      <c r="L179" s="165" t="s">
        <v>3672</v>
      </c>
      <c r="M179" s="165" t="s">
        <v>3674</v>
      </c>
      <c r="N179" s="165" t="s">
        <v>3723</v>
      </c>
      <c r="O179" s="165" t="s">
        <v>2149</v>
      </c>
      <c r="P179" s="165" t="s">
        <v>2149</v>
      </c>
      <c r="Q179" s="126" t="s">
        <v>1637</v>
      </c>
      <c r="R179" s="40" t="s">
        <v>2150</v>
      </c>
      <c r="S179" s="40" t="s">
        <v>2151</v>
      </c>
      <c r="T179" s="40" t="s">
        <v>2171</v>
      </c>
      <c r="U179" s="41" t="s">
        <v>139</v>
      </c>
      <c r="V179" s="41" t="s">
        <v>139</v>
      </c>
      <c r="W179" s="41" t="s">
        <v>139</v>
      </c>
      <c r="X179" s="41" t="s">
        <v>2173</v>
      </c>
      <c r="Y179" s="42" t="s">
        <v>139</v>
      </c>
      <c r="Z179" s="43" t="s">
        <v>139</v>
      </c>
      <c r="AA179" s="41" t="s">
        <v>139</v>
      </c>
      <c r="AB179" s="41" t="s">
        <v>139</v>
      </c>
      <c r="AC179" s="41" t="s">
        <v>2172</v>
      </c>
      <c r="AD179" s="41" t="s">
        <v>139</v>
      </c>
      <c r="AE179" s="44"/>
      <c r="AF179" s="45"/>
      <c r="AG179" s="45"/>
      <c r="AH179" s="46"/>
      <c r="AI179" s="45"/>
      <c r="AJ179" s="45"/>
      <c r="AK179" s="45"/>
      <c r="AL179" s="3" t="s">
        <v>1582</v>
      </c>
    </row>
    <row r="180" spans="2:38" ht="40.5" hidden="1">
      <c r="B180" s="144">
        <f t="shared" si="2"/>
        <v>177</v>
      </c>
      <c r="C180" s="148" t="s">
        <v>3732</v>
      </c>
      <c r="D180" s="148"/>
      <c r="E180" s="148"/>
      <c r="F180" s="148"/>
      <c r="G180" s="148"/>
      <c r="H180" s="148"/>
      <c r="I180" s="148"/>
      <c r="J180" s="148"/>
      <c r="K180" s="165" t="s">
        <v>3659</v>
      </c>
      <c r="L180" s="165" t="s">
        <v>3672</v>
      </c>
      <c r="M180" s="165" t="s">
        <v>3674</v>
      </c>
      <c r="N180" s="165" t="s">
        <v>3723</v>
      </c>
      <c r="O180" s="165" t="s">
        <v>3420</v>
      </c>
      <c r="P180" s="165" t="s">
        <v>2341</v>
      </c>
      <c r="Q180" s="126" t="s">
        <v>1637</v>
      </c>
      <c r="R180" s="40" t="s">
        <v>2342</v>
      </c>
      <c r="S180" s="40"/>
      <c r="T180" s="40" t="s">
        <v>2171</v>
      </c>
      <c r="U180" s="41" t="s">
        <v>139</v>
      </c>
      <c r="V180" s="41" t="s">
        <v>139</v>
      </c>
      <c r="W180" s="41" t="s">
        <v>139</v>
      </c>
      <c r="X180" s="41" t="s">
        <v>2334</v>
      </c>
      <c r="Y180" s="42" t="s">
        <v>139</v>
      </c>
      <c r="Z180" s="43" t="s">
        <v>139</v>
      </c>
      <c r="AA180" s="41" t="s">
        <v>139</v>
      </c>
      <c r="AB180" s="41" t="s">
        <v>139</v>
      </c>
      <c r="AC180" s="41" t="s">
        <v>708</v>
      </c>
      <c r="AD180" s="41" t="s">
        <v>139</v>
      </c>
      <c r="AE180" s="44"/>
      <c r="AF180" s="45"/>
      <c r="AG180" s="45"/>
      <c r="AH180" s="46"/>
      <c r="AI180" s="45"/>
      <c r="AJ180" s="45"/>
      <c r="AK180" s="45"/>
      <c r="AL180" s="3" t="s">
        <v>1582</v>
      </c>
    </row>
    <row r="181" spans="2:38" ht="40.5" hidden="1">
      <c r="B181" s="144">
        <f t="shared" si="2"/>
        <v>178</v>
      </c>
      <c r="C181" s="148" t="s">
        <v>3732</v>
      </c>
      <c r="D181" s="148"/>
      <c r="E181" s="148"/>
      <c r="F181" s="148"/>
      <c r="G181" s="148"/>
      <c r="H181" s="148"/>
      <c r="I181" s="148"/>
      <c r="J181" s="148"/>
      <c r="K181" s="165" t="s">
        <v>3659</v>
      </c>
      <c r="L181" s="165" t="s">
        <v>3672</v>
      </c>
      <c r="M181" s="165" t="s">
        <v>3674</v>
      </c>
      <c r="N181" s="165" t="s">
        <v>3723</v>
      </c>
      <c r="O181" s="165" t="s">
        <v>2155</v>
      </c>
      <c r="P181" s="165" t="s">
        <v>2155</v>
      </c>
      <c r="Q181" s="126" t="s">
        <v>2156</v>
      </c>
      <c r="R181" s="40" t="s">
        <v>2157</v>
      </c>
      <c r="S181" s="40"/>
      <c r="T181" s="40" t="s">
        <v>2171</v>
      </c>
      <c r="U181" s="41" t="s">
        <v>139</v>
      </c>
      <c r="V181" s="41" t="s">
        <v>139</v>
      </c>
      <c r="W181" s="41" t="s">
        <v>139</v>
      </c>
      <c r="X181" s="41" t="s">
        <v>2173</v>
      </c>
      <c r="Y181" s="42" t="s">
        <v>139</v>
      </c>
      <c r="Z181" s="43" t="s">
        <v>139</v>
      </c>
      <c r="AA181" s="41" t="s">
        <v>139</v>
      </c>
      <c r="AB181" s="41" t="s">
        <v>139</v>
      </c>
      <c r="AC181" s="41" t="s">
        <v>2172</v>
      </c>
      <c r="AD181" s="41" t="s">
        <v>139</v>
      </c>
      <c r="AE181" s="44"/>
      <c r="AF181" s="45"/>
      <c r="AG181" s="45"/>
      <c r="AH181" s="46"/>
      <c r="AI181" s="45"/>
      <c r="AJ181" s="45"/>
      <c r="AK181" s="45"/>
      <c r="AL181" s="3" t="s">
        <v>1582</v>
      </c>
    </row>
    <row r="182" spans="2:38" ht="40.5" hidden="1">
      <c r="B182" s="144">
        <f t="shared" si="2"/>
        <v>179</v>
      </c>
      <c r="C182" s="148" t="s">
        <v>3732</v>
      </c>
      <c r="D182" s="148"/>
      <c r="E182" s="148"/>
      <c r="F182" s="148"/>
      <c r="G182" s="148"/>
      <c r="H182" s="148"/>
      <c r="I182" s="148"/>
      <c r="J182" s="148"/>
      <c r="K182" s="165" t="s">
        <v>3659</v>
      </c>
      <c r="L182" s="165" t="s">
        <v>3672</v>
      </c>
      <c r="M182" s="165" t="s">
        <v>3674</v>
      </c>
      <c r="N182" s="165" t="s">
        <v>3723</v>
      </c>
      <c r="O182" s="165" t="s">
        <v>3421</v>
      </c>
      <c r="P182" s="165" t="s">
        <v>2337</v>
      </c>
      <c r="Q182" s="126" t="s">
        <v>1637</v>
      </c>
      <c r="R182" s="40" t="s">
        <v>2338</v>
      </c>
      <c r="S182" s="40"/>
      <c r="T182" s="40" t="s">
        <v>2171</v>
      </c>
      <c r="U182" s="41" t="s">
        <v>139</v>
      </c>
      <c r="V182" s="41" t="s">
        <v>139</v>
      </c>
      <c r="W182" s="41" t="s">
        <v>139</v>
      </c>
      <c r="X182" s="41" t="s">
        <v>2334</v>
      </c>
      <c r="Y182" s="42" t="s">
        <v>139</v>
      </c>
      <c r="Z182" s="43" t="s">
        <v>139</v>
      </c>
      <c r="AA182" s="41" t="s">
        <v>139</v>
      </c>
      <c r="AB182" s="41" t="s">
        <v>139</v>
      </c>
      <c r="AC182" s="41" t="s">
        <v>708</v>
      </c>
      <c r="AD182" s="41" t="s">
        <v>139</v>
      </c>
      <c r="AE182" s="44"/>
      <c r="AF182" s="45"/>
      <c r="AG182" s="45"/>
      <c r="AH182" s="46"/>
      <c r="AI182" s="45"/>
      <c r="AJ182" s="45"/>
      <c r="AK182" s="45"/>
      <c r="AL182" s="3" t="s">
        <v>1582</v>
      </c>
    </row>
    <row r="183" spans="2:38" ht="40.5" hidden="1">
      <c r="B183" s="144">
        <f t="shared" si="2"/>
        <v>180</v>
      </c>
      <c r="C183" s="148" t="s">
        <v>3732</v>
      </c>
      <c r="D183" s="148"/>
      <c r="E183" s="148"/>
      <c r="F183" s="148"/>
      <c r="G183" s="148"/>
      <c r="H183" s="148"/>
      <c r="I183" s="148"/>
      <c r="J183" s="148"/>
      <c r="K183" s="165" t="s">
        <v>3659</v>
      </c>
      <c r="L183" s="165" t="s">
        <v>3672</v>
      </c>
      <c r="M183" s="165" t="s">
        <v>3674</v>
      </c>
      <c r="N183" s="165" t="s">
        <v>3723</v>
      </c>
      <c r="O183" s="165" t="s">
        <v>2142</v>
      </c>
      <c r="P183" s="165" t="s">
        <v>2142</v>
      </c>
      <c r="Q183" s="126" t="s">
        <v>2329</v>
      </c>
      <c r="R183" s="40" t="s">
        <v>2143</v>
      </c>
      <c r="S183" s="40"/>
      <c r="T183" s="40" t="s">
        <v>2171</v>
      </c>
      <c r="U183" s="41" t="s">
        <v>139</v>
      </c>
      <c r="V183" s="41" t="s">
        <v>139</v>
      </c>
      <c r="W183" s="41" t="s">
        <v>139</v>
      </c>
      <c r="X183" s="41" t="s">
        <v>2173</v>
      </c>
      <c r="Y183" s="42" t="s">
        <v>139</v>
      </c>
      <c r="Z183" s="43" t="s">
        <v>139</v>
      </c>
      <c r="AA183" s="41" t="s">
        <v>139</v>
      </c>
      <c r="AB183" s="41" t="s">
        <v>139</v>
      </c>
      <c r="AC183" s="41" t="s">
        <v>2331</v>
      </c>
      <c r="AD183" s="41" t="s">
        <v>139</v>
      </c>
      <c r="AE183" s="44"/>
      <c r="AF183" s="45"/>
      <c r="AG183" s="45"/>
      <c r="AH183" s="46"/>
      <c r="AI183" s="45"/>
      <c r="AJ183" s="45"/>
      <c r="AK183" s="45"/>
      <c r="AL183" s="3" t="s">
        <v>1582</v>
      </c>
    </row>
    <row r="184" spans="2:38" ht="40.5" hidden="1">
      <c r="B184" s="144">
        <f t="shared" si="2"/>
        <v>181</v>
      </c>
      <c r="C184" s="148" t="s">
        <v>3732</v>
      </c>
      <c r="D184" s="148"/>
      <c r="E184" s="148"/>
      <c r="F184" s="148"/>
      <c r="G184" s="148"/>
      <c r="H184" s="148"/>
      <c r="I184" s="148"/>
      <c r="J184" s="148"/>
      <c r="K184" s="165" t="s">
        <v>3659</v>
      </c>
      <c r="L184" s="165" t="s">
        <v>3672</v>
      </c>
      <c r="M184" s="165" t="s">
        <v>3674</v>
      </c>
      <c r="N184" s="165" t="s">
        <v>3723</v>
      </c>
      <c r="O184" s="165" t="s">
        <v>2161</v>
      </c>
      <c r="P184" s="165" t="s">
        <v>2161</v>
      </c>
      <c r="Q184" s="126" t="s">
        <v>1637</v>
      </c>
      <c r="R184" s="40" t="s">
        <v>2162</v>
      </c>
      <c r="S184" s="40"/>
      <c r="T184" s="40" t="s">
        <v>2171</v>
      </c>
      <c r="U184" s="41" t="s">
        <v>139</v>
      </c>
      <c r="V184" s="41" t="s">
        <v>139</v>
      </c>
      <c r="W184" s="41" t="s">
        <v>139</v>
      </c>
      <c r="X184" s="41" t="s">
        <v>2173</v>
      </c>
      <c r="Y184" s="42" t="s">
        <v>139</v>
      </c>
      <c r="Z184" s="43" t="s">
        <v>139</v>
      </c>
      <c r="AA184" s="41" t="s">
        <v>139</v>
      </c>
      <c r="AB184" s="41" t="s">
        <v>139</v>
      </c>
      <c r="AC184" s="41" t="s">
        <v>2172</v>
      </c>
      <c r="AD184" s="41" t="s">
        <v>139</v>
      </c>
      <c r="AE184" s="44"/>
      <c r="AF184" s="45"/>
      <c r="AG184" s="45"/>
      <c r="AH184" s="46"/>
      <c r="AI184" s="45"/>
      <c r="AJ184" s="45"/>
      <c r="AK184" s="45"/>
      <c r="AL184" s="3" t="s">
        <v>1582</v>
      </c>
    </row>
    <row r="185" spans="2:38" ht="40.5" hidden="1">
      <c r="B185" s="144">
        <f t="shared" si="2"/>
        <v>182</v>
      </c>
      <c r="C185" s="148" t="s">
        <v>3732</v>
      </c>
      <c r="D185" s="148"/>
      <c r="E185" s="148"/>
      <c r="F185" s="148"/>
      <c r="G185" s="148"/>
      <c r="H185" s="148"/>
      <c r="I185" s="148"/>
      <c r="J185" s="148"/>
      <c r="K185" s="165" t="s">
        <v>3659</v>
      </c>
      <c r="L185" s="165" t="s">
        <v>3672</v>
      </c>
      <c r="M185" s="165" t="s">
        <v>3674</v>
      </c>
      <c r="N185" s="165" t="s">
        <v>3723</v>
      </c>
      <c r="O185" s="165" t="s">
        <v>2158</v>
      </c>
      <c r="P185" s="165" t="s">
        <v>2158</v>
      </c>
      <c r="Q185" s="126" t="s">
        <v>1637</v>
      </c>
      <c r="R185" s="40" t="s">
        <v>2159</v>
      </c>
      <c r="S185" s="40" t="s">
        <v>2160</v>
      </c>
      <c r="T185" s="40" t="s">
        <v>2171</v>
      </c>
      <c r="U185" s="41" t="s">
        <v>139</v>
      </c>
      <c r="V185" s="41" t="s">
        <v>139</v>
      </c>
      <c r="W185" s="41" t="s">
        <v>139</v>
      </c>
      <c r="X185" s="41" t="s">
        <v>2173</v>
      </c>
      <c r="Y185" s="42" t="s">
        <v>139</v>
      </c>
      <c r="Z185" s="43" t="s">
        <v>139</v>
      </c>
      <c r="AA185" s="41" t="s">
        <v>139</v>
      </c>
      <c r="AB185" s="41" t="s">
        <v>139</v>
      </c>
      <c r="AC185" s="41" t="s">
        <v>2172</v>
      </c>
      <c r="AD185" s="41" t="s">
        <v>139</v>
      </c>
      <c r="AE185" s="44"/>
      <c r="AF185" s="45"/>
      <c r="AG185" s="45"/>
      <c r="AH185" s="46"/>
      <c r="AI185" s="45"/>
      <c r="AJ185" s="45"/>
      <c r="AK185" s="45"/>
      <c r="AL185" s="3" t="s">
        <v>1582</v>
      </c>
    </row>
    <row r="186" spans="2:38" ht="40.5" hidden="1">
      <c r="B186" s="144">
        <f t="shared" si="2"/>
        <v>183</v>
      </c>
      <c r="C186" s="148" t="s">
        <v>3732</v>
      </c>
      <c r="D186" s="148"/>
      <c r="E186" s="148"/>
      <c r="F186" s="148"/>
      <c r="G186" s="148"/>
      <c r="H186" s="148"/>
      <c r="I186" s="148"/>
      <c r="J186" s="148"/>
      <c r="K186" s="165" t="s">
        <v>3659</v>
      </c>
      <c r="L186" s="165" t="s">
        <v>3672</v>
      </c>
      <c r="M186" s="165" t="s">
        <v>3674</v>
      </c>
      <c r="N186" s="165" t="s">
        <v>3723</v>
      </c>
      <c r="O186" s="165" t="s">
        <v>1091</v>
      </c>
      <c r="P186" s="165" t="s">
        <v>1091</v>
      </c>
      <c r="Q186" s="126" t="s">
        <v>139</v>
      </c>
      <c r="R186" s="40" t="s">
        <v>1092</v>
      </c>
      <c r="S186" s="40"/>
      <c r="T186" s="40" t="s">
        <v>822</v>
      </c>
      <c r="U186" s="41" t="s">
        <v>139</v>
      </c>
      <c r="V186" s="41" t="s">
        <v>139</v>
      </c>
      <c r="W186" s="41" t="s">
        <v>1083</v>
      </c>
      <c r="X186" s="41" t="s">
        <v>139</v>
      </c>
      <c r="Y186" s="42" t="s">
        <v>139</v>
      </c>
      <c r="Z186" s="43" t="s">
        <v>139</v>
      </c>
      <c r="AA186" s="41" t="s">
        <v>139</v>
      </c>
      <c r="AB186" s="41" t="s">
        <v>1093</v>
      </c>
      <c r="AC186" s="41" t="s">
        <v>139</v>
      </c>
      <c r="AD186" s="41" t="s">
        <v>139</v>
      </c>
      <c r="AE186" s="44"/>
      <c r="AF186" s="45"/>
      <c r="AG186" s="45"/>
      <c r="AH186" s="46"/>
      <c r="AI186" s="45"/>
      <c r="AJ186" s="45"/>
      <c r="AK186" s="45"/>
      <c r="AL186" s="3" t="s">
        <v>1582</v>
      </c>
    </row>
    <row r="187" spans="2:38" ht="40.5" hidden="1">
      <c r="B187" s="144">
        <f t="shared" si="2"/>
        <v>184</v>
      </c>
      <c r="C187" s="148" t="s">
        <v>3732</v>
      </c>
      <c r="D187" s="148"/>
      <c r="E187" s="148"/>
      <c r="F187" s="148"/>
      <c r="G187" s="148"/>
      <c r="H187" s="148"/>
      <c r="I187" s="148"/>
      <c r="J187" s="148"/>
      <c r="K187" s="165" t="s">
        <v>3659</v>
      </c>
      <c r="L187" s="165" t="s">
        <v>3672</v>
      </c>
      <c r="M187" s="165" t="s">
        <v>3674</v>
      </c>
      <c r="N187" s="165" t="s">
        <v>3723</v>
      </c>
      <c r="O187" s="165" t="s">
        <v>3405</v>
      </c>
      <c r="P187" s="165" t="s">
        <v>2343</v>
      </c>
      <c r="Q187" s="126" t="s">
        <v>1637</v>
      </c>
      <c r="R187" s="40" t="s">
        <v>2344</v>
      </c>
      <c r="S187" s="40" t="s">
        <v>2345</v>
      </c>
      <c r="T187" s="40" t="s">
        <v>2171</v>
      </c>
      <c r="U187" s="41" t="s">
        <v>139</v>
      </c>
      <c r="V187" s="41" t="s">
        <v>139</v>
      </c>
      <c r="W187" s="41" t="s">
        <v>139</v>
      </c>
      <c r="X187" s="41" t="s">
        <v>2334</v>
      </c>
      <c r="Y187" s="42" t="s">
        <v>139</v>
      </c>
      <c r="Z187" s="43" t="s">
        <v>139</v>
      </c>
      <c r="AA187" s="41" t="s">
        <v>139</v>
      </c>
      <c r="AB187" s="41" t="s">
        <v>139</v>
      </c>
      <c r="AC187" s="41" t="s">
        <v>2330</v>
      </c>
      <c r="AD187" s="41" t="s">
        <v>139</v>
      </c>
      <c r="AE187" s="44"/>
      <c r="AF187" s="45"/>
      <c r="AG187" s="45"/>
      <c r="AH187" s="46"/>
      <c r="AI187" s="45"/>
      <c r="AJ187" s="45"/>
      <c r="AK187" s="45"/>
      <c r="AL187" s="3" t="s">
        <v>1582</v>
      </c>
    </row>
    <row r="188" spans="2:38" ht="40.5" hidden="1">
      <c r="B188" s="144">
        <f t="shared" si="2"/>
        <v>185</v>
      </c>
      <c r="C188" s="148" t="s">
        <v>3732</v>
      </c>
      <c r="D188" s="148"/>
      <c r="E188" s="148"/>
      <c r="F188" s="148"/>
      <c r="G188" s="148"/>
      <c r="H188" s="148"/>
      <c r="I188" s="148"/>
      <c r="J188" s="148"/>
      <c r="K188" s="165" t="s">
        <v>3659</v>
      </c>
      <c r="L188" s="165" t="s">
        <v>3672</v>
      </c>
      <c r="M188" s="165" t="s">
        <v>3674</v>
      </c>
      <c r="N188" s="165" t="s">
        <v>3723</v>
      </c>
      <c r="O188" s="165" t="s">
        <v>3406</v>
      </c>
      <c r="P188" s="165" t="s">
        <v>2348</v>
      </c>
      <c r="Q188" s="126" t="s">
        <v>3089</v>
      </c>
      <c r="R188" s="40" t="s">
        <v>3088</v>
      </c>
      <c r="S188" s="40" t="s">
        <v>3087</v>
      </c>
      <c r="T188" s="40" t="s">
        <v>2171</v>
      </c>
      <c r="U188" s="41" t="s">
        <v>139</v>
      </c>
      <c r="V188" s="41" t="s">
        <v>139</v>
      </c>
      <c r="W188" s="41" t="s">
        <v>139</v>
      </c>
      <c r="X188" s="41" t="s">
        <v>3085</v>
      </c>
      <c r="Y188" s="42" t="s">
        <v>139</v>
      </c>
      <c r="Z188" s="43" t="s">
        <v>139</v>
      </c>
      <c r="AA188" s="41" t="s">
        <v>139</v>
      </c>
      <c r="AB188" s="41" t="s">
        <v>139</v>
      </c>
      <c r="AC188" s="41" t="s">
        <v>3086</v>
      </c>
      <c r="AD188" s="41" t="s">
        <v>139</v>
      </c>
      <c r="AE188" s="44"/>
      <c r="AF188" s="45"/>
      <c r="AG188" s="45"/>
      <c r="AH188" s="46"/>
      <c r="AI188" s="45"/>
      <c r="AJ188" s="45"/>
      <c r="AK188" s="45"/>
      <c r="AL188" s="3" t="s">
        <v>1582</v>
      </c>
    </row>
    <row r="189" spans="2:38" ht="40.5" hidden="1">
      <c r="B189" s="144">
        <f t="shared" si="2"/>
        <v>186</v>
      </c>
      <c r="C189" s="148" t="s">
        <v>3732</v>
      </c>
      <c r="D189" s="148"/>
      <c r="E189" s="148"/>
      <c r="F189" s="148"/>
      <c r="G189" s="148"/>
      <c r="H189" s="148"/>
      <c r="I189" s="148"/>
      <c r="J189" s="148"/>
      <c r="K189" s="165" t="s">
        <v>3659</v>
      </c>
      <c r="L189" s="165" t="s">
        <v>3672</v>
      </c>
      <c r="M189" s="165" t="s">
        <v>3674</v>
      </c>
      <c r="N189" s="165" t="s">
        <v>3723</v>
      </c>
      <c r="O189" s="165" t="s">
        <v>3407</v>
      </c>
      <c r="P189" s="165" t="s">
        <v>2346</v>
      </c>
      <c r="Q189" s="126" t="s">
        <v>1637</v>
      </c>
      <c r="R189" s="40" t="s">
        <v>2347</v>
      </c>
      <c r="S189" s="40"/>
      <c r="T189" s="40" t="s">
        <v>2171</v>
      </c>
      <c r="U189" s="41" t="s">
        <v>139</v>
      </c>
      <c r="V189" s="41" t="s">
        <v>139</v>
      </c>
      <c r="W189" s="41" t="s">
        <v>139</v>
      </c>
      <c r="X189" s="41" t="s">
        <v>2334</v>
      </c>
      <c r="Y189" s="42" t="s">
        <v>139</v>
      </c>
      <c r="Z189" s="43" t="s">
        <v>139</v>
      </c>
      <c r="AA189" s="41" t="s">
        <v>139</v>
      </c>
      <c r="AB189" s="41" t="s">
        <v>139</v>
      </c>
      <c r="AC189" s="41" t="s">
        <v>2330</v>
      </c>
      <c r="AD189" s="41" t="s">
        <v>139</v>
      </c>
      <c r="AE189" s="44"/>
      <c r="AF189" s="45"/>
      <c r="AG189" s="45"/>
      <c r="AH189" s="46"/>
      <c r="AI189" s="45"/>
      <c r="AJ189" s="45"/>
      <c r="AK189" s="45"/>
      <c r="AL189" s="3" t="s">
        <v>1582</v>
      </c>
    </row>
    <row r="190" spans="2:38" ht="40.5" hidden="1">
      <c r="B190" s="144">
        <f t="shared" si="2"/>
        <v>187</v>
      </c>
      <c r="C190" s="148" t="s">
        <v>3732</v>
      </c>
      <c r="D190" s="148"/>
      <c r="E190" s="148"/>
      <c r="F190" s="148"/>
      <c r="G190" s="148"/>
      <c r="H190" s="148"/>
      <c r="I190" s="148"/>
      <c r="J190" s="148"/>
      <c r="K190" s="165" t="s">
        <v>3659</v>
      </c>
      <c r="L190" s="165" t="s">
        <v>3672</v>
      </c>
      <c r="M190" s="165" t="s">
        <v>3674</v>
      </c>
      <c r="N190" s="165" t="s">
        <v>3723</v>
      </c>
      <c r="O190" s="165" t="s">
        <v>2360</v>
      </c>
      <c r="P190" s="165" t="s">
        <v>2360</v>
      </c>
      <c r="Q190" s="126" t="s">
        <v>1637</v>
      </c>
      <c r="R190" s="40" t="s">
        <v>2361</v>
      </c>
      <c r="S190" s="59"/>
      <c r="T190" s="40" t="s">
        <v>2137</v>
      </c>
      <c r="U190" s="41" t="s">
        <v>139</v>
      </c>
      <c r="V190" s="41" t="s">
        <v>139</v>
      </c>
      <c r="W190" s="41" t="s">
        <v>139</v>
      </c>
      <c r="X190" s="41" t="s">
        <v>2190</v>
      </c>
      <c r="Y190" s="42" t="s">
        <v>139</v>
      </c>
      <c r="Z190" s="43" t="s">
        <v>139</v>
      </c>
      <c r="AA190" s="41" t="s">
        <v>139</v>
      </c>
      <c r="AB190" s="41" t="s">
        <v>139</v>
      </c>
      <c r="AC190" s="41" t="s">
        <v>2357</v>
      </c>
      <c r="AD190" s="41" t="s">
        <v>139</v>
      </c>
      <c r="AE190" s="44"/>
      <c r="AF190" s="45"/>
      <c r="AG190" s="45"/>
      <c r="AH190" s="46"/>
      <c r="AI190" s="45"/>
      <c r="AJ190" s="45"/>
      <c r="AK190" s="45"/>
      <c r="AL190" s="3" t="s">
        <v>1582</v>
      </c>
    </row>
    <row r="191" spans="2:38" ht="40.5" hidden="1">
      <c r="B191" s="144">
        <f t="shared" si="2"/>
        <v>188</v>
      </c>
      <c r="C191" s="148" t="s">
        <v>3732</v>
      </c>
      <c r="D191" s="148"/>
      <c r="E191" s="148"/>
      <c r="F191" s="148"/>
      <c r="G191" s="148"/>
      <c r="H191" s="148"/>
      <c r="I191" s="148"/>
      <c r="J191" s="148"/>
      <c r="K191" s="165" t="s">
        <v>3659</v>
      </c>
      <c r="L191" s="165" t="s">
        <v>3672</v>
      </c>
      <c r="M191" s="165" t="s">
        <v>3675</v>
      </c>
      <c r="N191" s="165" t="s">
        <v>3711</v>
      </c>
      <c r="O191" s="165" t="s">
        <v>3451</v>
      </c>
      <c r="P191" s="165" t="s">
        <v>2944</v>
      </c>
      <c r="Q191" s="126" t="s">
        <v>1637</v>
      </c>
      <c r="R191" s="40" t="s">
        <v>2945</v>
      </c>
      <c r="S191" s="40" t="s">
        <v>2946</v>
      </c>
      <c r="T191" s="40" t="s">
        <v>2947</v>
      </c>
      <c r="U191" s="41" t="s">
        <v>2948</v>
      </c>
      <c r="V191" s="41" t="s">
        <v>139</v>
      </c>
      <c r="W191" s="41" t="s">
        <v>139</v>
      </c>
      <c r="X191" s="41" t="s">
        <v>139</v>
      </c>
      <c r="Y191" s="42" t="s">
        <v>139</v>
      </c>
      <c r="Z191" s="43" t="s">
        <v>2935</v>
      </c>
      <c r="AA191" s="41" t="s">
        <v>139</v>
      </c>
      <c r="AB191" s="41" t="s">
        <v>139</v>
      </c>
      <c r="AC191" s="41" t="s">
        <v>139</v>
      </c>
      <c r="AD191" s="41" t="s">
        <v>139</v>
      </c>
      <c r="AE191" s="44"/>
      <c r="AF191" s="45"/>
      <c r="AG191" s="45"/>
      <c r="AH191" s="46"/>
      <c r="AI191" s="45"/>
      <c r="AJ191" s="45"/>
      <c r="AK191" s="45"/>
      <c r="AL191" s="3" t="s">
        <v>1582</v>
      </c>
    </row>
    <row r="192" spans="2:38" ht="40.5" hidden="1">
      <c r="B192" s="144">
        <f t="shared" si="2"/>
        <v>189</v>
      </c>
      <c r="C192" s="148" t="s">
        <v>3732</v>
      </c>
      <c r="D192" s="148"/>
      <c r="E192" s="148"/>
      <c r="F192" s="148"/>
      <c r="G192" s="148"/>
      <c r="H192" s="148"/>
      <c r="I192" s="148"/>
      <c r="J192" s="148"/>
      <c r="K192" s="165" t="s">
        <v>3659</v>
      </c>
      <c r="L192" s="165" t="s">
        <v>3672</v>
      </c>
      <c r="M192" s="165" t="s">
        <v>3675</v>
      </c>
      <c r="N192" s="165" t="s">
        <v>3711</v>
      </c>
      <c r="O192" s="165" t="s">
        <v>3452</v>
      </c>
      <c r="P192" s="165" t="s">
        <v>2950</v>
      </c>
      <c r="Q192" s="126" t="s">
        <v>1637</v>
      </c>
      <c r="R192" s="40" t="s">
        <v>2949</v>
      </c>
      <c r="S192" s="40" t="s">
        <v>2951</v>
      </c>
      <c r="T192" s="40" t="s">
        <v>2952</v>
      </c>
      <c r="U192" s="41" t="s">
        <v>2948</v>
      </c>
      <c r="V192" s="41" t="s">
        <v>139</v>
      </c>
      <c r="W192" s="41" t="s">
        <v>139</v>
      </c>
      <c r="X192" s="41" t="s">
        <v>139</v>
      </c>
      <c r="Y192" s="42" t="s">
        <v>139</v>
      </c>
      <c r="Z192" s="43" t="s">
        <v>2935</v>
      </c>
      <c r="AA192" s="41" t="s">
        <v>139</v>
      </c>
      <c r="AB192" s="41" t="s">
        <v>139</v>
      </c>
      <c r="AC192" s="41" t="s">
        <v>139</v>
      </c>
      <c r="AD192" s="41" t="s">
        <v>139</v>
      </c>
      <c r="AE192" s="44"/>
      <c r="AF192" s="45"/>
      <c r="AG192" s="45"/>
      <c r="AH192" s="46"/>
      <c r="AI192" s="45"/>
      <c r="AJ192" s="45"/>
      <c r="AK192" s="45"/>
      <c r="AL192" s="3" t="s">
        <v>1582</v>
      </c>
    </row>
    <row r="193" spans="2:38" ht="40.5" hidden="1">
      <c r="B193" s="144">
        <f t="shared" si="2"/>
        <v>190</v>
      </c>
      <c r="C193" s="148" t="s">
        <v>3732</v>
      </c>
      <c r="D193" s="148"/>
      <c r="E193" s="148"/>
      <c r="F193" s="148"/>
      <c r="G193" s="148"/>
      <c r="H193" s="148"/>
      <c r="I193" s="148"/>
      <c r="J193" s="148"/>
      <c r="K193" s="165" t="s">
        <v>3659</v>
      </c>
      <c r="L193" s="165" t="s">
        <v>3672</v>
      </c>
      <c r="M193" s="165" t="s">
        <v>3675</v>
      </c>
      <c r="N193" s="165" t="s">
        <v>3711</v>
      </c>
      <c r="O193" s="165" t="s">
        <v>3453</v>
      </c>
      <c r="P193" s="165" t="s">
        <v>2939</v>
      </c>
      <c r="Q193" s="126" t="s">
        <v>1637</v>
      </c>
      <c r="R193" s="40" t="s">
        <v>2940</v>
      </c>
      <c r="S193" s="40"/>
      <c r="T193" s="40" t="s">
        <v>2941</v>
      </c>
      <c r="U193" s="41" t="s">
        <v>2948</v>
      </c>
      <c r="V193" s="41" t="s">
        <v>139</v>
      </c>
      <c r="W193" s="41" t="s">
        <v>139</v>
      </c>
      <c r="X193" s="41" t="s">
        <v>139</v>
      </c>
      <c r="Y193" s="42" t="s">
        <v>139</v>
      </c>
      <c r="Z193" s="43" t="s">
        <v>2935</v>
      </c>
      <c r="AA193" s="41" t="s">
        <v>139</v>
      </c>
      <c r="AB193" s="41" t="s">
        <v>139</v>
      </c>
      <c r="AC193" s="41" t="s">
        <v>139</v>
      </c>
      <c r="AD193" s="41" t="s">
        <v>139</v>
      </c>
      <c r="AE193" s="44"/>
      <c r="AF193" s="45"/>
      <c r="AG193" s="45"/>
      <c r="AH193" s="46"/>
      <c r="AI193" s="45"/>
      <c r="AJ193" s="45"/>
      <c r="AK193" s="45"/>
      <c r="AL193" s="3" t="s">
        <v>1582</v>
      </c>
    </row>
    <row r="194" spans="2:38" ht="40.5" hidden="1">
      <c r="B194" s="144">
        <f t="shared" si="2"/>
        <v>191</v>
      </c>
      <c r="C194" s="148" t="s">
        <v>3732</v>
      </c>
      <c r="D194" s="148"/>
      <c r="E194" s="148"/>
      <c r="F194" s="148"/>
      <c r="G194" s="148"/>
      <c r="H194" s="148"/>
      <c r="I194" s="148"/>
      <c r="J194" s="148"/>
      <c r="K194" s="165" t="s">
        <v>3659</v>
      </c>
      <c r="L194" s="165" t="s">
        <v>3672</v>
      </c>
      <c r="M194" s="165" t="s">
        <v>3675</v>
      </c>
      <c r="N194" s="165" t="s">
        <v>3711</v>
      </c>
      <c r="O194" s="165" t="s">
        <v>3454</v>
      </c>
      <c r="P194" s="165" t="s">
        <v>2953</v>
      </c>
      <c r="Q194" s="126" t="s">
        <v>1637</v>
      </c>
      <c r="R194" s="40" t="s">
        <v>2954</v>
      </c>
      <c r="S194" s="40"/>
      <c r="T194" s="40" t="s">
        <v>1645</v>
      </c>
      <c r="U194" s="41" t="s">
        <v>2948</v>
      </c>
      <c r="V194" s="41" t="s">
        <v>139</v>
      </c>
      <c r="W194" s="41" t="s">
        <v>139</v>
      </c>
      <c r="X194" s="41" t="s">
        <v>139</v>
      </c>
      <c r="Y194" s="42" t="s">
        <v>139</v>
      </c>
      <c r="Z194" s="43" t="s">
        <v>2935</v>
      </c>
      <c r="AA194" s="41" t="s">
        <v>139</v>
      </c>
      <c r="AB194" s="41" t="s">
        <v>139</v>
      </c>
      <c r="AC194" s="41" t="s">
        <v>139</v>
      </c>
      <c r="AD194" s="41" t="s">
        <v>139</v>
      </c>
      <c r="AE194" s="44"/>
      <c r="AF194" s="45"/>
      <c r="AG194" s="45"/>
      <c r="AH194" s="46"/>
      <c r="AI194" s="45"/>
      <c r="AJ194" s="45"/>
      <c r="AK194" s="45"/>
      <c r="AL194" s="3" t="s">
        <v>1582</v>
      </c>
    </row>
    <row r="195" spans="2:38" ht="40.5" hidden="1">
      <c r="B195" s="144">
        <f t="shared" si="2"/>
        <v>192</v>
      </c>
      <c r="C195" s="148" t="s">
        <v>3732</v>
      </c>
      <c r="D195" s="148"/>
      <c r="E195" s="148"/>
      <c r="F195" s="148"/>
      <c r="G195" s="148"/>
      <c r="H195" s="148"/>
      <c r="I195" s="148"/>
      <c r="J195" s="148"/>
      <c r="K195" s="165" t="s">
        <v>3659</v>
      </c>
      <c r="L195" s="165" t="s">
        <v>3672</v>
      </c>
      <c r="M195" s="165" t="s">
        <v>3675</v>
      </c>
      <c r="N195" s="165" t="s">
        <v>3711</v>
      </c>
      <c r="O195" s="165" t="s">
        <v>3455</v>
      </c>
      <c r="P195" s="165" t="s">
        <v>2942</v>
      </c>
      <c r="Q195" s="126" t="s">
        <v>1637</v>
      </c>
      <c r="R195" s="40" t="s">
        <v>2943</v>
      </c>
      <c r="S195" s="40"/>
      <c r="T195" s="40" t="s">
        <v>2941</v>
      </c>
      <c r="U195" s="41" t="s">
        <v>2948</v>
      </c>
      <c r="V195" s="41" t="s">
        <v>139</v>
      </c>
      <c r="W195" s="41" t="s">
        <v>139</v>
      </c>
      <c r="X195" s="41" t="s">
        <v>139</v>
      </c>
      <c r="Y195" s="42" t="s">
        <v>139</v>
      </c>
      <c r="Z195" s="43" t="s">
        <v>2935</v>
      </c>
      <c r="AA195" s="41" t="s">
        <v>139</v>
      </c>
      <c r="AB195" s="41" t="s">
        <v>139</v>
      </c>
      <c r="AC195" s="41" t="s">
        <v>139</v>
      </c>
      <c r="AD195" s="41" t="s">
        <v>139</v>
      </c>
      <c r="AE195" s="44"/>
      <c r="AF195" s="45"/>
      <c r="AG195" s="45"/>
      <c r="AH195" s="46"/>
      <c r="AI195" s="45"/>
      <c r="AJ195" s="45"/>
      <c r="AK195" s="45"/>
      <c r="AL195" s="3" t="s">
        <v>1582</v>
      </c>
    </row>
    <row r="196" spans="2:38" ht="54" hidden="1">
      <c r="B196" s="144">
        <f t="shared" si="2"/>
        <v>193</v>
      </c>
      <c r="C196" s="148" t="s">
        <v>3732</v>
      </c>
      <c r="D196" s="148"/>
      <c r="E196" s="148"/>
      <c r="F196" s="148"/>
      <c r="G196" s="148"/>
      <c r="H196" s="148"/>
      <c r="I196" s="148"/>
      <c r="J196" s="148"/>
      <c r="K196" s="165" t="s">
        <v>3659</v>
      </c>
      <c r="L196" s="165" t="s">
        <v>3672</v>
      </c>
      <c r="M196" s="165" t="s">
        <v>3675</v>
      </c>
      <c r="N196" s="65" t="s">
        <v>3709</v>
      </c>
      <c r="O196" s="165" t="s">
        <v>3384</v>
      </c>
      <c r="P196" s="165" t="s">
        <v>2919</v>
      </c>
      <c r="Q196" s="126" t="s">
        <v>1637</v>
      </c>
      <c r="R196" s="40" t="s">
        <v>2918</v>
      </c>
      <c r="S196" s="62"/>
      <c r="T196" s="40" t="s">
        <v>1645</v>
      </c>
      <c r="U196" s="41" t="s">
        <v>2920</v>
      </c>
      <c r="V196" s="41" t="s">
        <v>139</v>
      </c>
      <c r="W196" s="41" t="s">
        <v>139</v>
      </c>
      <c r="X196" s="41" t="s">
        <v>139</v>
      </c>
      <c r="Y196" s="42" t="s">
        <v>139</v>
      </c>
      <c r="Z196" s="43" t="s">
        <v>117</v>
      </c>
      <c r="AA196" s="41" t="s">
        <v>139</v>
      </c>
      <c r="AB196" s="41" t="s">
        <v>139</v>
      </c>
      <c r="AC196" s="41" t="s">
        <v>139</v>
      </c>
      <c r="AD196" s="41" t="s">
        <v>139</v>
      </c>
      <c r="AE196" s="44"/>
      <c r="AF196" s="45"/>
      <c r="AG196" s="45"/>
      <c r="AH196" s="46"/>
      <c r="AI196" s="45"/>
      <c r="AJ196" s="45"/>
      <c r="AK196" s="45"/>
      <c r="AL196" s="3" t="s">
        <v>1582</v>
      </c>
    </row>
    <row r="197" spans="2:38" ht="40.5" hidden="1">
      <c r="B197" s="144">
        <f t="shared" si="2"/>
        <v>194</v>
      </c>
      <c r="C197" s="148" t="s">
        <v>3732</v>
      </c>
      <c r="D197" s="148"/>
      <c r="E197" s="148"/>
      <c r="F197" s="148"/>
      <c r="G197" s="148"/>
      <c r="H197" s="148"/>
      <c r="I197" s="148"/>
      <c r="J197" s="148"/>
      <c r="K197" s="165" t="s">
        <v>3659</v>
      </c>
      <c r="L197" s="165" t="s">
        <v>3672</v>
      </c>
      <c r="M197" s="165" t="s">
        <v>3675</v>
      </c>
      <c r="N197" s="65" t="s">
        <v>3709</v>
      </c>
      <c r="O197" s="65" t="s">
        <v>272</v>
      </c>
      <c r="P197" s="65" t="s">
        <v>272</v>
      </c>
      <c r="Q197" s="54" t="s">
        <v>139</v>
      </c>
      <c r="R197" s="41" t="s">
        <v>273</v>
      </c>
      <c r="S197" s="41" t="s">
        <v>274</v>
      </c>
      <c r="T197" s="41" t="s">
        <v>192</v>
      </c>
      <c r="U197" s="41" t="s">
        <v>275</v>
      </c>
      <c r="V197" s="41" t="s">
        <v>139</v>
      </c>
      <c r="W197" s="41" t="s">
        <v>139</v>
      </c>
      <c r="X197" s="41" t="s">
        <v>139</v>
      </c>
      <c r="Y197" s="42" t="s">
        <v>139</v>
      </c>
      <c r="Z197" s="53" t="s">
        <v>218</v>
      </c>
      <c r="AA197" s="54" t="s">
        <v>139</v>
      </c>
      <c r="AB197" s="54" t="s">
        <v>139</v>
      </c>
      <c r="AC197" s="54" t="s">
        <v>139</v>
      </c>
      <c r="AD197" s="54" t="s">
        <v>139</v>
      </c>
      <c r="AE197" s="55"/>
      <c r="AF197" s="56"/>
      <c r="AG197" s="56"/>
      <c r="AH197" s="57"/>
      <c r="AI197" s="56"/>
      <c r="AJ197" s="56"/>
      <c r="AK197" s="56"/>
      <c r="AL197" s="3" t="s">
        <v>1582</v>
      </c>
    </row>
    <row r="198" spans="2:38" ht="40.5" hidden="1">
      <c r="B198" s="144">
        <f t="shared" si="2"/>
        <v>195</v>
      </c>
      <c r="C198" s="148" t="s">
        <v>3732</v>
      </c>
      <c r="D198" s="148"/>
      <c r="E198" s="148"/>
      <c r="F198" s="148"/>
      <c r="G198" s="148"/>
      <c r="H198" s="148"/>
      <c r="I198" s="148"/>
      <c r="J198" s="148"/>
      <c r="K198" s="165" t="s">
        <v>3659</v>
      </c>
      <c r="L198" s="165" t="s">
        <v>3672</v>
      </c>
      <c r="M198" s="165" t="s">
        <v>3675</v>
      </c>
      <c r="N198" s="65" t="s">
        <v>3709</v>
      </c>
      <c r="O198" s="65" t="s">
        <v>214</v>
      </c>
      <c r="P198" s="65" t="s">
        <v>214</v>
      </c>
      <c r="Q198" s="54" t="s">
        <v>139</v>
      </c>
      <c r="R198" s="41" t="s">
        <v>215</v>
      </c>
      <c r="S198" s="41" t="s">
        <v>216</v>
      </c>
      <c r="T198" s="41" t="s">
        <v>192</v>
      </c>
      <c r="U198" s="41" t="s">
        <v>217</v>
      </c>
      <c r="V198" s="41" t="s">
        <v>139</v>
      </c>
      <c r="W198" s="41" t="s">
        <v>139</v>
      </c>
      <c r="X198" s="41" t="s">
        <v>139</v>
      </c>
      <c r="Y198" s="42" t="s">
        <v>139</v>
      </c>
      <c r="Z198" s="53" t="s">
        <v>218</v>
      </c>
      <c r="AA198" s="54" t="s">
        <v>139</v>
      </c>
      <c r="AB198" s="54" t="s">
        <v>139</v>
      </c>
      <c r="AC198" s="54" t="s">
        <v>139</v>
      </c>
      <c r="AD198" s="54" t="s">
        <v>139</v>
      </c>
      <c r="AE198" s="55"/>
      <c r="AF198" s="56"/>
      <c r="AG198" s="56"/>
      <c r="AH198" s="57"/>
      <c r="AI198" s="56"/>
      <c r="AJ198" s="56"/>
      <c r="AK198" s="56"/>
      <c r="AL198" s="3" t="s">
        <v>1582</v>
      </c>
    </row>
    <row r="199" spans="2:38" ht="40.5" hidden="1">
      <c r="B199" s="144">
        <f t="shared" si="2"/>
        <v>196</v>
      </c>
      <c r="C199" s="148" t="s">
        <v>3732</v>
      </c>
      <c r="D199" s="148"/>
      <c r="E199" s="148"/>
      <c r="F199" s="148"/>
      <c r="G199" s="148"/>
      <c r="H199" s="148"/>
      <c r="I199" s="148"/>
      <c r="J199" s="148"/>
      <c r="K199" s="165" t="s">
        <v>3659</v>
      </c>
      <c r="L199" s="165" t="s">
        <v>3672</v>
      </c>
      <c r="M199" s="165" t="s">
        <v>3675</v>
      </c>
      <c r="N199" s="65" t="s">
        <v>3709</v>
      </c>
      <c r="O199" s="65" t="s">
        <v>230</v>
      </c>
      <c r="P199" s="65" t="s">
        <v>230</v>
      </c>
      <c r="Q199" s="54" t="s">
        <v>231</v>
      </c>
      <c r="R199" s="41" t="s">
        <v>232</v>
      </c>
      <c r="S199" s="41" t="s">
        <v>233</v>
      </c>
      <c r="T199" s="41" t="s">
        <v>192</v>
      </c>
      <c r="U199" s="41" t="s">
        <v>234</v>
      </c>
      <c r="V199" s="41" t="s">
        <v>139</v>
      </c>
      <c r="W199" s="41" t="s">
        <v>139</v>
      </c>
      <c r="X199" s="41" t="s">
        <v>139</v>
      </c>
      <c r="Y199" s="42" t="s">
        <v>139</v>
      </c>
      <c r="Z199" s="53" t="s">
        <v>235</v>
      </c>
      <c r="AA199" s="54" t="s">
        <v>139</v>
      </c>
      <c r="AB199" s="54" t="s">
        <v>139</v>
      </c>
      <c r="AC199" s="54" t="s">
        <v>139</v>
      </c>
      <c r="AD199" s="54" t="s">
        <v>139</v>
      </c>
      <c r="AE199" s="55"/>
      <c r="AF199" s="56"/>
      <c r="AG199" s="56"/>
      <c r="AH199" s="57"/>
      <c r="AI199" s="56"/>
      <c r="AJ199" s="56"/>
      <c r="AK199" s="56"/>
      <c r="AL199" s="3" t="s">
        <v>1582</v>
      </c>
    </row>
    <row r="200" spans="2:38" ht="40.5" hidden="1">
      <c r="B200" s="144">
        <f t="shared" ref="B200:B263" si="3">ROW()-3</f>
        <v>197</v>
      </c>
      <c r="C200" s="148" t="s">
        <v>3732</v>
      </c>
      <c r="D200" s="148"/>
      <c r="E200" s="148"/>
      <c r="F200" s="148"/>
      <c r="G200" s="148"/>
      <c r="H200" s="148"/>
      <c r="I200" s="148"/>
      <c r="J200" s="148"/>
      <c r="K200" s="165" t="s">
        <v>3659</v>
      </c>
      <c r="L200" s="165" t="s">
        <v>3672</v>
      </c>
      <c r="M200" s="165" t="s">
        <v>3675</v>
      </c>
      <c r="N200" s="65" t="s">
        <v>3709</v>
      </c>
      <c r="O200" s="65" t="s">
        <v>209</v>
      </c>
      <c r="P200" s="65" t="s">
        <v>209</v>
      </c>
      <c r="Q200" s="54" t="s">
        <v>210</v>
      </c>
      <c r="R200" s="41" t="s">
        <v>211</v>
      </c>
      <c r="S200" s="41" t="s">
        <v>212</v>
      </c>
      <c r="T200" s="41" t="s">
        <v>192</v>
      </c>
      <c r="U200" s="41" t="s">
        <v>2831</v>
      </c>
      <c r="V200" s="41" t="s">
        <v>139</v>
      </c>
      <c r="W200" s="41" t="s">
        <v>139</v>
      </c>
      <c r="X200" s="41" t="s">
        <v>227</v>
      </c>
      <c r="Y200" s="42" t="s">
        <v>139</v>
      </c>
      <c r="Z200" s="53" t="s">
        <v>213</v>
      </c>
      <c r="AA200" s="54" t="s">
        <v>139</v>
      </c>
      <c r="AB200" s="54" t="s">
        <v>139</v>
      </c>
      <c r="AC200" s="54" t="s">
        <v>1635</v>
      </c>
      <c r="AD200" s="54" t="s">
        <v>139</v>
      </c>
      <c r="AE200" s="55"/>
      <c r="AF200" s="56"/>
      <c r="AG200" s="56"/>
      <c r="AH200" s="57"/>
      <c r="AI200" s="56"/>
      <c r="AJ200" s="56"/>
      <c r="AK200" s="56"/>
      <c r="AL200" s="3" t="s">
        <v>1582</v>
      </c>
    </row>
    <row r="201" spans="2:38" ht="40.5" hidden="1">
      <c r="B201" s="144">
        <f t="shared" si="3"/>
        <v>198</v>
      </c>
      <c r="C201" s="148" t="s">
        <v>3732</v>
      </c>
      <c r="D201" s="148"/>
      <c r="E201" s="148"/>
      <c r="F201" s="148"/>
      <c r="G201" s="148"/>
      <c r="H201" s="148"/>
      <c r="I201" s="148"/>
      <c r="J201" s="148"/>
      <c r="K201" s="165" t="s">
        <v>3659</v>
      </c>
      <c r="L201" s="165" t="s">
        <v>3672</v>
      </c>
      <c r="M201" s="165" t="s">
        <v>3675</v>
      </c>
      <c r="N201" s="65" t="s">
        <v>3709</v>
      </c>
      <c r="O201" s="65" t="s">
        <v>510</v>
      </c>
      <c r="P201" s="65" t="s">
        <v>510</v>
      </c>
      <c r="Q201" s="54" t="s">
        <v>139</v>
      </c>
      <c r="R201" s="41" t="s">
        <v>511</v>
      </c>
      <c r="S201" s="41"/>
      <c r="T201" s="41" t="s">
        <v>192</v>
      </c>
      <c r="U201" s="41" t="s">
        <v>512</v>
      </c>
      <c r="V201" s="41" t="s">
        <v>139</v>
      </c>
      <c r="W201" s="41" t="s">
        <v>139</v>
      </c>
      <c r="X201" s="41" t="s">
        <v>139</v>
      </c>
      <c r="Y201" s="42" t="s">
        <v>139</v>
      </c>
      <c r="Z201" s="53" t="s">
        <v>133</v>
      </c>
      <c r="AA201" s="54" t="s">
        <v>139</v>
      </c>
      <c r="AB201" s="54" t="s">
        <v>139</v>
      </c>
      <c r="AC201" s="54" t="s">
        <v>139</v>
      </c>
      <c r="AD201" s="54" t="s">
        <v>139</v>
      </c>
      <c r="AE201" s="55"/>
      <c r="AF201" s="56"/>
      <c r="AG201" s="56"/>
      <c r="AH201" s="57"/>
      <c r="AI201" s="56"/>
      <c r="AJ201" s="56"/>
      <c r="AK201" s="56"/>
      <c r="AL201" s="3" t="s">
        <v>1582</v>
      </c>
    </row>
    <row r="202" spans="2:38" ht="40.5" hidden="1">
      <c r="B202" s="144">
        <f t="shared" si="3"/>
        <v>199</v>
      </c>
      <c r="C202" s="148" t="s">
        <v>3732</v>
      </c>
      <c r="D202" s="148"/>
      <c r="E202" s="148"/>
      <c r="F202" s="148"/>
      <c r="G202" s="148"/>
      <c r="H202" s="148"/>
      <c r="I202" s="148"/>
      <c r="J202" s="148"/>
      <c r="K202" s="165" t="s">
        <v>3659</v>
      </c>
      <c r="L202" s="165" t="s">
        <v>3672</v>
      </c>
      <c r="M202" s="165" t="s">
        <v>3675</v>
      </c>
      <c r="N202" s="65" t="s">
        <v>3709</v>
      </c>
      <c r="O202" s="165" t="s">
        <v>1151</v>
      </c>
      <c r="P202" s="165" t="s">
        <v>1151</v>
      </c>
      <c r="Q202" s="126" t="s">
        <v>1152</v>
      </c>
      <c r="R202" s="40" t="s">
        <v>1153</v>
      </c>
      <c r="S202" s="40" t="s">
        <v>1154</v>
      </c>
      <c r="T202" s="40" t="s">
        <v>266</v>
      </c>
      <c r="U202" s="41" t="s">
        <v>1150</v>
      </c>
      <c r="V202" s="41" t="s">
        <v>139</v>
      </c>
      <c r="W202" s="41" t="s">
        <v>139</v>
      </c>
      <c r="X202" s="41" t="s">
        <v>139</v>
      </c>
      <c r="Y202" s="42" t="s">
        <v>139</v>
      </c>
      <c r="Z202" s="43" t="s">
        <v>235</v>
      </c>
      <c r="AA202" s="41" t="s">
        <v>139</v>
      </c>
      <c r="AB202" s="41" t="s">
        <v>139</v>
      </c>
      <c r="AC202" s="41" t="s">
        <v>139</v>
      </c>
      <c r="AD202" s="41" t="s">
        <v>139</v>
      </c>
      <c r="AE202" s="44"/>
      <c r="AF202" s="45"/>
      <c r="AG202" s="45"/>
      <c r="AH202" s="46"/>
      <c r="AI202" s="45"/>
      <c r="AJ202" s="45"/>
      <c r="AK202" s="45"/>
      <c r="AL202" s="3" t="s">
        <v>1582</v>
      </c>
    </row>
    <row r="203" spans="2:38" ht="40.5" hidden="1">
      <c r="B203" s="144">
        <f t="shared" si="3"/>
        <v>200</v>
      </c>
      <c r="C203" s="148" t="s">
        <v>3732</v>
      </c>
      <c r="D203" s="148"/>
      <c r="E203" s="148"/>
      <c r="F203" s="148"/>
      <c r="G203" s="148"/>
      <c r="H203" s="148"/>
      <c r="I203" s="148"/>
      <c r="J203" s="148"/>
      <c r="K203" s="165" t="s">
        <v>3659</v>
      </c>
      <c r="L203" s="165" t="s">
        <v>3672</v>
      </c>
      <c r="M203" s="165" t="s">
        <v>3675</v>
      </c>
      <c r="N203" s="65" t="s">
        <v>3709</v>
      </c>
      <c r="O203" s="65" t="s">
        <v>268</v>
      </c>
      <c r="P203" s="65" t="s">
        <v>268</v>
      </c>
      <c r="Q203" s="54" t="s">
        <v>139</v>
      </c>
      <c r="R203" s="41" t="s">
        <v>269</v>
      </c>
      <c r="S203" s="41" t="s">
        <v>270</v>
      </c>
      <c r="T203" s="41" t="s">
        <v>266</v>
      </c>
      <c r="U203" s="41" t="s">
        <v>271</v>
      </c>
      <c r="V203" s="41" t="s">
        <v>139</v>
      </c>
      <c r="W203" s="41" t="s">
        <v>139</v>
      </c>
      <c r="X203" s="41" t="s">
        <v>139</v>
      </c>
      <c r="Y203" s="42" t="s">
        <v>139</v>
      </c>
      <c r="Z203" s="53" t="s">
        <v>213</v>
      </c>
      <c r="AA203" s="54" t="s">
        <v>139</v>
      </c>
      <c r="AB203" s="54" t="s">
        <v>139</v>
      </c>
      <c r="AC203" s="54" t="s">
        <v>139</v>
      </c>
      <c r="AD203" s="54" t="s">
        <v>139</v>
      </c>
      <c r="AE203" s="55"/>
      <c r="AF203" s="56"/>
      <c r="AG203" s="56"/>
      <c r="AH203" s="57"/>
      <c r="AI203" s="56"/>
      <c r="AJ203" s="56"/>
      <c r="AK203" s="56"/>
      <c r="AL203" s="3" t="s">
        <v>1582</v>
      </c>
    </row>
    <row r="204" spans="2:38" ht="40.5" hidden="1">
      <c r="B204" s="144">
        <f t="shared" si="3"/>
        <v>201</v>
      </c>
      <c r="C204" s="148" t="s">
        <v>3732</v>
      </c>
      <c r="D204" s="148"/>
      <c r="E204" s="148"/>
      <c r="F204" s="148"/>
      <c r="G204" s="148"/>
      <c r="H204" s="148"/>
      <c r="I204" s="148"/>
      <c r="J204" s="148"/>
      <c r="K204" s="165" t="s">
        <v>3659</v>
      </c>
      <c r="L204" s="165" t="s">
        <v>3672</v>
      </c>
      <c r="M204" s="165" t="s">
        <v>3675</v>
      </c>
      <c r="N204" s="65" t="s">
        <v>3709</v>
      </c>
      <c r="O204" s="65" t="s">
        <v>263</v>
      </c>
      <c r="P204" s="65" t="s">
        <v>263</v>
      </c>
      <c r="Q204" s="54" t="s">
        <v>139</v>
      </c>
      <c r="R204" s="41" t="s">
        <v>264</v>
      </c>
      <c r="S204" s="41" t="s">
        <v>265</v>
      </c>
      <c r="T204" s="41" t="s">
        <v>266</v>
      </c>
      <c r="U204" s="41" t="s">
        <v>267</v>
      </c>
      <c r="V204" s="41" t="s">
        <v>139</v>
      </c>
      <c r="W204" s="41" t="s">
        <v>139</v>
      </c>
      <c r="X204" s="41" t="s">
        <v>139</v>
      </c>
      <c r="Y204" s="42" t="s">
        <v>139</v>
      </c>
      <c r="Z204" s="53" t="s">
        <v>218</v>
      </c>
      <c r="AA204" s="54" t="s">
        <v>139</v>
      </c>
      <c r="AB204" s="54" t="s">
        <v>139</v>
      </c>
      <c r="AC204" s="54" t="s">
        <v>139</v>
      </c>
      <c r="AD204" s="54" t="s">
        <v>139</v>
      </c>
      <c r="AE204" s="55"/>
      <c r="AF204" s="56"/>
      <c r="AG204" s="56"/>
      <c r="AH204" s="57"/>
      <c r="AI204" s="56"/>
      <c r="AJ204" s="56"/>
      <c r="AK204" s="56"/>
      <c r="AL204" s="3" t="s">
        <v>1582</v>
      </c>
    </row>
    <row r="205" spans="2:38" ht="40.5" hidden="1">
      <c r="B205" s="144">
        <f t="shared" si="3"/>
        <v>202</v>
      </c>
      <c r="C205" s="148" t="s">
        <v>3732</v>
      </c>
      <c r="D205" s="148"/>
      <c r="E205" s="148"/>
      <c r="F205" s="148"/>
      <c r="G205" s="148"/>
      <c r="H205" s="148"/>
      <c r="I205" s="148"/>
      <c r="J205" s="148"/>
      <c r="K205" s="165" t="s">
        <v>3659</v>
      </c>
      <c r="L205" s="165" t="s">
        <v>3672</v>
      </c>
      <c r="M205" s="165" t="s">
        <v>3675</v>
      </c>
      <c r="N205" s="65" t="s">
        <v>3709</v>
      </c>
      <c r="O205" s="65" t="s">
        <v>3459</v>
      </c>
      <c r="P205" s="65" t="s">
        <v>3286</v>
      </c>
      <c r="Q205" s="54" t="s">
        <v>3285</v>
      </c>
      <c r="R205" s="41" t="s">
        <v>276</v>
      </c>
      <c r="S205" s="41" t="s">
        <v>277</v>
      </c>
      <c r="T205" s="41" t="s">
        <v>192</v>
      </c>
      <c r="U205" s="41" t="s">
        <v>275</v>
      </c>
      <c r="V205" s="41" t="s">
        <v>139</v>
      </c>
      <c r="W205" s="41" t="s">
        <v>139</v>
      </c>
      <c r="X205" s="41" t="s">
        <v>139</v>
      </c>
      <c r="Y205" s="42" t="s">
        <v>139</v>
      </c>
      <c r="Z205" s="53" t="s">
        <v>218</v>
      </c>
      <c r="AA205" s="54" t="s">
        <v>139</v>
      </c>
      <c r="AB205" s="54" t="s">
        <v>139</v>
      </c>
      <c r="AC205" s="54" t="s">
        <v>139</v>
      </c>
      <c r="AD205" s="54" t="s">
        <v>139</v>
      </c>
      <c r="AE205" s="55"/>
      <c r="AF205" s="56"/>
      <c r="AG205" s="56"/>
      <c r="AH205" s="57"/>
      <c r="AI205" s="56"/>
      <c r="AJ205" s="56"/>
      <c r="AK205" s="56"/>
      <c r="AL205" s="3" t="s">
        <v>1582</v>
      </c>
    </row>
    <row r="206" spans="2:38" ht="40.5" hidden="1">
      <c r="B206" s="144">
        <f t="shared" si="3"/>
        <v>203</v>
      </c>
      <c r="C206" s="148" t="s">
        <v>3732</v>
      </c>
      <c r="D206" s="148"/>
      <c r="E206" s="148"/>
      <c r="F206" s="148"/>
      <c r="G206" s="148"/>
      <c r="H206" s="148"/>
      <c r="I206" s="148"/>
      <c r="J206" s="148"/>
      <c r="K206" s="165" t="s">
        <v>3659</v>
      </c>
      <c r="L206" s="165" t="s">
        <v>3672</v>
      </c>
      <c r="M206" s="65" t="s">
        <v>3675</v>
      </c>
      <c r="N206" s="65" t="s">
        <v>3709</v>
      </c>
      <c r="O206" s="65" t="s">
        <v>3361</v>
      </c>
      <c r="P206" s="65" t="s">
        <v>2865</v>
      </c>
      <c r="Q206" s="54" t="s">
        <v>1637</v>
      </c>
      <c r="R206" s="70" t="s">
        <v>2995</v>
      </c>
      <c r="S206" s="40"/>
      <c r="T206" s="40" t="s">
        <v>1645</v>
      </c>
      <c r="U206" s="41" t="s">
        <v>139</v>
      </c>
      <c r="V206" s="41" t="s">
        <v>139</v>
      </c>
      <c r="W206" s="41" t="s">
        <v>139</v>
      </c>
      <c r="X206" s="41" t="s">
        <v>2875</v>
      </c>
      <c r="Y206" s="41" t="s">
        <v>139</v>
      </c>
      <c r="Z206" s="53" t="s">
        <v>139</v>
      </c>
      <c r="AA206" s="54" t="s">
        <v>139</v>
      </c>
      <c r="AB206" s="54" t="s">
        <v>139</v>
      </c>
      <c r="AC206" s="54" t="s">
        <v>1635</v>
      </c>
      <c r="AD206" s="54" t="s">
        <v>139</v>
      </c>
      <c r="AE206" s="55"/>
      <c r="AF206" s="56"/>
      <c r="AG206" s="56"/>
      <c r="AH206" s="57"/>
      <c r="AI206" s="56"/>
      <c r="AJ206" s="56"/>
      <c r="AK206" s="56"/>
      <c r="AL206" s="3" t="s">
        <v>1582</v>
      </c>
    </row>
    <row r="207" spans="2:38" ht="40.5" hidden="1">
      <c r="B207" s="144">
        <f t="shared" si="3"/>
        <v>204</v>
      </c>
      <c r="C207" s="148" t="s">
        <v>3732</v>
      </c>
      <c r="D207" s="148"/>
      <c r="E207" s="148"/>
      <c r="F207" s="148"/>
      <c r="G207" s="148"/>
      <c r="H207" s="148"/>
      <c r="I207" s="148"/>
      <c r="J207" s="148"/>
      <c r="K207" s="165" t="s">
        <v>3659</v>
      </c>
      <c r="L207" s="165" t="s">
        <v>3672</v>
      </c>
      <c r="M207" s="65" t="s">
        <v>3675</v>
      </c>
      <c r="N207" s="65" t="s">
        <v>3709</v>
      </c>
      <c r="O207" s="65" t="s">
        <v>3362</v>
      </c>
      <c r="P207" s="65" t="s">
        <v>2866</v>
      </c>
      <c r="Q207" s="54" t="s">
        <v>2677</v>
      </c>
      <c r="R207" s="70" t="s">
        <v>2995</v>
      </c>
      <c r="S207" s="40"/>
      <c r="T207" s="40"/>
      <c r="U207" s="41" t="s">
        <v>139</v>
      </c>
      <c r="V207" s="41" t="s">
        <v>139</v>
      </c>
      <c r="W207" s="41" t="s">
        <v>139</v>
      </c>
      <c r="X207" s="41" t="s">
        <v>2875</v>
      </c>
      <c r="Y207" s="41" t="s">
        <v>139</v>
      </c>
      <c r="Z207" s="53" t="s">
        <v>139</v>
      </c>
      <c r="AA207" s="54" t="s">
        <v>139</v>
      </c>
      <c r="AB207" s="54" t="s">
        <v>139</v>
      </c>
      <c r="AC207" s="54" t="s">
        <v>1635</v>
      </c>
      <c r="AD207" s="54" t="s">
        <v>139</v>
      </c>
      <c r="AE207" s="55"/>
      <c r="AF207" s="56"/>
      <c r="AG207" s="56"/>
      <c r="AH207" s="57"/>
      <c r="AI207" s="56"/>
      <c r="AJ207" s="56"/>
      <c r="AK207" s="56"/>
      <c r="AL207" s="3" t="s">
        <v>1582</v>
      </c>
    </row>
    <row r="208" spans="2:38" ht="40.5" hidden="1">
      <c r="B208" s="144">
        <f t="shared" si="3"/>
        <v>205</v>
      </c>
      <c r="C208" s="148" t="s">
        <v>3732</v>
      </c>
      <c r="D208" s="148"/>
      <c r="E208" s="148"/>
      <c r="F208" s="148"/>
      <c r="G208" s="148"/>
      <c r="H208" s="148"/>
      <c r="I208" s="148"/>
      <c r="J208" s="148"/>
      <c r="K208" s="165" t="s">
        <v>3659</v>
      </c>
      <c r="L208" s="165" t="s">
        <v>3672</v>
      </c>
      <c r="M208" s="65" t="s">
        <v>3675</v>
      </c>
      <c r="N208" s="65" t="s">
        <v>3709</v>
      </c>
      <c r="O208" s="65" t="s">
        <v>3363</v>
      </c>
      <c r="P208" s="65" t="s">
        <v>2874</v>
      </c>
      <c r="Q208" s="54" t="s">
        <v>2677</v>
      </c>
      <c r="R208" s="70" t="s">
        <v>2995</v>
      </c>
      <c r="S208" s="40"/>
      <c r="T208" s="40"/>
      <c r="U208" s="41" t="s">
        <v>139</v>
      </c>
      <c r="V208" s="41" t="s">
        <v>139</v>
      </c>
      <c r="W208" s="41" t="s">
        <v>139</v>
      </c>
      <c r="X208" s="41" t="s">
        <v>2875</v>
      </c>
      <c r="Y208" s="41" t="s">
        <v>139</v>
      </c>
      <c r="Z208" s="53" t="s">
        <v>139</v>
      </c>
      <c r="AA208" s="54" t="s">
        <v>139</v>
      </c>
      <c r="AB208" s="54" t="s">
        <v>139</v>
      </c>
      <c r="AC208" s="54" t="s">
        <v>1635</v>
      </c>
      <c r="AD208" s="54" t="s">
        <v>139</v>
      </c>
      <c r="AE208" s="55"/>
      <c r="AF208" s="56"/>
      <c r="AG208" s="56"/>
      <c r="AH208" s="57"/>
      <c r="AI208" s="56"/>
      <c r="AJ208" s="56"/>
      <c r="AK208" s="56"/>
      <c r="AL208" s="3" t="s">
        <v>1582</v>
      </c>
    </row>
    <row r="209" spans="2:38" ht="40.5" hidden="1">
      <c r="B209" s="144">
        <f t="shared" si="3"/>
        <v>206</v>
      </c>
      <c r="C209" s="148" t="s">
        <v>3732</v>
      </c>
      <c r="D209" s="148"/>
      <c r="E209" s="148"/>
      <c r="F209" s="148"/>
      <c r="G209" s="148"/>
      <c r="H209" s="148"/>
      <c r="I209" s="148"/>
      <c r="J209" s="148"/>
      <c r="K209" s="165" t="s">
        <v>3659</v>
      </c>
      <c r="L209" s="165" t="s">
        <v>3672</v>
      </c>
      <c r="M209" s="65" t="s">
        <v>3675</v>
      </c>
      <c r="N209" s="65" t="s">
        <v>3709</v>
      </c>
      <c r="O209" s="65" t="s">
        <v>3364</v>
      </c>
      <c r="P209" s="65" t="s">
        <v>2873</v>
      </c>
      <c r="Q209" s="54" t="s">
        <v>2677</v>
      </c>
      <c r="R209" s="70" t="s">
        <v>2995</v>
      </c>
      <c r="S209" s="40"/>
      <c r="T209" s="41" t="s">
        <v>1637</v>
      </c>
      <c r="U209" s="41" t="s">
        <v>139</v>
      </c>
      <c r="V209" s="41" t="s">
        <v>139</v>
      </c>
      <c r="W209" s="41" t="s">
        <v>139</v>
      </c>
      <c r="X209" s="41" t="s">
        <v>2875</v>
      </c>
      <c r="Y209" s="41" t="s">
        <v>139</v>
      </c>
      <c r="Z209" s="53" t="s">
        <v>139</v>
      </c>
      <c r="AA209" s="54" t="s">
        <v>139</v>
      </c>
      <c r="AB209" s="54" t="s">
        <v>139</v>
      </c>
      <c r="AC209" s="54" t="s">
        <v>1635</v>
      </c>
      <c r="AD209" s="54" t="s">
        <v>139</v>
      </c>
      <c r="AE209" s="55"/>
      <c r="AF209" s="56"/>
      <c r="AG209" s="56"/>
      <c r="AH209" s="57"/>
      <c r="AI209" s="56"/>
      <c r="AJ209" s="56"/>
      <c r="AK209" s="56"/>
      <c r="AL209" s="3" t="s">
        <v>1582</v>
      </c>
    </row>
    <row r="210" spans="2:38" ht="40.5" hidden="1">
      <c r="B210" s="144">
        <f t="shared" si="3"/>
        <v>207</v>
      </c>
      <c r="C210" s="148" t="s">
        <v>3732</v>
      </c>
      <c r="D210" s="148"/>
      <c r="E210" s="148"/>
      <c r="F210" s="148"/>
      <c r="G210" s="148"/>
      <c r="H210" s="148"/>
      <c r="I210" s="148"/>
      <c r="J210" s="148"/>
      <c r="K210" s="165" t="s">
        <v>3659</v>
      </c>
      <c r="L210" s="165" t="s">
        <v>3672</v>
      </c>
      <c r="M210" s="65" t="s">
        <v>3675</v>
      </c>
      <c r="N210" s="65" t="s">
        <v>3709</v>
      </c>
      <c r="O210" s="65" t="s">
        <v>3365</v>
      </c>
      <c r="P210" s="65" t="s">
        <v>2870</v>
      </c>
      <c r="Q210" s="54" t="s">
        <v>2677</v>
      </c>
      <c r="R210" s="70" t="s">
        <v>2995</v>
      </c>
      <c r="S210" s="40"/>
      <c r="T210" s="41" t="s">
        <v>1637</v>
      </c>
      <c r="U210" s="41" t="s">
        <v>139</v>
      </c>
      <c r="V210" s="41" t="s">
        <v>139</v>
      </c>
      <c r="W210" s="41" t="s">
        <v>139</v>
      </c>
      <c r="X210" s="41" t="s">
        <v>2875</v>
      </c>
      <c r="Y210" s="41" t="s">
        <v>139</v>
      </c>
      <c r="Z210" s="53" t="s">
        <v>139</v>
      </c>
      <c r="AA210" s="54" t="s">
        <v>139</v>
      </c>
      <c r="AB210" s="54" t="s">
        <v>139</v>
      </c>
      <c r="AC210" s="54" t="s">
        <v>1635</v>
      </c>
      <c r="AD210" s="54" t="s">
        <v>139</v>
      </c>
      <c r="AE210" s="55"/>
      <c r="AF210" s="56"/>
      <c r="AG210" s="56"/>
      <c r="AH210" s="57"/>
      <c r="AI210" s="56"/>
      <c r="AJ210" s="56"/>
      <c r="AK210" s="56"/>
      <c r="AL210" s="3" t="s">
        <v>1582</v>
      </c>
    </row>
    <row r="211" spans="2:38" ht="40.5" hidden="1">
      <c r="B211" s="144">
        <f t="shared" si="3"/>
        <v>208</v>
      </c>
      <c r="C211" s="148" t="s">
        <v>3732</v>
      </c>
      <c r="D211" s="148"/>
      <c r="E211" s="148"/>
      <c r="F211" s="148"/>
      <c r="G211" s="148"/>
      <c r="H211" s="148"/>
      <c r="I211" s="148"/>
      <c r="J211" s="148"/>
      <c r="K211" s="165" t="s">
        <v>3659</v>
      </c>
      <c r="L211" s="165" t="s">
        <v>3672</v>
      </c>
      <c r="M211" s="65" t="s">
        <v>3675</v>
      </c>
      <c r="N211" s="65" t="s">
        <v>3709</v>
      </c>
      <c r="O211" s="65" t="s">
        <v>3366</v>
      </c>
      <c r="P211" s="65" t="s">
        <v>2869</v>
      </c>
      <c r="Q211" s="54" t="s">
        <v>2677</v>
      </c>
      <c r="R211" s="70" t="s">
        <v>2995</v>
      </c>
      <c r="S211" s="40"/>
      <c r="T211" s="41" t="s">
        <v>1637</v>
      </c>
      <c r="U211" s="41" t="s">
        <v>139</v>
      </c>
      <c r="V211" s="41" t="s">
        <v>139</v>
      </c>
      <c r="W211" s="41" t="s">
        <v>139</v>
      </c>
      <c r="X211" s="41" t="s">
        <v>2875</v>
      </c>
      <c r="Y211" s="41" t="s">
        <v>139</v>
      </c>
      <c r="Z211" s="53" t="s">
        <v>139</v>
      </c>
      <c r="AA211" s="54" t="s">
        <v>139</v>
      </c>
      <c r="AB211" s="54" t="s">
        <v>139</v>
      </c>
      <c r="AC211" s="54" t="s">
        <v>1635</v>
      </c>
      <c r="AD211" s="54" t="s">
        <v>139</v>
      </c>
      <c r="AE211" s="55"/>
      <c r="AF211" s="56"/>
      <c r="AG211" s="56"/>
      <c r="AH211" s="57"/>
      <c r="AI211" s="56"/>
      <c r="AJ211" s="56"/>
      <c r="AK211" s="56"/>
      <c r="AL211" s="3" t="s">
        <v>1582</v>
      </c>
    </row>
    <row r="212" spans="2:38" ht="40.5" hidden="1">
      <c r="B212" s="144">
        <f t="shared" si="3"/>
        <v>209</v>
      </c>
      <c r="C212" s="148" t="s">
        <v>3732</v>
      </c>
      <c r="D212" s="148"/>
      <c r="E212" s="148"/>
      <c r="F212" s="148"/>
      <c r="G212" s="148"/>
      <c r="H212" s="148"/>
      <c r="I212" s="148"/>
      <c r="J212" s="148"/>
      <c r="K212" s="165" t="s">
        <v>3659</v>
      </c>
      <c r="L212" s="165" t="s">
        <v>3672</v>
      </c>
      <c r="M212" s="65" t="s">
        <v>3675</v>
      </c>
      <c r="N212" s="65" t="s">
        <v>3709</v>
      </c>
      <c r="O212" s="65" t="s">
        <v>3367</v>
      </c>
      <c r="P212" s="65" t="s">
        <v>2868</v>
      </c>
      <c r="Q212" s="54" t="s">
        <v>2677</v>
      </c>
      <c r="R212" s="70" t="s">
        <v>2995</v>
      </c>
      <c r="S212" s="40"/>
      <c r="T212" s="41" t="s">
        <v>1637</v>
      </c>
      <c r="U212" s="41" t="s">
        <v>139</v>
      </c>
      <c r="V212" s="41" t="s">
        <v>139</v>
      </c>
      <c r="W212" s="41" t="s">
        <v>139</v>
      </c>
      <c r="X212" s="41" t="s">
        <v>2875</v>
      </c>
      <c r="Y212" s="41" t="s">
        <v>139</v>
      </c>
      <c r="Z212" s="53" t="s">
        <v>139</v>
      </c>
      <c r="AA212" s="54" t="s">
        <v>139</v>
      </c>
      <c r="AB212" s="54" t="s">
        <v>139</v>
      </c>
      <c r="AC212" s="54" t="s">
        <v>1635</v>
      </c>
      <c r="AD212" s="54" t="s">
        <v>139</v>
      </c>
      <c r="AE212" s="55"/>
      <c r="AF212" s="56"/>
      <c r="AG212" s="56"/>
      <c r="AH212" s="57"/>
      <c r="AI212" s="56"/>
      <c r="AJ212" s="56"/>
      <c r="AK212" s="56"/>
      <c r="AL212" s="3" t="s">
        <v>1582</v>
      </c>
    </row>
    <row r="213" spans="2:38" ht="40.5" hidden="1">
      <c r="B213" s="144">
        <f t="shared" si="3"/>
        <v>210</v>
      </c>
      <c r="C213" s="148" t="s">
        <v>3732</v>
      </c>
      <c r="D213" s="148"/>
      <c r="E213" s="148"/>
      <c r="F213" s="148"/>
      <c r="G213" s="148"/>
      <c r="H213" s="148"/>
      <c r="I213" s="148"/>
      <c r="J213" s="148"/>
      <c r="K213" s="165" t="s">
        <v>3659</v>
      </c>
      <c r="L213" s="165" t="s">
        <v>3672</v>
      </c>
      <c r="M213" s="65" t="s">
        <v>3675</v>
      </c>
      <c r="N213" s="65" t="s">
        <v>3709</v>
      </c>
      <c r="O213" s="65" t="s">
        <v>3368</v>
      </c>
      <c r="P213" s="65" t="s">
        <v>2867</v>
      </c>
      <c r="Q213" s="54" t="s">
        <v>2677</v>
      </c>
      <c r="R213" s="70" t="s">
        <v>2995</v>
      </c>
      <c r="S213" s="40"/>
      <c r="T213" s="41" t="s">
        <v>1637</v>
      </c>
      <c r="U213" s="41" t="s">
        <v>139</v>
      </c>
      <c r="V213" s="41" t="s">
        <v>139</v>
      </c>
      <c r="W213" s="41" t="s">
        <v>139</v>
      </c>
      <c r="X213" s="41" t="s">
        <v>2875</v>
      </c>
      <c r="Y213" s="41" t="s">
        <v>139</v>
      </c>
      <c r="Z213" s="53" t="s">
        <v>139</v>
      </c>
      <c r="AA213" s="54" t="s">
        <v>139</v>
      </c>
      <c r="AB213" s="54" t="s">
        <v>139</v>
      </c>
      <c r="AC213" s="54" t="s">
        <v>1635</v>
      </c>
      <c r="AD213" s="54" t="s">
        <v>139</v>
      </c>
      <c r="AE213" s="55"/>
      <c r="AF213" s="56"/>
      <c r="AG213" s="56"/>
      <c r="AH213" s="57"/>
      <c r="AI213" s="56"/>
      <c r="AJ213" s="56"/>
      <c r="AK213" s="56"/>
      <c r="AL213" s="3" t="s">
        <v>1582</v>
      </c>
    </row>
    <row r="214" spans="2:38" ht="40.5" hidden="1">
      <c r="B214" s="144">
        <f t="shared" si="3"/>
        <v>211</v>
      </c>
      <c r="C214" s="148" t="s">
        <v>3732</v>
      </c>
      <c r="D214" s="148"/>
      <c r="E214" s="148"/>
      <c r="F214" s="148"/>
      <c r="G214" s="148"/>
      <c r="H214" s="148"/>
      <c r="I214" s="148"/>
      <c r="J214" s="148"/>
      <c r="K214" s="165" t="s">
        <v>3659</v>
      </c>
      <c r="L214" s="165" t="s">
        <v>3672</v>
      </c>
      <c r="M214" s="65" t="s">
        <v>3675</v>
      </c>
      <c r="N214" s="65" t="s">
        <v>3709</v>
      </c>
      <c r="O214" s="65" t="s">
        <v>3369</v>
      </c>
      <c r="P214" s="65" t="s">
        <v>2872</v>
      </c>
      <c r="Q214" s="54" t="s">
        <v>2677</v>
      </c>
      <c r="R214" s="70" t="s">
        <v>2995</v>
      </c>
      <c r="S214" s="40"/>
      <c r="T214" s="41" t="s">
        <v>1637</v>
      </c>
      <c r="U214" s="41" t="s">
        <v>139</v>
      </c>
      <c r="V214" s="41" t="s">
        <v>139</v>
      </c>
      <c r="W214" s="41" t="s">
        <v>139</v>
      </c>
      <c r="X214" s="41" t="s">
        <v>2875</v>
      </c>
      <c r="Y214" s="41" t="s">
        <v>139</v>
      </c>
      <c r="Z214" s="73" t="s">
        <v>139</v>
      </c>
      <c r="AA214" s="54" t="s">
        <v>139</v>
      </c>
      <c r="AB214" s="54" t="s">
        <v>139</v>
      </c>
      <c r="AC214" s="54" t="s">
        <v>1635</v>
      </c>
      <c r="AD214" s="54" t="s">
        <v>139</v>
      </c>
      <c r="AE214" s="55"/>
      <c r="AF214" s="56"/>
      <c r="AG214" s="56"/>
      <c r="AH214" s="57"/>
      <c r="AI214" s="56"/>
      <c r="AJ214" s="56"/>
      <c r="AK214" s="56"/>
      <c r="AL214" s="3" t="s">
        <v>1582</v>
      </c>
    </row>
    <row r="215" spans="2:38" ht="40.5" hidden="1">
      <c r="B215" s="144">
        <f t="shared" si="3"/>
        <v>212</v>
      </c>
      <c r="C215" s="148" t="s">
        <v>3732</v>
      </c>
      <c r="D215" s="148"/>
      <c r="E215" s="148"/>
      <c r="F215" s="148"/>
      <c r="G215" s="148"/>
      <c r="H215" s="148"/>
      <c r="I215" s="148"/>
      <c r="J215" s="148"/>
      <c r="K215" s="165" t="s">
        <v>3659</v>
      </c>
      <c r="L215" s="165" t="s">
        <v>3672</v>
      </c>
      <c r="M215" s="65" t="s">
        <v>3675</v>
      </c>
      <c r="N215" s="65" t="s">
        <v>3716</v>
      </c>
      <c r="O215" s="165" t="s">
        <v>3392</v>
      </c>
      <c r="P215" s="165" t="s">
        <v>3078</v>
      </c>
      <c r="Q215" s="126" t="s">
        <v>1637</v>
      </c>
      <c r="R215" s="40" t="s">
        <v>3079</v>
      </c>
      <c r="S215" s="40" t="s">
        <v>1139</v>
      </c>
      <c r="T215" s="40" t="s">
        <v>1140</v>
      </c>
      <c r="U215" s="41" t="s">
        <v>1141</v>
      </c>
      <c r="V215" s="41" t="s">
        <v>139</v>
      </c>
      <c r="W215" s="41" t="s">
        <v>139</v>
      </c>
      <c r="X215" s="41" t="s">
        <v>139</v>
      </c>
      <c r="Y215" s="41" t="s">
        <v>139</v>
      </c>
      <c r="Z215" s="74" t="s">
        <v>200</v>
      </c>
      <c r="AA215" s="41" t="s">
        <v>139</v>
      </c>
      <c r="AB215" s="41" t="s">
        <v>139</v>
      </c>
      <c r="AC215" s="41" t="s">
        <v>139</v>
      </c>
      <c r="AD215" s="41" t="s">
        <v>139</v>
      </c>
      <c r="AE215" s="44"/>
      <c r="AF215" s="45"/>
      <c r="AG215" s="45"/>
      <c r="AH215" s="46"/>
      <c r="AI215" s="45"/>
      <c r="AJ215" s="45"/>
      <c r="AK215" s="45"/>
      <c r="AL215" s="3" t="s">
        <v>1582</v>
      </c>
    </row>
    <row r="216" spans="2:38" ht="40.5" hidden="1">
      <c r="B216" s="144">
        <f t="shared" si="3"/>
        <v>213</v>
      </c>
      <c r="C216" s="148" t="s">
        <v>3732</v>
      </c>
      <c r="D216" s="148"/>
      <c r="E216" s="148"/>
      <c r="F216" s="148"/>
      <c r="G216" s="148"/>
      <c r="H216" s="148"/>
      <c r="I216" s="148"/>
      <c r="J216" s="148"/>
      <c r="K216" s="165" t="s">
        <v>3659</v>
      </c>
      <c r="L216" s="165" t="s">
        <v>3672</v>
      </c>
      <c r="M216" s="65" t="s">
        <v>3675</v>
      </c>
      <c r="N216" s="65" t="s">
        <v>3716</v>
      </c>
      <c r="O216" s="165" t="s">
        <v>3393</v>
      </c>
      <c r="P216" s="165" t="s">
        <v>3077</v>
      </c>
      <c r="Q216" s="126" t="s">
        <v>1637</v>
      </c>
      <c r="R216" s="40" t="s">
        <v>3080</v>
      </c>
      <c r="S216" s="40" t="s">
        <v>1139</v>
      </c>
      <c r="T216" s="40" t="s">
        <v>1140</v>
      </c>
      <c r="U216" s="41" t="s">
        <v>1141</v>
      </c>
      <c r="V216" s="41" t="s">
        <v>139</v>
      </c>
      <c r="W216" s="41" t="s">
        <v>139</v>
      </c>
      <c r="X216" s="41" t="s">
        <v>139</v>
      </c>
      <c r="Y216" s="41" t="s">
        <v>139</v>
      </c>
      <c r="Z216" s="43" t="s">
        <v>200</v>
      </c>
      <c r="AA216" s="41" t="s">
        <v>139</v>
      </c>
      <c r="AB216" s="41" t="s">
        <v>139</v>
      </c>
      <c r="AC216" s="41" t="s">
        <v>139</v>
      </c>
      <c r="AD216" s="41" t="s">
        <v>139</v>
      </c>
      <c r="AE216" s="44"/>
      <c r="AF216" s="45"/>
      <c r="AG216" s="45"/>
      <c r="AH216" s="46"/>
      <c r="AI216" s="45"/>
      <c r="AJ216" s="45"/>
      <c r="AK216" s="45"/>
      <c r="AL216" s="3" t="s">
        <v>1582</v>
      </c>
    </row>
    <row r="217" spans="2:38" ht="40.5" hidden="1">
      <c r="B217" s="144">
        <f t="shared" si="3"/>
        <v>214</v>
      </c>
      <c r="C217" s="148" t="s">
        <v>3732</v>
      </c>
      <c r="D217" s="148"/>
      <c r="E217" s="148"/>
      <c r="F217" s="148"/>
      <c r="G217" s="148"/>
      <c r="H217" s="148"/>
      <c r="I217" s="148"/>
      <c r="J217" s="148"/>
      <c r="K217" s="165" t="s">
        <v>3659</v>
      </c>
      <c r="L217" s="165" t="s">
        <v>3672</v>
      </c>
      <c r="M217" s="65" t="s">
        <v>3675</v>
      </c>
      <c r="N217" s="65" t="s">
        <v>3716</v>
      </c>
      <c r="O217" s="165" t="s">
        <v>2893</v>
      </c>
      <c r="P217" s="165" t="s">
        <v>2893</v>
      </c>
      <c r="Q217" s="126" t="s">
        <v>1637</v>
      </c>
      <c r="R217" s="40" t="s">
        <v>2897</v>
      </c>
      <c r="S217" s="40" t="s">
        <v>2898</v>
      </c>
      <c r="T217" s="40" t="s">
        <v>2093</v>
      </c>
      <c r="U217" s="41" t="s">
        <v>139</v>
      </c>
      <c r="V217" s="41" t="s">
        <v>139</v>
      </c>
      <c r="W217" s="41" t="s">
        <v>139</v>
      </c>
      <c r="X217" s="41" t="s">
        <v>139</v>
      </c>
      <c r="Y217" s="41" t="s">
        <v>139</v>
      </c>
      <c r="Z217" s="43" t="s">
        <v>139</v>
      </c>
      <c r="AA217" s="41" t="s">
        <v>139</v>
      </c>
      <c r="AB217" s="41" t="s">
        <v>139</v>
      </c>
      <c r="AC217" s="41" t="s">
        <v>139</v>
      </c>
      <c r="AD217" s="41" t="s">
        <v>139</v>
      </c>
      <c r="AE217" s="44"/>
      <c r="AF217" s="45"/>
      <c r="AG217" s="45"/>
      <c r="AH217" s="46"/>
      <c r="AI217" s="45"/>
      <c r="AJ217" s="45"/>
      <c r="AK217" s="45"/>
      <c r="AL217" s="3" t="s">
        <v>1582</v>
      </c>
    </row>
    <row r="218" spans="2:38" ht="40.5" hidden="1">
      <c r="B218" s="144">
        <f t="shared" si="3"/>
        <v>215</v>
      </c>
      <c r="C218" s="148" t="s">
        <v>3732</v>
      </c>
      <c r="D218" s="148"/>
      <c r="E218" s="148"/>
      <c r="F218" s="148"/>
      <c r="G218" s="148"/>
      <c r="H218" s="148"/>
      <c r="I218" s="148"/>
      <c r="J218" s="148"/>
      <c r="K218" s="165" t="s">
        <v>3659</v>
      </c>
      <c r="L218" s="165" t="s">
        <v>3672</v>
      </c>
      <c r="M218" s="65" t="s">
        <v>3675</v>
      </c>
      <c r="N218" s="65" t="s">
        <v>3716</v>
      </c>
      <c r="O218" s="165" t="s">
        <v>2894</v>
      </c>
      <c r="P218" s="165" t="s">
        <v>2894</v>
      </c>
      <c r="Q218" s="126" t="s">
        <v>1637</v>
      </c>
      <c r="R218" s="40" t="s">
        <v>2899</v>
      </c>
      <c r="S218" s="40" t="s">
        <v>2900</v>
      </c>
      <c r="T218" s="40" t="s">
        <v>2093</v>
      </c>
      <c r="U218" s="41" t="s">
        <v>139</v>
      </c>
      <c r="V218" s="41" t="s">
        <v>139</v>
      </c>
      <c r="W218" s="41" t="s">
        <v>139</v>
      </c>
      <c r="X218" s="41" t="s">
        <v>139</v>
      </c>
      <c r="Y218" s="41" t="s">
        <v>139</v>
      </c>
      <c r="Z218" s="43" t="s">
        <v>139</v>
      </c>
      <c r="AA218" s="41" t="s">
        <v>139</v>
      </c>
      <c r="AB218" s="41" t="s">
        <v>139</v>
      </c>
      <c r="AC218" s="41" t="s">
        <v>139</v>
      </c>
      <c r="AD218" s="41" t="s">
        <v>139</v>
      </c>
      <c r="AE218" s="44"/>
      <c r="AF218" s="45"/>
      <c r="AG218" s="45"/>
      <c r="AH218" s="46"/>
      <c r="AI218" s="45"/>
      <c r="AJ218" s="45"/>
      <c r="AK218" s="45"/>
      <c r="AL218" s="3" t="s">
        <v>1582</v>
      </c>
    </row>
    <row r="219" spans="2:38" ht="40.5" hidden="1">
      <c r="B219" s="144">
        <f t="shared" si="3"/>
        <v>216</v>
      </c>
      <c r="C219" s="148" t="s">
        <v>3732</v>
      </c>
      <c r="D219" s="148"/>
      <c r="E219" s="148"/>
      <c r="F219" s="148"/>
      <c r="G219" s="148"/>
      <c r="H219" s="148"/>
      <c r="I219" s="148"/>
      <c r="J219" s="148"/>
      <c r="K219" s="165" t="s">
        <v>3659</v>
      </c>
      <c r="L219" s="165" t="s">
        <v>3672</v>
      </c>
      <c r="M219" s="65" t="s">
        <v>3675</v>
      </c>
      <c r="N219" s="65" t="s">
        <v>3716</v>
      </c>
      <c r="O219" s="165" t="s">
        <v>2895</v>
      </c>
      <c r="P219" s="165" t="s">
        <v>2895</v>
      </c>
      <c r="Q219" s="126" t="s">
        <v>1637</v>
      </c>
      <c r="R219" s="40" t="s">
        <v>2901</v>
      </c>
      <c r="S219" s="40" t="s">
        <v>2902</v>
      </c>
      <c r="T219" s="40" t="s">
        <v>2093</v>
      </c>
      <c r="U219" s="41" t="s">
        <v>139</v>
      </c>
      <c r="V219" s="41" t="s">
        <v>139</v>
      </c>
      <c r="W219" s="41" t="s">
        <v>139</v>
      </c>
      <c r="X219" s="41" t="s">
        <v>139</v>
      </c>
      <c r="Y219" s="41" t="s">
        <v>139</v>
      </c>
      <c r="Z219" s="74" t="s">
        <v>139</v>
      </c>
      <c r="AA219" s="41" t="s">
        <v>139</v>
      </c>
      <c r="AB219" s="41" t="s">
        <v>139</v>
      </c>
      <c r="AC219" s="41" t="s">
        <v>139</v>
      </c>
      <c r="AD219" s="41" t="s">
        <v>139</v>
      </c>
      <c r="AE219" s="44"/>
      <c r="AF219" s="45"/>
      <c r="AG219" s="45"/>
      <c r="AH219" s="46"/>
      <c r="AI219" s="45"/>
      <c r="AJ219" s="45"/>
      <c r="AK219" s="45"/>
      <c r="AL219" s="3" t="s">
        <v>1582</v>
      </c>
    </row>
    <row r="220" spans="2:38" ht="40.5" hidden="1">
      <c r="B220" s="144">
        <f t="shared" si="3"/>
        <v>217</v>
      </c>
      <c r="C220" s="148" t="s">
        <v>3732</v>
      </c>
      <c r="D220" s="148"/>
      <c r="E220" s="148"/>
      <c r="F220" s="148"/>
      <c r="G220" s="148"/>
      <c r="H220" s="148"/>
      <c r="I220" s="148"/>
      <c r="J220" s="148"/>
      <c r="K220" s="165" t="s">
        <v>3659</v>
      </c>
      <c r="L220" s="165" t="s">
        <v>3672</v>
      </c>
      <c r="M220" s="65" t="s">
        <v>3675</v>
      </c>
      <c r="N220" s="65" t="s">
        <v>3716</v>
      </c>
      <c r="O220" s="165" t="s">
        <v>2896</v>
      </c>
      <c r="P220" s="165" t="s">
        <v>2896</v>
      </c>
      <c r="Q220" s="126" t="s">
        <v>1637</v>
      </c>
      <c r="R220" s="40" t="s">
        <v>2903</v>
      </c>
      <c r="S220" s="40" t="s">
        <v>2904</v>
      </c>
      <c r="T220" s="40" t="s">
        <v>2093</v>
      </c>
      <c r="U220" s="41" t="s">
        <v>139</v>
      </c>
      <c r="V220" s="41" t="s">
        <v>139</v>
      </c>
      <c r="W220" s="41" t="s">
        <v>139</v>
      </c>
      <c r="X220" s="41" t="s">
        <v>139</v>
      </c>
      <c r="Y220" s="42" t="s">
        <v>139</v>
      </c>
      <c r="Z220" s="43" t="s">
        <v>139</v>
      </c>
      <c r="AA220" s="41" t="s">
        <v>139</v>
      </c>
      <c r="AB220" s="41" t="s">
        <v>139</v>
      </c>
      <c r="AC220" s="41" t="s">
        <v>139</v>
      </c>
      <c r="AD220" s="41" t="s">
        <v>139</v>
      </c>
      <c r="AE220" s="44"/>
      <c r="AF220" s="45"/>
      <c r="AG220" s="45"/>
      <c r="AH220" s="46"/>
      <c r="AI220" s="45"/>
      <c r="AJ220" s="45"/>
      <c r="AK220" s="45"/>
      <c r="AL220" s="3" t="s">
        <v>1582</v>
      </c>
    </row>
    <row r="221" spans="2:38" ht="54" hidden="1">
      <c r="B221" s="144">
        <f t="shared" si="3"/>
        <v>218</v>
      </c>
      <c r="C221" s="148" t="s">
        <v>3732</v>
      </c>
      <c r="D221" s="148"/>
      <c r="E221" s="148"/>
      <c r="F221" s="148"/>
      <c r="G221" s="148"/>
      <c r="H221" s="148"/>
      <c r="I221" s="148"/>
      <c r="J221" s="148"/>
      <c r="K221" s="165" t="s">
        <v>3659</v>
      </c>
      <c r="L221" s="165" t="s">
        <v>3672</v>
      </c>
      <c r="M221" s="165" t="s">
        <v>3675</v>
      </c>
      <c r="N221" s="65" t="s">
        <v>3716</v>
      </c>
      <c r="O221" s="165" t="s">
        <v>3437</v>
      </c>
      <c r="P221" s="165" t="s">
        <v>2794</v>
      </c>
      <c r="Q221" s="126" t="s">
        <v>1637</v>
      </c>
      <c r="R221" s="40" t="s">
        <v>2795</v>
      </c>
      <c r="S221" s="40"/>
      <c r="T221" s="40" t="s">
        <v>1645</v>
      </c>
      <c r="U221" s="41" t="s">
        <v>2797</v>
      </c>
      <c r="V221" s="41" t="s">
        <v>139</v>
      </c>
      <c r="W221" s="41" t="s">
        <v>139</v>
      </c>
      <c r="X221" s="41" t="s">
        <v>139</v>
      </c>
      <c r="Y221" s="42" t="s">
        <v>139</v>
      </c>
      <c r="Z221" s="43" t="s">
        <v>218</v>
      </c>
      <c r="AA221" s="41" t="s">
        <v>139</v>
      </c>
      <c r="AB221" s="41" t="s">
        <v>139</v>
      </c>
      <c r="AC221" s="41" t="s">
        <v>139</v>
      </c>
      <c r="AD221" s="41" t="s">
        <v>139</v>
      </c>
      <c r="AE221" s="44"/>
      <c r="AF221" s="45"/>
      <c r="AG221" s="45"/>
      <c r="AH221" s="46"/>
      <c r="AI221" s="45"/>
      <c r="AJ221" s="45"/>
      <c r="AK221" s="45"/>
      <c r="AL221" s="3" t="s">
        <v>1582</v>
      </c>
    </row>
    <row r="222" spans="2:38" ht="40.5" hidden="1">
      <c r="B222" s="144">
        <f t="shared" si="3"/>
        <v>219</v>
      </c>
      <c r="C222" s="148" t="s">
        <v>3732</v>
      </c>
      <c r="D222" s="148"/>
      <c r="E222" s="148"/>
      <c r="F222" s="148"/>
      <c r="G222" s="148"/>
      <c r="H222" s="148"/>
      <c r="I222" s="148"/>
      <c r="J222" s="148"/>
      <c r="K222" s="165" t="s">
        <v>3659</v>
      </c>
      <c r="L222" s="165" t="s">
        <v>3672</v>
      </c>
      <c r="M222" s="165" t="s">
        <v>3675</v>
      </c>
      <c r="N222" s="65" t="s">
        <v>3716</v>
      </c>
      <c r="O222" s="165" t="s">
        <v>3438</v>
      </c>
      <c r="P222" s="165" t="s">
        <v>2117</v>
      </c>
      <c r="Q222" s="126" t="s">
        <v>1637</v>
      </c>
      <c r="R222" s="61" t="s">
        <v>3705</v>
      </c>
      <c r="S222" s="62"/>
      <c r="T222" s="61" t="s">
        <v>1645</v>
      </c>
      <c r="U222" s="41" t="s">
        <v>139</v>
      </c>
      <c r="V222" s="41" t="s">
        <v>139</v>
      </c>
      <c r="W222" s="41" t="s">
        <v>139</v>
      </c>
      <c r="X222" s="41" t="s">
        <v>2123</v>
      </c>
      <c r="Y222" s="42" t="s">
        <v>139</v>
      </c>
      <c r="Z222" s="43" t="s">
        <v>139</v>
      </c>
      <c r="AA222" s="41" t="s">
        <v>139</v>
      </c>
      <c r="AB222" s="41" t="s">
        <v>139</v>
      </c>
      <c r="AC222" s="41" t="s">
        <v>711</v>
      </c>
      <c r="AD222" s="41" t="s">
        <v>139</v>
      </c>
      <c r="AE222" s="44"/>
      <c r="AF222" s="45"/>
      <c r="AG222" s="45"/>
      <c r="AH222" s="46"/>
      <c r="AI222" s="45"/>
      <c r="AJ222" s="45"/>
      <c r="AK222" s="45"/>
      <c r="AL222" s="3" t="s">
        <v>1582</v>
      </c>
    </row>
    <row r="223" spans="2:38" ht="40.5" hidden="1">
      <c r="B223" s="144">
        <f t="shared" si="3"/>
        <v>220</v>
      </c>
      <c r="C223" s="148" t="s">
        <v>3732</v>
      </c>
      <c r="D223" s="148"/>
      <c r="E223" s="148"/>
      <c r="F223" s="148"/>
      <c r="G223" s="148"/>
      <c r="H223" s="148"/>
      <c r="I223" s="148"/>
      <c r="J223" s="148"/>
      <c r="K223" s="165" t="s">
        <v>3659</v>
      </c>
      <c r="L223" s="165" t="s">
        <v>3672</v>
      </c>
      <c r="M223" s="165" t="s">
        <v>3675</v>
      </c>
      <c r="N223" s="65" t="s">
        <v>3716</v>
      </c>
      <c r="O223" s="65" t="s">
        <v>3439</v>
      </c>
      <c r="P223" s="65" t="s">
        <v>2741</v>
      </c>
      <c r="Q223" s="54" t="s">
        <v>1637</v>
      </c>
      <c r="R223" s="72"/>
      <c r="S223" s="41"/>
      <c r="T223" s="41" t="s">
        <v>192</v>
      </c>
      <c r="U223" s="41" t="s">
        <v>139</v>
      </c>
      <c r="V223" s="41" t="s">
        <v>2742</v>
      </c>
      <c r="W223" s="41" t="s">
        <v>139</v>
      </c>
      <c r="X223" s="41" t="s">
        <v>139</v>
      </c>
      <c r="Y223" s="42" t="s">
        <v>139</v>
      </c>
      <c r="Z223" s="53" t="s">
        <v>139</v>
      </c>
      <c r="AA223" s="54" t="s">
        <v>1492</v>
      </c>
      <c r="AB223" s="54" t="s">
        <v>139</v>
      </c>
      <c r="AC223" s="54" t="s">
        <v>139</v>
      </c>
      <c r="AD223" s="54" t="s">
        <v>139</v>
      </c>
      <c r="AE223" s="55" t="s">
        <v>2740</v>
      </c>
      <c r="AF223" s="56"/>
      <c r="AG223" s="56"/>
      <c r="AH223" s="57"/>
      <c r="AI223" s="56"/>
      <c r="AJ223" s="56"/>
      <c r="AK223" s="56"/>
      <c r="AL223" s="3" t="s">
        <v>1582</v>
      </c>
    </row>
    <row r="224" spans="2:38" ht="54" hidden="1">
      <c r="B224" s="144">
        <f t="shared" si="3"/>
        <v>221</v>
      </c>
      <c r="C224" s="148" t="s">
        <v>3732</v>
      </c>
      <c r="D224" s="148"/>
      <c r="E224" s="148"/>
      <c r="F224" s="148"/>
      <c r="G224" s="148"/>
      <c r="H224" s="148"/>
      <c r="I224" s="148"/>
      <c r="J224" s="148"/>
      <c r="K224" s="165" t="s">
        <v>3659</v>
      </c>
      <c r="L224" s="165" t="s">
        <v>3672</v>
      </c>
      <c r="M224" s="165" t="s">
        <v>3675</v>
      </c>
      <c r="N224" s="65" t="s">
        <v>3716</v>
      </c>
      <c r="O224" s="165" t="s">
        <v>3440</v>
      </c>
      <c r="P224" s="165" t="s">
        <v>2737</v>
      </c>
      <c r="Q224" s="126" t="s">
        <v>3706</v>
      </c>
      <c r="R224" s="62" t="s">
        <v>2738</v>
      </c>
      <c r="S224" s="47"/>
      <c r="T224" s="40" t="s">
        <v>1645</v>
      </c>
      <c r="U224" s="41" t="s">
        <v>139</v>
      </c>
      <c r="V224" s="41" t="s">
        <v>2739</v>
      </c>
      <c r="W224" s="41" t="s">
        <v>139</v>
      </c>
      <c r="X224" s="41" t="s">
        <v>139</v>
      </c>
      <c r="Y224" s="42" t="s">
        <v>139</v>
      </c>
      <c r="Z224" s="43" t="s">
        <v>139</v>
      </c>
      <c r="AA224" s="41" t="s">
        <v>1482</v>
      </c>
      <c r="AB224" s="41" t="s">
        <v>139</v>
      </c>
      <c r="AC224" s="41" t="s">
        <v>139</v>
      </c>
      <c r="AD224" s="41" t="s">
        <v>139</v>
      </c>
      <c r="AE224" s="44" t="s">
        <v>2740</v>
      </c>
      <c r="AF224" s="45"/>
      <c r="AG224" s="45"/>
      <c r="AH224" s="46"/>
      <c r="AI224" s="45"/>
      <c r="AJ224" s="45"/>
      <c r="AK224" s="45"/>
      <c r="AL224" s="3" t="s">
        <v>1582</v>
      </c>
    </row>
    <row r="225" spans="2:38" ht="40.5" hidden="1">
      <c r="B225" s="144">
        <f t="shared" si="3"/>
        <v>222</v>
      </c>
      <c r="C225" s="148" t="s">
        <v>3732</v>
      </c>
      <c r="D225" s="148"/>
      <c r="E225" s="148"/>
      <c r="F225" s="148"/>
      <c r="G225" s="148"/>
      <c r="H225" s="148"/>
      <c r="I225" s="148"/>
      <c r="J225" s="148"/>
      <c r="K225" s="165" t="s">
        <v>3659</v>
      </c>
      <c r="L225" s="165" t="s">
        <v>3672</v>
      </c>
      <c r="M225" s="165" t="s">
        <v>3675</v>
      </c>
      <c r="N225" s="65" t="s">
        <v>3716</v>
      </c>
      <c r="O225" s="65" t="s">
        <v>794</v>
      </c>
      <c r="P225" s="65" t="s">
        <v>794</v>
      </c>
      <c r="Q225" s="126" t="s">
        <v>139</v>
      </c>
      <c r="R225" s="40" t="s">
        <v>795</v>
      </c>
      <c r="S225" s="40" t="s">
        <v>796</v>
      </c>
      <c r="T225" s="40" t="s">
        <v>797</v>
      </c>
      <c r="U225" s="41" t="s">
        <v>139</v>
      </c>
      <c r="V225" s="41" t="s">
        <v>139</v>
      </c>
      <c r="W225" s="41" t="s">
        <v>139</v>
      </c>
      <c r="X225" s="41" t="s">
        <v>798</v>
      </c>
      <c r="Y225" s="42" t="s">
        <v>139</v>
      </c>
      <c r="Z225" s="43" t="s">
        <v>139</v>
      </c>
      <c r="AA225" s="41" t="s">
        <v>139</v>
      </c>
      <c r="AB225" s="41" t="s">
        <v>139</v>
      </c>
      <c r="AC225" s="41" t="s">
        <v>229</v>
      </c>
      <c r="AD225" s="41" t="s">
        <v>139</v>
      </c>
      <c r="AE225" s="44"/>
      <c r="AF225" s="45"/>
      <c r="AG225" s="45"/>
      <c r="AH225" s="46"/>
      <c r="AI225" s="45"/>
      <c r="AJ225" s="45"/>
      <c r="AK225" s="45"/>
      <c r="AL225" s="3" t="s">
        <v>1582</v>
      </c>
    </row>
    <row r="226" spans="2:38" ht="40.5" hidden="1">
      <c r="B226" s="144">
        <f t="shared" si="3"/>
        <v>223</v>
      </c>
      <c r="C226" s="148" t="s">
        <v>3732</v>
      </c>
      <c r="D226" s="148"/>
      <c r="E226" s="148"/>
      <c r="F226" s="148"/>
      <c r="G226" s="148"/>
      <c r="H226" s="148"/>
      <c r="I226" s="148"/>
      <c r="J226" s="148"/>
      <c r="K226" s="165" t="s">
        <v>3659</v>
      </c>
      <c r="L226" s="165" t="s">
        <v>3672</v>
      </c>
      <c r="M226" s="165" t="s">
        <v>3675</v>
      </c>
      <c r="N226" s="65" t="s">
        <v>3716</v>
      </c>
      <c r="O226" s="65" t="s">
        <v>195</v>
      </c>
      <c r="P226" s="65" t="s">
        <v>195</v>
      </c>
      <c r="Q226" s="54" t="s">
        <v>196</v>
      </c>
      <c r="R226" s="41" t="s">
        <v>197</v>
      </c>
      <c r="S226" s="41" t="s">
        <v>198</v>
      </c>
      <c r="T226" s="41" t="s">
        <v>192</v>
      </c>
      <c r="U226" s="41" t="s">
        <v>199</v>
      </c>
      <c r="V226" s="41" t="s">
        <v>139</v>
      </c>
      <c r="W226" s="41" t="s">
        <v>139</v>
      </c>
      <c r="X226" s="41" t="s">
        <v>139</v>
      </c>
      <c r="Y226" s="41" t="s">
        <v>139</v>
      </c>
      <c r="Z226" s="53" t="s">
        <v>200</v>
      </c>
      <c r="AA226" s="54" t="s">
        <v>139</v>
      </c>
      <c r="AB226" s="54" t="s">
        <v>139</v>
      </c>
      <c r="AC226" s="54" t="s">
        <v>139</v>
      </c>
      <c r="AD226" s="54" t="s">
        <v>139</v>
      </c>
      <c r="AE226" s="55"/>
      <c r="AF226" s="56"/>
      <c r="AG226" s="56"/>
      <c r="AH226" s="57"/>
      <c r="AI226" s="56"/>
      <c r="AJ226" s="56"/>
      <c r="AK226" s="56"/>
      <c r="AL226" s="3" t="s">
        <v>1582</v>
      </c>
    </row>
    <row r="227" spans="2:38" ht="40.5" hidden="1">
      <c r="B227" s="144">
        <f t="shared" si="3"/>
        <v>224</v>
      </c>
      <c r="C227" s="148" t="s">
        <v>3732</v>
      </c>
      <c r="D227" s="148"/>
      <c r="E227" s="148"/>
      <c r="F227" s="148"/>
      <c r="G227" s="148"/>
      <c r="H227" s="148"/>
      <c r="I227" s="148"/>
      <c r="J227" s="148"/>
      <c r="K227" s="165" t="s">
        <v>3659</v>
      </c>
      <c r="L227" s="165" t="s">
        <v>3672</v>
      </c>
      <c r="M227" s="165" t="s">
        <v>3675</v>
      </c>
      <c r="N227" s="65" t="s">
        <v>3716</v>
      </c>
      <c r="O227" s="65" t="s">
        <v>3441</v>
      </c>
      <c r="P227" s="65" t="s">
        <v>2841</v>
      </c>
      <c r="Q227" s="54" t="s">
        <v>1637</v>
      </c>
      <c r="R227" s="41" t="s">
        <v>2842</v>
      </c>
      <c r="S227" s="41" t="s">
        <v>2844</v>
      </c>
      <c r="T227" s="41" t="s">
        <v>192</v>
      </c>
      <c r="U227" s="41" t="s">
        <v>2845</v>
      </c>
      <c r="V227" s="41" t="s">
        <v>139</v>
      </c>
      <c r="W227" s="41" t="s">
        <v>139</v>
      </c>
      <c r="X227" s="41" t="s">
        <v>139</v>
      </c>
      <c r="Y227" s="41" t="s">
        <v>139</v>
      </c>
      <c r="Z227" s="53" t="s">
        <v>2846</v>
      </c>
      <c r="AA227" s="54" t="s">
        <v>139</v>
      </c>
      <c r="AB227" s="54" t="s">
        <v>139</v>
      </c>
      <c r="AC227" s="54" t="s">
        <v>139</v>
      </c>
      <c r="AD227" s="54" t="s">
        <v>139</v>
      </c>
      <c r="AE227" s="55"/>
      <c r="AF227" s="56"/>
      <c r="AG227" s="56"/>
      <c r="AH227" s="57"/>
      <c r="AI227" s="56"/>
      <c r="AJ227" s="56"/>
      <c r="AK227" s="56"/>
      <c r="AL227" s="3" t="s">
        <v>1582</v>
      </c>
    </row>
    <row r="228" spans="2:38" ht="40.5">
      <c r="B228" s="144">
        <f t="shared" si="3"/>
        <v>225</v>
      </c>
      <c r="C228" s="148" t="s">
        <v>3731</v>
      </c>
      <c r="D228" s="148"/>
      <c r="E228" s="148"/>
      <c r="F228" s="148"/>
      <c r="G228" s="148"/>
      <c r="H228" s="148"/>
      <c r="I228" s="148"/>
      <c r="J228" s="148"/>
      <c r="K228" s="165" t="s">
        <v>3659</v>
      </c>
      <c r="L228" s="165" t="s">
        <v>3672</v>
      </c>
      <c r="M228" s="165" t="s">
        <v>3675</v>
      </c>
      <c r="N228" s="65" t="s">
        <v>3716</v>
      </c>
      <c r="O228" s="65" t="s">
        <v>188</v>
      </c>
      <c r="P228" s="65" t="s">
        <v>188</v>
      </c>
      <c r="Q228" s="54" t="s">
        <v>189</v>
      </c>
      <c r="R228" s="41" t="s">
        <v>190</v>
      </c>
      <c r="S228" s="41" t="s">
        <v>191</v>
      </c>
      <c r="T228" s="41" t="s">
        <v>192</v>
      </c>
      <c r="U228" s="41" t="s">
        <v>193</v>
      </c>
      <c r="V228" s="41" t="s">
        <v>139</v>
      </c>
      <c r="W228" s="41" t="s">
        <v>139</v>
      </c>
      <c r="X228" s="41" t="s">
        <v>139</v>
      </c>
      <c r="Y228" s="42" t="s">
        <v>139</v>
      </c>
      <c r="Z228" s="53" t="s">
        <v>194</v>
      </c>
      <c r="AA228" s="54" t="s">
        <v>139</v>
      </c>
      <c r="AB228" s="54" t="s">
        <v>139</v>
      </c>
      <c r="AC228" s="54" t="s">
        <v>139</v>
      </c>
      <c r="AD228" s="54" t="s">
        <v>139</v>
      </c>
      <c r="AE228" s="55"/>
      <c r="AF228" s="195"/>
      <c r="AG228" s="56"/>
      <c r="AH228" s="188">
        <v>1</v>
      </c>
      <c r="AI228" s="186" t="s">
        <v>3768</v>
      </c>
      <c r="AJ228" s="56"/>
      <c r="AK228" s="56"/>
      <c r="AL228" s="3" t="s">
        <v>1582</v>
      </c>
    </row>
    <row r="229" spans="2:38" ht="40.5" hidden="1">
      <c r="B229" s="144">
        <f t="shared" si="3"/>
        <v>226</v>
      </c>
      <c r="C229" s="148" t="s">
        <v>3732</v>
      </c>
      <c r="D229" s="148"/>
      <c r="E229" s="148"/>
      <c r="F229" s="148"/>
      <c r="G229" s="148"/>
      <c r="H229" s="148"/>
      <c r="I229" s="148"/>
      <c r="J229" s="148"/>
      <c r="K229" s="165" t="s">
        <v>3659</v>
      </c>
      <c r="L229" s="165" t="s">
        <v>3672</v>
      </c>
      <c r="M229" s="165" t="s">
        <v>3675</v>
      </c>
      <c r="N229" s="65" t="s">
        <v>3716</v>
      </c>
      <c r="O229" s="65" t="s">
        <v>201</v>
      </c>
      <c r="P229" s="65" t="s">
        <v>201</v>
      </c>
      <c r="Q229" s="54" t="s">
        <v>139</v>
      </c>
      <c r="R229" s="41" t="s">
        <v>202</v>
      </c>
      <c r="S229" s="41" t="s">
        <v>203</v>
      </c>
      <c r="T229" s="41" t="s">
        <v>192</v>
      </c>
      <c r="U229" s="41" t="s">
        <v>204</v>
      </c>
      <c r="V229" s="41" t="s">
        <v>139</v>
      </c>
      <c r="W229" s="41" t="s">
        <v>139</v>
      </c>
      <c r="X229" s="41" t="s">
        <v>139</v>
      </c>
      <c r="Y229" s="41" t="s">
        <v>139</v>
      </c>
      <c r="Z229" s="73" t="s">
        <v>200</v>
      </c>
      <c r="AA229" s="54" t="s">
        <v>139</v>
      </c>
      <c r="AB229" s="54" t="s">
        <v>139</v>
      </c>
      <c r="AC229" s="54" t="s">
        <v>139</v>
      </c>
      <c r="AD229" s="54" t="s">
        <v>139</v>
      </c>
      <c r="AE229" s="55"/>
      <c r="AF229" s="56"/>
      <c r="AG229" s="56"/>
      <c r="AH229" s="57"/>
      <c r="AI229" s="56"/>
      <c r="AJ229" s="56"/>
      <c r="AK229" s="56"/>
      <c r="AL229" s="3" t="s">
        <v>1582</v>
      </c>
    </row>
    <row r="230" spans="2:38" ht="40.5" hidden="1">
      <c r="B230" s="144">
        <f t="shared" si="3"/>
        <v>227</v>
      </c>
      <c r="C230" s="148" t="s">
        <v>3732</v>
      </c>
      <c r="D230" s="148"/>
      <c r="E230" s="148"/>
      <c r="F230" s="148"/>
      <c r="G230" s="148"/>
      <c r="H230" s="148"/>
      <c r="I230" s="148"/>
      <c r="J230" s="148"/>
      <c r="K230" s="165" t="s">
        <v>3659</v>
      </c>
      <c r="L230" s="165" t="s">
        <v>3672</v>
      </c>
      <c r="M230" s="165" t="s">
        <v>3675</v>
      </c>
      <c r="N230" s="65" t="s">
        <v>3716</v>
      </c>
      <c r="O230" s="65" t="s">
        <v>205</v>
      </c>
      <c r="P230" s="65" t="s">
        <v>205</v>
      </c>
      <c r="Q230" s="54" t="s">
        <v>139</v>
      </c>
      <c r="R230" s="41" t="s">
        <v>206</v>
      </c>
      <c r="S230" s="41" t="s">
        <v>207</v>
      </c>
      <c r="T230" s="41" t="s">
        <v>192</v>
      </c>
      <c r="U230" s="41" t="s">
        <v>208</v>
      </c>
      <c r="V230" s="41" t="s">
        <v>139</v>
      </c>
      <c r="W230" s="41" t="s">
        <v>139</v>
      </c>
      <c r="X230" s="41" t="s">
        <v>139</v>
      </c>
      <c r="Y230" s="41" t="s">
        <v>139</v>
      </c>
      <c r="Z230" s="73" t="s">
        <v>200</v>
      </c>
      <c r="AA230" s="54" t="s">
        <v>139</v>
      </c>
      <c r="AB230" s="54" t="s">
        <v>139</v>
      </c>
      <c r="AC230" s="54" t="s">
        <v>139</v>
      </c>
      <c r="AD230" s="54" t="s">
        <v>139</v>
      </c>
      <c r="AE230" s="55"/>
      <c r="AF230" s="56"/>
      <c r="AG230" s="56"/>
      <c r="AH230" s="57"/>
      <c r="AI230" s="56"/>
      <c r="AJ230" s="56"/>
      <c r="AK230" s="56"/>
      <c r="AL230" s="3" t="s">
        <v>1582</v>
      </c>
    </row>
    <row r="231" spans="2:38" ht="40.5">
      <c r="B231" s="144">
        <f t="shared" si="3"/>
        <v>228</v>
      </c>
      <c r="C231" s="148" t="s">
        <v>3731</v>
      </c>
      <c r="D231" s="148"/>
      <c r="E231" s="148"/>
      <c r="F231" s="148"/>
      <c r="G231" s="148"/>
      <c r="H231" s="148"/>
      <c r="I231" s="148"/>
      <c r="J231" s="148"/>
      <c r="K231" s="165" t="s">
        <v>3659</v>
      </c>
      <c r="L231" s="165" t="s">
        <v>3672</v>
      </c>
      <c r="M231" s="165" t="s">
        <v>3675</v>
      </c>
      <c r="N231" s="65" t="s">
        <v>3716</v>
      </c>
      <c r="O231" s="65" t="s">
        <v>3442</v>
      </c>
      <c r="P231" s="65" t="s">
        <v>2860</v>
      </c>
      <c r="Q231" s="54" t="s">
        <v>1637</v>
      </c>
      <c r="R231" s="41" t="s">
        <v>2861</v>
      </c>
      <c r="S231" s="41" t="s">
        <v>2862</v>
      </c>
      <c r="T231" s="41" t="s">
        <v>192</v>
      </c>
      <c r="U231" s="41" t="s">
        <v>2845</v>
      </c>
      <c r="V231" s="41" t="s">
        <v>139</v>
      </c>
      <c r="W231" s="41" t="s">
        <v>139</v>
      </c>
      <c r="X231" s="41" t="s">
        <v>139</v>
      </c>
      <c r="Y231" s="42" t="s">
        <v>139</v>
      </c>
      <c r="Z231" s="53" t="s">
        <v>2905</v>
      </c>
      <c r="AA231" s="54" t="s">
        <v>139</v>
      </c>
      <c r="AB231" s="54" t="s">
        <v>139</v>
      </c>
      <c r="AC231" s="54" t="s">
        <v>139</v>
      </c>
      <c r="AD231" s="54" t="s">
        <v>139</v>
      </c>
      <c r="AE231" s="55"/>
      <c r="AF231" s="195"/>
      <c r="AG231" s="56"/>
      <c r="AH231" s="188"/>
      <c r="AI231" s="56"/>
      <c r="AJ231" s="56"/>
      <c r="AK231" s="56"/>
      <c r="AL231" s="3" t="s">
        <v>1582</v>
      </c>
    </row>
    <row r="232" spans="2:38" ht="40.5" hidden="1">
      <c r="B232" s="144">
        <f t="shared" si="3"/>
        <v>229</v>
      </c>
      <c r="C232" s="148" t="s">
        <v>3732</v>
      </c>
      <c r="D232" s="148"/>
      <c r="E232" s="148"/>
      <c r="F232" s="148"/>
      <c r="G232" s="148"/>
      <c r="H232" s="148"/>
      <c r="I232" s="148"/>
      <c r="J232" s="148"/>
      <c r="K232" s="165" t="s">
        <v>3659</v>
      </c>
      <c r="L232" s="165" t="s">
        <v>3672</v>
      </c>
      <c r="M232" s="165" t="s">
        <v>3675</v>
      </c>
      <c r="N232" s="65" t="s">
        <v>3716</v>
      </c>
      <c r="O232" s="65" t="s">
        <v>2863</v>
      </c>
      <c r="P232" s="65" t="s">
        <v>2863</v>
      </c>
      <c r="Q232" s="54" t="s">
        <v>1637</v>
      </c>
      <c r="R232" s="41" t="s">
        <v>2864</v>
      </c>
      <c r="S232" s="41"/>
      <c r="T232" s="41" t="s">
        <v>192</v>
      </c>
      <c r="U232" s="41" t="s">
        <v>2845</v>
      </c>
      <c r="V232" s="41" t="s">
        <v>139</v>
      </c>
      <c r="W232" s="41" t="s">
        <v>139</v>
      </c>
      <c r="X232" s="41" t="s">
        <v>139</v>
      </c>
      <c r="Y232" s="42" t="s">
        <v>139</v>
      </c>
      <c r="Z232" s="53" t="s">
        <v>2905</v>
      </c>
      <c r="AA232" s="54" t="s">
        <v>139</v>
      </c>
      <c r="AB232" s="54" t="s">
        <v>139</v>
      </c>
      <c r="AC232" s="54" t="s">
        <v>139</v>
      </c>
      <c r="AD232" s="54" t="s">
        <v>139</v>
      </c>
      <c r="AE232" s="55"/>
      <c r="AF232" s="56"/>
      <c r="AG232" s="56"/>
      <c r="AH232" s="57"/>
      <c r="AI232" s="56"/>
      <c r="AJ232" s="56"/>
      <c r="AK232" s="56"/>
      <c r="AL232" s="3" t="s">
        <v>1582</v>
      </c>
    </row>
    <row r="233" spans="2:38" ht="40.5" hidden="1">
      <c r="B233" s="144">
        <f t="shared" si="3"/>
        <v>230</v>
      </c>
      <c r="C233" s="148" t="s">
        <v>3732</v>
      </c>
      <c r="D233" s="148"/>
      <c r="E233" s="148"/>
      <c r="F233" s="148"/>
      <c r="G233" s="148"/>
      <c r="H233" s="148"/>
      <c r="I233" s="148"/>
      <c r="J233" s="148"/>
      <c r="K233" s="165" t="s">
        <v>3659</v>
      </c>
      <c r="L233" s="165" t="s">
        <v>3672</v>
      </c>
      <c r="M233" s="165" t="s">
        <v>3675</v>
      </c>
      <c r="N233" s="165" t="s">
        <v>3708</v>
      </c>
      <c r="O233" s="165" t="s">
        <v>926</v>
      </c>
      <c r="P233" s="165" t="s">
        <v>926</v>
      </c>
      <c r="Q233" s="126" t="s">
        <v>139</v>
      </c>
      <c r="R233" s="40" t="s">
        <v>927</v>
      </c>
      <c r="S233" s="40" t="s">
        <v>928</v>
      </c>
      <c r="T233" s="40" t="s">
        <v>929</v>
      </c>
      <c r="U233" s="41" t="s">
        <v>139</v>
      </c>
      <c r="V233" s="41" t="s">
        <v>2725</v>
      </c>
      <c r="W233" s="41" t="s">
        <v>139</v>
      </c>
      <c r="X233" s="41" t="s">
        <v>925</v>
      </c>
      <c r="Y233" s="42" t="s">
        <v>139</v>
      </c>
      <c r="Z233" s="43" t="s">
        <v>139</v>
      </c>
      <c r="AA233" s="41" t="s">
        <v>2724</v>
      </c>
      <c r="AB233" s="41" t="s">
        <v>139</v>
      </c>
      <c r="AC233" s="41" t="s">
        <v>895</v>
      </c>
      <c r="AD233" s="41" t="s">
        <v>139</v>
      </c>
      <c r="AE233" s="44"/>
      <c r="AF233" s="45"/>
      <c r="AG233" s="45"/>
      <c r="AH233" s="46"/>
      <c r="AI233" s="45"/>
      <c r="AJ233" s="45"/>
      <c r="AK233" s="45"/>
      <c r="AL233" s="3" t="s">
        <v>1582</v>
      </c>
    </row>
    <row r="234" spans="2:38" ht="40.5" hidden="1">
      <c r="B234" s="144">
        <f t="shared" si="3"/>
        <v>231</v>
      </c>
      <c r="C234" s="148" t="s">
        <v>3732</v>
      </c>
      <c r="D234" s="148"/>
      <c r="E234" s="148"/>
      <c r="F234" s="148"/>
      <c r="G234" s="148"/>
      <c r="H234" s="148"/>
      <c r="I234" s="148"/>
      <c r="J234" s="148"/>
      <c r="K234" s="165" t="s">
        <v>3659</v>
      </c>
      <c r="L234" s="165" t="s">
        <v>3672</v>
      </c>
      <c r="M234" s="165" t="s">
        <v>3675</v>
      </c>
      <c r="N234" s="165" t="s">
        <v>3708</v>
      </c>
      <c r="O234" s="165" t="s">
        <v>3443</v>
      </c>
      <c r="P234" s="165" t="s">
        <v>2720</v>
      </c>
      <c r="Q234" s="126" t="s">
        <v>1637</v>
      </c>
      <c r="R234" s="40" t="s">
        <v>2721</v>
      </c>
      <c r="S234" s="40"/>
      <c r="T234" s="40" t="s">
        <v>1895</v>
      </c>
      <c r="U234" s="41" t="s">
        <v>139</v>
      </c>
      <c r="V234" s="41" t="s">
        <v>2710</v>
      </c>
      <c r="W234" s="41" t="s">
        <v>139</v>
      </c>
      <c r="X234" s="41" t="s">
        <v>139</v>
      </c>
      <c r="Y234" s="42" t="s">
        <v>139</v>
      </c>
      <c r="Z234" s="43" t="s">
        <v>139</v>
      </c>
      <c r="AA234" s="41" t="s">
        <v>1486</v>
      </c>
      <c r="AB234" s="41" t="s">
        <v>139</v>
      </c>
      <c r="AC234" s="41" t="s">
        <v>139</v>
      </c>
      <c r="AD234" s="41" t="s">
        <v>139</v>
      </c>
      <c r="AE234" s="44"/>
      <c r="AF234" s="45"/>
      <c r="AG234" s="45"/>
      <c r="AH234" s="46"/>
      <c r="AI234" s="45"/>
      <c r="AJ234" s="45"/>
      <c r="AK234" s="45"/>
      <c r="AL234" s="3" t="s">
        <v>1582</v>
      </c>
    </row>
    <row r="235" spans="2:38" ht="40.5" hidden="1">
      <c r="B235" s="144">
        <f t="shared" si="3"/>
        <v>232</v>
      </c>
      <c r="C235" s="148" t="s">
        <v>3732</v>
      </c>
      <c r="D235" s="148"/>
      <c r="E235" s="148"/>
      <c r="F235" s="148"/>
      <c r="G235" s="148"/>
      <c r="H235" s="148"/>
      <c r="I235" s="148"/>
      <c r="J235" s="148"/>
      <c r="K235" s="165" t="s">
        <v>3659</v>
      </c>
      <c r="L235" s="165" t="s">
        <v>3672</v>
      </c>
      <c r="M235" s="165" t="s">
        <v>3675</v>
      </c>
      <c r="N235" s="165" t="s">
        <v>3708</v>
      </c>
      <c r="O235" s="65" t="s">
        <v>308</v>
      </c>
      <c r="P235" s="65" t="s">
        <v>308</v>
      </c>
      <c r="Q235" s="54" t="s">
        <v>139</v>
      </c>
      <c r="R235" s="41" t="s">
        <v>309</v>
      </c>
      <c r="S235" s="41" t="s">
        <v>310</v>
      </c>
      <c r="T235" s="41" t="s">
        <v>192</v>
      </c>
      <c r="U235" s="41" t="s">
        <v>311</v>
      </c>
      <c r="V235" s="41" t="s">
        <v>139</v>
      </c>
      <c r="W235" s="41" t="s">
        <v>139</v>
      </c>
      <c r="X235" s="41" t="s">
        <v>139</v>
      </c>
      <c r="Y235" s="42" t="s">
        <v>139</v>
      </c>
      <c r="Z235" s="53" t="s">
        <v>133</v>
      </c>
      <c r="AA235" s="54" t="s">
        <v>139</v>
      </c>
      <c r="AB235" s="54" t="s">
        <v>139</v>
      </c>
      <c r="AC235" s="54" t="s">
        <v>139</v>
      </c>
      <c r="AD235" s="54" t="s">
        <v>139</v>
      </c>
      <c r="AE235" s="55"/>
      <c r="AF235" s="56"/>
      <c r="AG235" s="56"/>
      <c r="AH235" s="57"/>
      <c r="AI235" s="56"/>
      <c r="AJ235" s="56"/>
      <c r="AK235" s="56"/>
      <c r="AL235" s="3" t="s">
        <v>1582</v>
      </c>
    </row>
    <row r="236" spans="2:38" ht="54" hidden="1">
      <c r="B236" s="144">
        <f t="shared" si="3"/>
        <v>233</v>
      </c>
      <c r="C236" s="148" t="s">
        <v>3732</v>
      </c>
      <c r="D236" s="148"/>
      <c r="E236" s="148"/>
      <c r="F236" s="148"/>
      <c r="G236" s="148"/>
      <c r="H236" s="148"/>
      <c r="I236" s="148"/>
      <c r="J236" s="148"/>
      <c r="K236" s="165" t="s">
        <v>3659</v>
      </c>
      <c r="L236" s="165" t="s">
        <v>3672</v>
      </c>
      <c r="M236" s="165" t="s">
        <v>3675</v>
      </c>
      <c r="N236" s="165" t="s">
        <v>3708</v>
      </c>
      <c r="O236" s="165" t="s">
        <v>3444</v>
      </c>
      <c r="P236" s="165" t="s">
        <v>2718</v>
      </c>
      <c r="Q236" s="126" t="s">
        <v>2722</v>
      </c>
      <c r="R236" s="40" t="s">
        <v>2719</v>
      </c>
      <c r="S236" s="40"/>
      <c r="T236" s="40" t="s">
        <v>1645</v>
      </c>
      <c r="U236" s="41" t="s">
        <v>139</v>
      </c>
      <c r="V236" s="41" t="s">
        <v>2710</v>
      </c>
      <c r="W236" s="41" t="s">
        <v>139</v>
      </c>
      <c r="X236" s="41" t="s">
        <v>139</v>
      </c>
      <c r="Y236" s="42" t="s">
        <v>139</v>
      </c>
      <c r="Z236" s="43" t="s">
        <v>139</v>
      </c>
      <c r="AA236" s="41" t="s">
        <v>1486</v>
      </c>
      <c r="AB236" s="41" t="s">
        <v>139</v>
      </c>
      <c r="AC236" s="41" t="s">
        <v>139</v>
      </c>
      <c r="AD236" s="41" t="s">
        <v>139</v>
      </c>
      <c r="AE236" s="44"/>
      <c r="AF236" s="45"/>
      <c r="AG236" s="45"/>
      <c r="AH236" s="46"/>
      <c r="AI236" s="45"/>
      <c r="AJ236" s="45"/>
      <c r="AK236" s="45"/>
      <c r="AL236" s="3" t="s">
        <v>1582</v>
      </c>
    </row>
    <row r="237" spans="2:38" ht="40.5" hidden="1">
      <c r="B237" s="144">
        <f t="shared" si="3"/>
        <v>234</v>
      </c>
      <c r="C237" s="148" t="s">
        <v>3732</v>
      </c>
      <c r="D237" s="148"/>
      <c r="E237" s="148"/>
      <c r="F237" s="148"/>
      <c r="G237" s="148"/>
      <c r="H237" s="148"/>
      <c r="I237" s="148"/>
      <c r="J237" s="148"/>
      <c r="K237" s="165" t="s">
        <v>3659</v>
      </c>
      <c r="L237" s="165" t="s">
        <v>3672</v>
      </c>
      <c r="M237" s="165" t="s">
        <v>3675</v>
      </c>
      <c r="N237" s="165" t="s">
        <v>3708</v>
      </c>
      <c r="O237" s="165" t="s">
        <v>1001</v>
      </c>
      <c r="P237" s="165" t="s">
        <v>1001</v>
      </c>
      <c r="Q237" s="126" t="s">
        <v>1002</v>
      </c>
      <c r="R237" s="40" t="s">
        <v>1003</v>
      </c>
      <c r="S237" s="40" t="s">
        <v>1004</v>
      </c>
      <c r="T237" s="40" t="s">
        <v>161</v>
      </c>
      <c r="U237" s="41" t="s">
        <v>139</v>
      </c>
      <c r="V237" s="41" t="s">
        <v>139</v>
      </c>
      <c r="W237" s="41" t="s">
        <v>139</v>
      </c>
      <c r="X237" s="41" t="s">
        <v>1005</v>
      </c>
      <c r="Y237" s="41" t="s">
        <v>139</v>
      </c>
      <c r="Z237" s="43" t="s">
        <v>139</v>
      </c>
      <c r="AA237" s="41" t="s">
        <v>139</v>
      </c>
      <c r="AB237" s="41" t="s">
        <v>139</v>
      </c>
      <c r="AC237" s="41" t="s">
        <v>1006</v>
      </c>
      <c r="AD237" s="41" t="s">
        <v>139</v>
      </c>
      <c r="AE237" s="44"/>
      <c r="AF237" s="45"/>
      <c r="AG237" s="45"/>
      <c r="AH237" s="46"/>
      <c r="AI237" s="45"/>
      <c r="AJ237" s="45"/>
      <c r="AK237" s="45"/>
      <c r="AL237" s="3" t="s">
        <v>1582</v>
      </c>
    </row>
    <row r="238" spans="2:38" ht="40.5" hidden="1">
      <c r="B238" s="144">
        <f t="shared" si="3"/>
        <v>235</v>
      </c>
      <c r="C238" s="148" t="s">
        <v>3732</v>
      </c>
      <c r="D238" s="148"/>
      <c r="E238" s="148"/>
      <c r="F238" s="148"/>
      <c r="G238" s="148"/>
      <c r="H238" s="148"/>
      <c r="I238" s="148"/>
      <c r="J238" s="148"/>
      <c r="K238" s="165" t="s">
        <v>3659</v>
      </c>
      <c r="L238" s="165" t="s">
        <v>3672</v>
      </c>
      <c r="M238" s="165" t="s">
        <v>3675</v>
      </c>
      <c r="N238" s="165" t="s">
        <v>3708</v>
      </c>
      <c r="O238" s="165" t="s">
        <v>1007</v>
      </c>
      <c r="P238" s="165" t="s">
        <v>1007</v>
      </c>
      <c r="Q238" s="126" t="s">
        <v>2008</v>
      </c>
      <c r="R238" s="40" t="s">
        <v>1008</v>
      </c>
      <c r="S238" s="40" t="s">
        <v>1009</v>
      </c>
      <c r="T238" s="40" t="s">
        <v>161</v>
      </c>
      <c r="U238" s="41" t="s">
        <v>139</v>
      </c>
      <c r="V238" s="41" t="s">
        <v>139</v>
      </c>
      <c r="W238" s="41" t="s">
        <v>139</v>
      </c>
      <c r="X238" s="41" t="s">
        <v>1010</v>
      </c>
      <c r="Y238" s="41" t="s">
        <v>2006</v>
      </c>
      <c r="Z238" s="43" t="s">
        <v>139</v>
      </c>
      <c r="AA238" s="41" t="s">
        <v>139</v>
      </c>
      <c r="AB238" s="41" t="s">
        <v>139</v>
      </c>
      <c r="AC238" s="41" t="s">
        <v>1006</v>
      </c>
      <c r="AD238" s="41" t="s">
        <v>2007</v>
      </c>
      <c r="AE238" s="44"/>
      <c r="AF238" s="45"/>
      <c r="AG238" s="45"/>
      <c r="AH238" s="46"/>
      <c r="AI238" s="45"/>
      <c r="AJ238" s="45"/>
      <c r="AK238" s="45"/>
      <c r="AL238" s="3" t="s">
        <v>1582</v>
      </c>
    </row>
    <row r="239" spans="2:38" ht="40.5" hidden="1">
      <c r="B239" s="144">
        <f t="shared" si="3"/>
        <v>236</v>
      </c>
      <c r="C239" s="148" t="s">
        <v>3732</v>
      </c>
      <c r="D239" s="148"/>
      <c r="E239" s="148"/>
      <c r="F239" s="148"/>
      <c r="G239" s="148"/>
      <c r="H239" s="148"/>
      <c r="I239" s="148"/>
      <c r="J239" s="148"/>
      <c r="K239" s="165" t="s">
        <v>3659</v>
      </c>
      <c r="L239" s="165" t="s">
        <v>3672</v>
      </c>
      <c r="M239" s="165" t="s">
        <v>3675</v>
      </c>
      <c r="N239" s="165" t="s">
        <v>3708</v>
      </c>
      <c r="O239" s="65" t="s">
        <v>516</v>
      </c>
      <c r="P239" s="65" t="s">
        <v>516</v>
      </c>
      <c r="Q239" s="54" t="s">
        <v>139</v>
      </c>
      <c r="R239" s="41" t="s">
        <v>517</v>
      </c>
      <c r="S239" s="41"/>
      <c r="T239" s="41" t="s">
        <v>161</v>
      </c>
      <c r="U239" s="41" t="s">
        <v>518</v>
      </c>
      <c r="V239" s="41" t="s">
        <v>139</v>
      </c>
      <c r="W239" s="41" t="s">
        <v>139</v>
      </c>
      <c r="X239" s="41" t="s">
        <v>139</v>
      </c>
      <c r="Y239" s="41" t="s">
        <v>139</v>
      </c>
      <c r="Z239" s="53" t="s">
        <v>163</v>
      </c>
      <c r="AA239" s="54" t="s">
        <v>139</v>
      </c>
      <c r="AB239" s="54" t="s">
        <v>139</v>
      </c>
      <c r="AC239" s="54" t="s">
        <v>139</v>
      </c>
      <c r="AD239" s="54" t="s">
        <v>139</v>
      </c>
      <c r="AE239" s="55"/>
      <c r="AF239" s="56"/>
      <c r="AG239" s="56"/>
      <c r="AH239" s="57"/>
      <c r="AI239" s="56"/>
      <c r="AJ239" s="56"/>
      <c r="AK239" s="56"/>
      <c r="AL239" s="3" t="s">
        <v>1582</v>
      </c>
    </row>
    <row r="240" spans="2:38" ht="40.5" hidden="1">
      <c r="B240" s="144">
        <f t="shared" si="3"/>
        <v>237</v>
      </c>
      <c r="C240" s="148" t="s">
        <v>3732</v>
      </c>
      <c r="D240" s="148"/>
      <c r="E240" s="148"/>
      <c r="F240" s="148"/>
      <c r="G240" s="148"/>
      <c r="H240" s="148"/>
      <c r="I240" s="148"/>
      <c r="J240" s="148"/>
      <c r="K240" s="165" t="s">
        <v>3659</v>
      </c>
      <c r="L240" s="165" t="s">
        <v>3672</v>
      </c>
      <c r="M240" s="165" t="s">
        <v>3675</v>
      </c>
      <c r="N240" s="165" t="s">
        <v>3708</v>
      </c>
      <c r="O240" s="65" t="s">
        <v>513</v>
      </c>
      <c r="P240" s="65" t="s">
        <v>513</v>
      </c>
      <c r="Q240" s="54" t="s">
        <v>139</v>
      </c>
      <c r="R240" s="41" t="s">
        <v>514</v>
      </c>
      <c r="S240" s="41" t="s">
        <v>515</v>
      </c>
      <c r="T240" s="41" t="s">
        <v>161</v>
      </c>
      <c r="U240" s="41" t="s">
        <v>378</v>
      </c>
      <c r="V240" s="41" t="s">
        <v>139</v>
      </c>
      <c r="W240" s="41" t="s">
        <v>139</v>
      </c>
      <c r="X240" s="41" t="s">
        <v>139</v>
      </c>
      <c r="Y240" s="41" t="s">
        <v>139</v>
      </c>
      <c r="Z240" s="73" t="s">
        <v>163</v>
      </c>
      <c r="AA240" s="54" t="s">
        <v>139</v>
      </c>
      <c r="AB240" s="54" t="s">
        <v>139</v>
      </c>
      <c r="AC240" s="54" t="s">
        <v>139</v>
      </c>
      <c r="AD240" s="54" t="s">
        <v>139</v>
      </c>
      <c r="AE240" s="55"/>
      <c r="AF240" s="56"/>
      <c r="AG240" s="56"/>
      <c r="AH240" s="57"/>
      <c r="AI240" s="56"/>
      <c r="AJ240" s="56"/>
      <c r="AK240" s="56"/>
      <c r="AL240" s="3" t="s">
        <v>1582</v>
      </c>
    </row>
    <row r="241" spans="2:38" ht="40.5" hidden="1">
      <c r="B241" s="144">
        <f t="shared" si="3"/>
        <v>238</v>
      </c>
      <c r="C241" s="148" t="s">
        <v>3732</v>
      </c>
      <c r="D241" s="148"/>
      <c r="E241" s="148"/>
      <c r="F241" s="148"/>
      <c r="G241" s="148"/>
      <c r="H241" s="148"/>
      <c r="I241" s="148"/>
      <c r="J241" s="148"/>
      <c r="K241" s="165" t="s">
        <v>3659</v>
      </c>
      <c r="L241" s="165" t="s">
        <v>3672</v>
      </c>
      <c r="M241" s="165" t="s">
        <v>3675</v>
      </c>
      <c r="N241" s="165" t="s">
        <v>3708</v>
      </c>
      <c r="O241" s="165" t="s">
        <v>1337</v>
      </c>
      <c r="P241" s="165" t="s">
        <v>1337</v>
      </c>
      <c r="Q241" s="126" t="s">
        <v>1338</v>
      </c>
      <c r="R241" s="40" t="s">
        <v>1339</v>
      </c>
      <c r="S241" s="40" t="s">
        <v>1340</v>
      </c>
      <c r="T241" s="40" t="s">
        <v>161</v>
      </c>
      <c r="U241" s="41" t="s">
        <v>1341</v>
      </c>
      <c r="V241" s="41" t="s">
        <v>139</v>
      </c>
      <c r="W241" s="41" t="s">
        <v>139</v>
      </c>
      <c r="X241" s="41" t="s">
        <v>139</v>
      </c>
      <c r="Y241" s="42" t="s">
        <v>139</v>
      </c>
      <c r="Z241" s="43" t="s">
        <v>117</v>
      </c>
      <c r="AA241" s="41" t="s">
        <v>139</v>
      </c>
      <c r="AB241" s="41" t="s">
        <v>139</v>
      </c>
      <c r="AC241" s="41" t="s">
        <v>139</v>
      </c>
      <c r="AD241" s="41" t="s">
        <v>139</v>
      </c>
      <c r="AE241" s="44"/>
      <c r="AF241" s="45"/>
      <c r="AG241" s="45"/>
      <c r="AH241" s="46"/>
      <c r="AI241" s="45"/>
      <c r="AJ241" s="45"/>
      <c r="AK241" s="45"/>
      <c r="AL241" s="3" t="s">
        <v>1582</v>
      </c>
    </row>
    <row r="242" spans="2:38" ht="40.5" hidden="1">
      <c r="B242" s="144">
        <f t="shared" si="3"/>
        <v>239</v>
      </c>
      <c r="C242" s="148" t="s">
        <v>3732</v>
      </c>
      <c r="D242" s="148"/>
      <c r="E242" s="148"/>
      <c r="F242" s="148"/>
      <c r="G242" s="148"/>
      <c r="H242" s="148"/>
      <c r="I242" s="148"/>
      <c r="J242" s="148"/>
      <c r="K242" s="165" t="s">
        <v>3659</v>
      </c>
      <c r="L242" s="165" t="s">
        <v>3672</v>
      </c>
      <c r="M242" s="165" t="s">
        <v>3675</v>
      </c>
      <c r="N242" s="165" t="s">
        <v>3708</v>
      </c>
      <c r="O242" s="65" t="s">
        <v>359</v>
      </c>
      <c r="P242" s="65" t="s">
        <v>359</v>
      </c>
      <c r="Q242" s="54" t="s">
        <v>139</v>
      </c>
      <c r="R242" s="41" t="s">
        <v>360</v>
      </c>
      <c r="S242" s="41"/>
      <c r="T242" s="41" t="s">
        <v>192</v>
      </c>
      <c r="U242" s="41" t="s">
        <v>358</v>
      </c>
      <c r="V242" s="41" t="s">
        <v>139</v>
      </c>
      <c r="W242" s="41" t="s">
        <v>139</v>
      </c>
      <c r="X242" s="41" t="s">
        <v>139</v>
      </c>
      <c r="Y242" s="42" t="s">
        <v>139</v>
      </c>
      <c r="Z242" s="53" t="s">
        <v>2888</v>
      </c>
      <c r="AA242" s="54" t="s">
        <v>139</v>
      </c>
      <c r="AB242" s="54" t="s">
        <v>139</v>
      </c>
      <c r="AC242" s="54" t="s">
        <v>139</v>
      </c>
      <c r="AD242" s="54" t="s">
        <v>139</v>
      </c>
      <c r="AE242" s="55"/>
      <c r="AF242" s="56"/>
      <c r="AG242" s="56"/>
      <c r="AH242" s="57"/>
      <c r="AI242" s="56"/>
      <c r="AJ242" s="56"/>
      <c r="AK242" s="56"/>
      <c r="AL242" s="3" t="s">
        <v>1582</v>
      </c>
    </row>
    <row r="243" spans="2:38" ht="40.5" hidden="1">
      <c r="B243" s="144">
        <f t="shared" si="3"/>
        <v>240</v>
      </c>
      <c r="C243" s="148" t="s">
        <v>3732</v>
      </c>
      <c r="D243" s="148"/>
      <c r="E243" s="148"/>
      <c r="F243" s="148"/>
      <c r="G243" s="148"/>
      <c r="H243" s="148"/>
      <c r="I243" s="148"/>
      <c r="J243" s="148"/>
      <c r="K243" s="165" t="s">
        <v>3659</v>
      </c>
      <c r="L243" s="165" t="s">
        <v>3672</v>
      </c>
      <c r="M243" s="165" t="s">
        <v>3675</v>
      </c>
      <c r="N243" s="165" t="s">
        <v>3708</v>
      </c>
      <c r="O243" s="165" t="s">
        <v>1292</v>
      </c>
      <c r="P243" s="165" t="s">
        <v>1292</v>
      </c>
      <c r="Q243" s="126" t="s">
        <v>1293</v>
      </c>
      <c r="R243" s="40" t="s">
        <v>1294</v>
      </c>
      <c r="S243" s="40" t="s">
        <v>1295</v>
      </c>
      <c r="T243" s="40" t="s">
        <v>161</v>
      </c>
      <c r="U243" s="41" t="s">
        <v>1296</v>
      </c>
      <c r="V243" s="41" t="s">
        <v>139</v>
      </c>
      <c r="W243" s="41" t="s">
        <v>139</v>
      </c>
      <c r="X243" s="41" t="s">
        <v>139</v>
      </c>
      <c r="Y243" s="42" t="s">
        <v>139</v>
      </c>
      <c r="Z243" s="43" t="s">
        <v>117</v>
      </c>
      <c r="AA243" s="41" t="s">
        <v>139</v>
      </c>
      <c r="AB243" s="41" t="s">
        <v>139</v>
      </c>
      <c r="AC243" s="41" t="s">
        <v>139</v>
      </c>
      <c r="AD243" s="41" t="s">
        <v>139</v>
      </c>
      <c r="AE243" s="44"/>
      <c r="AF243" s="45"/>
      <c r="AG243" s="45"/>
      <c r="AH243" s="46"/>
      <c r="AI243" s="45"/>
      <c r="AJ243" s="45"/>
      <c r="AK243" s="45"/>
      <c r="AL243" s="3" t="s">
        <v>1582</v>
      </c>
    </row>
    <row r="244" spans="2:38" ht="40.5" hidden="1">
      <c r="B244" s="144">
        <f t="shared" si="3"/>
        <v>241</v>
      </c>
      <c r="C244" s="148" t="s">
        <v>3732</v>
      </c>
      <c r="D244" s="148"/>
      <c r="E244" s="148"/>
      <c r="F244" s="148"/>
      <c r="G244" s="148"/>
      <c r="H244" s="148"/>
      <c r="I244" s="148"/>
      <c r="J244" s="148"/>
      <c r="K244" s="165" t="s">
        <v>3659</v>
      </c>
      <c r="L244" s="165" t="s">
        <v>3672</v>
      </c>
      <c r="M244" s="165" t="s">
        <v>3675</v>
      </c>
      <c r="N244" s="165" t="s">
        <v>3708</v>
      </c>
      <c r="O244" s="65" t="s">
        <v>3445</v>
      </c>
      <c r="P244" s="65" t="s">
        <v>2054</v>
      </c>
      <c r="Q244" s="54" t="s">
        <v>1637</v>
      </c>
      <c r="R244" s="72"/>
      <c r="S244" s="72"/>
      <c r="T244" s="41" t="s">
        <v>2056</v>
      </c>
      <c r="U244" s="41" t="s">
        <v>139</v>
      </c>
      <c r="V244" s="41" t="s">
        <v>139</v>
      </c>
      <c r="W244" s="41" t="s">
        <v>139</v>
      </c>
      <c r="X244" s="41" t="s">
        <v>139</v>
      </c>
      <c r="Y244" s="41" t="s">
        <v>1891</v>
      </c>
      <c r="Z244" s="73" t="s">
        <v>139</v>
      </c>
      <c r="AA244" s="54" t="s">
        <v>139</v>
      </c>
      <c r="AB244" s="54" t="s">
        <v>139</v>
      </c>
      <c r="AC244" s="54" t="s">
        <v>139</v>
      </c>
      <c r="AD244" s="54" t="s">
        <v>1596</v>
      </c>
      <c r="AE244" s="55"/>
      <c r="AF244" s="56"/>
      <c r="AG244" s="56"/>
      <c r="AH244" s="57"/>
      <c r="AI244" s="56"/>
      <c r="AJ244" s="56"/>
      <c r="AK244" s="56"/>
      <c r="AL244" s="3" t="s">
        <v>1582</v>
      </c>
    </row>
    <row r="245" spans="2:38" ht="40.5" hidden="1">
      <c r="B245" s="144">
        <f t="shared" si="3"/>
        <v>242</v>
      </c>
      <c r="C245" s="148" t="s">
        <v>3732</v>
      </c>
      <c r="D245" s="148"/>
      <c r="E245" s="148"/>
      <c r="F245" s="148"/>
      <c r="G245" s="148"/>
      <c r="H245" s="148"/>
      <c r="I245" s="148"/>
      <c r="J245" s="148"/>
      <c r="K245" s="165" t="s">
        <v>3659</v>
      </c>
      <c r="L245" s="165" t="s">
        <v>3672</v>
      </c>
      <c r="M245" s="165" t="s">
        <v>3675</v>
      </c>
      <c r="N245" s="165" t="s">
        <v>3708</v>
      </c>
      <c r="O245" s="65" t="s">
        <v>355</v>
      </c>
      <c r="P245" s="65" t="s">
        <v>355</v>
      </c>
      <c r="Q245" s="54" t="s">
        <v>139</v>
      </c>
      <c r="R245" s="41" t="s">
        <v>356</v>
      </c>
      <c r="S245" s="41" t="s">
        <v>357</v>
      </c>
      <c r="T245" s="41" t="s">
        <v>161</v>
      </c>
      <c r="U245" s="41" t="s">
        <v>358</v>
      </c>
      <c r="V245" s="41" t="s">
        <v>2710</v>
      </c>
      <c r="W245" s="41" t="s">
        <v>139</v>
      </c>
      <c r="X245" s="41" t="s">
        <v>139</v>
      </c>
      <c r="Y245" s="42" t="s">
        <v>139</v>
      </c>
      <c r="Z245" s="53" t="s">
        <v>163</v>
      </c>
      <c r="AA245" s="54" t="s">
        <v>1486</v>
      </c>
      <c r="AB245" s="54" t="s">
        <v>139</v>
      </c>
      <c r="AC245" s="54" t="s">
        <v>139</v>
      </c>
      <c r="AD245" s="54" t="s">
        <v>139</v>
      </c>
      <c r="AE245" s="55"/>
      <c r="AF245" s="56"/>
      <c r="AG245" s="56"/>
      <c r="AH245" s="57"/>
      <c r="AI245" s="56"/>
      <c r="AJ245" s="56"/>
      <c r="AK245" s="56"/>
      <c r="AL245" s="3" t="s">
        <v>1582</v>
      </c>
    </row>
    <row r="246" spans="2:38" ht="40.5" hidden="1">
      <c r="B246" s="144">
        <f t="shared" si="3"/>
        <v>243</v>
      </c>
      <c r="C246" s="148" t="s">
        <v>3732</v>
      </c>
      <c r="D246" s="148"/>
      <c r="E246" s="148"/>
      <c r="F246" s="148"/>
      <c r="G246" s="148"/>
      <c r="H246" s="148"/>
      <c r="I246" s="148"/>
      <c r="J246" s="148"/>
      <c r="K246" s="165" t="s">
        <v>3659</v>
      </c>
      <c r="L246" s="165" t="s">
        <v>3672</v>
      </c>
      <c r="M246" s="165" t="s">
        <v>3675</v>
      </c>
      <c r="N246" s="165" t="s">
        <v>3708</v>
      </c>
      <c r="O246" s="165" t="s">
        <v>921</v>
      </c>
      <c r="P246" s="165" t="s">
        <v>921</v>
      </c>
      <c r="Q246" s="126" t="s">
        <v>2933</v>
      </c>
      <c r="R246" s="40" t="s">
        <v>922</v>
      </c>
      <c r="S246" s="40" t="s">
        <v>923</v>
      </c>
      <c r="T246" s="40" t="s">
        <v>161</v>
      </c>
      <c r="U246" s="41" t="s">
        <v>139</v>
      </c>
      <c r="V246" s="41" t="s">
        <v>924</v>
      </c>
      <c r="W246" s="41" t="s">
        <v>139</v>
      </c>
      <c r="X246" s="41" t="s">
        <v>925</v>
      </c>
      <c r="Y246" s="42" t="s">
        <v>139</v>
      </c>
      <c r="Z246" s="43" t="s">
        <v>139</v>
      </c>
      <c r="AA246" s="41" t="s">
        <v>915</v>
      </c>
      <c r="AB246" s="41" t="s">
        <v>139</v>
      </c>
      <c r="AC246" s="41" t="s">
        <v>895</v>
      </c>
      <c r="AD246" s="41" t="s">
        <v>139</v>
      </c>
      <c r="AE246" s="44"/>
      <c r="AF246" s="45"/>
      <c r="AG246" s="45"/>
      <c r="AH246" s="46"/>
      <c r="AI246" s="45"/>
      <c r="AJ246" s="45"/>
      <c r="AK246" s="45"/>
      <c r="AL246" s="3" t="s">
        <v>1582</v>
      </c>
    </row>
    <row r="247" spans="2:38" ht="40.5" hidden="1">
      <c r="B247" s="144">
        <f t="shared" si="3"/>
        <v>244</v>
      </c>
      <c r="C247" s="148" t="s">
        <v>3732</v>
      </c>
      <c r="D247" s="148"/>
      <c r="E247" s="148"/>
      <c r="F247" s="148"/>
      <c r="G247" s="148"/>
      <c r="H247" s="148"/>
      <c r="I247" s="148"/>
      <c r="J247" s="148"/>
      <c r="K247" s="165" t="s">
        <v>3659</v>
      </c>
      <c r="L247" s="165" t="s">
        <v>3672</v>
      </c>
      <c r="M247" s="165" t="s">
        <v>3675</v>
      </c>
      <c r="N247" s="165" t="s">
        <v>3708</v>
      </c>
      <c r="O247" s="165" t="s">
        <v>3447</v>
      </c>
      <c r="P247" s="165" t="s">
        <v>2929</v>
      </c>
      <c r="Q247" s="126" t="s">
        <v>1637</v>
      </c>
      <c r="R247" s="40" t="s">
        <v>2930</v>
      </c>
      <c r="S247" s="62" t="s">
        <v>2931</v>
      </c>
      <c r="T247" s="40" t="s">
        <v>2932</v>
      </c>
      <c r="U247" s="41" t="s">
        <v>2928</v>
      </c>
      <c r="V247" s="41" t="s">
        <v>139</v>
      </c>
      <c r="W247" s="41" t="s">
        <v>139</v>
      </c>
      <c r="X247" s="41" t="s">
        <v>139</v>
      </c>
      <c r="Y247" s="41" t="s">
        <v>139</v>
      </c>
      <c r="Z247" s="43" t="s">
        <v>117</v>
      </c>
      <c r="AA247" s="41" t="s">
        <v>139</v>
      </c>
      <c r="AB247" s="41" t="s">
        <v>139</v>
      </c>
      <c r="AC247" s="41" t="s">
        <v>139</v>
      </c>
      <c r="AD247" s="41" t="s">
        <v>139</v>
      </c>
      <c r="AE247" s="44"/>
      <c r="AF247" s="45"/>
      <c r="AG247" s="45"/>
      <c r="AH247" s="46"/>
      <c r="AI247" s="45"/>
      <c r="AJ247" s="45"/>
      <c r="AK247" s="45"/>
      <c r="AL247" s="3" t="s">
        <v>1582</v>
      </c>
    </row>
    <row r="248" spans="2:38" ht="40.5" hidden="1">
      <c r="B248" s="144">
        <f t="shared" si="3"/>
        <v>245</v>
      </c>
      <c r="C248" s="148" t="s">
        <v>3732</v>
      </c>
      <c r="D248" s="148"/>
      <c r="E248" s="148"/>
      <c r="F248" s="148"/>
      <c r="G248" s="148"/>
      <c r="H248" s="148"/>
      <c r="I248" s="148"/>
      <c r="J248" s="148"/>
      <c r="K248" s="165" t="s">
        <v>3659</v>
      </c>
      <c r="L248" s="165" t="s">
        <v>3672</v>
      </c>
      <c r="M248" s="165" t="s">
        <v>3675</v>
      </c>
      <c r="N248" s="165" t="s">
        <v>3708</v>
      </c>
      <c r="O248" s="165" t="s">
        <v>2925</v>
      </c>
      <c r="P248" s="165" t="s">
        <v>2925</v>
      </c>
      <c r="Q248" s="126" t="s">
        <v>1637</v>
      </c>
      <c r="R248" s="40" t="s">
        <v>2926</v>
      </c>
      <c r="S248" s="62" t="s">
        <v>2927</v>
      </c>
      <c r="T248" s="40" t="s">
        <v>1645</v>
      </c>
      <c r="U248" s="41" t="s">
        <v>2928</v>
      </c>
      <c r="V248" s="41" t="s">
        <v>139</v>
      </c>
      <c r="W248" s="41" t="s">
        <v>139</v>
      </c>
      <c r="X248" s="41" t="s">
        <v>139</v>
      </c>
      <c r="Y248" s="41" t="s">
        <v>139</v>
      </c>
      <c r="Z248" s="43" t="s">
        <v>117</v>
      </c>
      <c r="AA248" s="41" t="s">
        <v>139</v>
      </c>
      <c r="AB248" s="41" t="s">
        <v>139</v>
      </c>
      <c r="AC248" s="41" t="s">
        <v>139</v>
      </c>
      <c r="AD248" s="41" t="s">
        <v>139</v>
      </c>
      <c r="AE248" s="44"/>
      <c r="AF248" s="45"/>
      <c r="AG248" s="45"/>
      <c r="AH248" s="46"/>
      <c r="AI248" s="45"/>
      <c r="AJ248" s="45"/>
      <c r="AK248" s="45"/>
      <c r="AL248" s="3" t="s">
        <v>1582</v>
      </c>
    </row>
    <row r="249" spans="2:38" ht="40.5" hidden="1">
      <c r="B249" s="144">
        <f t="shared" si="3"/>
        <v>246</v>
      </c>
      <c r="C249" s="148" t="s">
        <v>3732</v>
      </c>
      <c r="D249" s="148"/>
      <c r="E249" s="148"/>
      <c r="F249" s="148"/>
      <c r="G249" s="148"/>
      <c r="H249" s="148"/>
      <c r="I249" s="148"/>
      <c r="J249" s="148"/>
      <c r="K249" s="165" t="s">
        <v>3659</v>
      </c>
      <c r="L249" s="165" t="s">
        <v>3672</v>
      </c>
      <c r="M249" s="165" t="s">
        <v>3675</v>
      </c>
      <c r="N249" s="165" t="s">
        <v>3708</v>
      </c>
      <c r="O249" s="165" t="s">
        <v>1242</v>
      </c>
      <c r="P249" s="165" t="s">
        <v>1242</v>
      </c>
      <c r="Q249" s="126" t="s">
        <v>1243</v>
      </c>
      <c r="R249" s="62" t="s">
        <v>1244</v>
      </c>
      <c r="S249" s="62" t="s">
        <v>1245</v>
      </c>
      <c r="T249" s="40" t="s">
        <v>1246</v>
      </c>
      <c r="U249" s="41" t="s">
        <v>1247</v>
      </c>
      <c r="V249" s="41" t="s">
        <v>139</v>
      </c>
      <c r="W249" s="41" t="s">
        <v>139</v>
      </c>
      <c r="X249" s="41" t="s">
        <v>1248</v>
      </c>
      <c r="Y249" s="42" t="s">
        <v>139</v>
      </c>
      <c r="Z249" s="43" t="s">
        <v>163</v>
      </c>
      <c r="AA249" s="41" t="s">
        <v>139</v>
      </c>
      <c r="AB249" s="41" t="s">
        <v>139</v>
      </c>
      <c r="AC249" s="41" t="s">
        <v>1241</v>
      </c>
      <c r="AD249" s="41" t="s">
        <v>139</v>
      </c>
      <c r="AE249" s="44"/>
      <c r="AF249" s="45"/>
      <c r="AG249" s="45"/>
      <c r="AH249" s="46"/>
      <c r="AI249" s="45"/>
      <c r="AJ249" s="45"/>
      <c r="AK249" s="45"/>
      <c r="AL249" s="3" t="s">
        <v>1582</v>
      </c>
    </row>
    <row r="250" spans="2:38" ht="40.5" hidden="1">
      <c r="B250" s="144">
        <f t="shared" si="3"/>
        <v>247</v>
      </c>
      <c r="C250" s="148" t="s">
        <v>3732</v>
      </c>
      <c r="D250" s="148"/>
      <c r="E250" s="148"/>
      <c r="F250" s="148"/>
      <c r="G250" s="148"/>
      <c r="H250" s="148"/>
      <c r="I250" s="148"/>
      <c r="J250" s="148"/>
      <c r="K250" s="165" t="s">
        <v>3659</v>
      </c>
      <c r="L250" s="165" t="s">
        <v>3672</v>
      </c>
      <c r="M250" s="165" t="s">
        <v>3675</v>
      </c>
      <c r="N250" s="165" t="s">
        <v>3708</v>
      </c>
      <c r="O250" s="165" t="s">
        <v>911</v>
      </c>
      <c r="P250" s="165" t="s">
        <v>911</v>
      </c>
      <c r="Q250" s="126" t="s">
        <v>2937</v>
      </c>
      <c r="R250" s="40" t="s">
        <v>912</v>
      </c>
      <c r="S250" s="58" t="s">
        <v>2938</v>
      </c>
      <c r="T250" s="40" t="s">
        <v>161</v>
      </c>
      <c r="U250" s="41" t="s">
        <v>139</v>
      </c>
      <c r="V250" s="41" t="s">
        <v>913</v>
      </c>
      <c r="W250" s="41" t="s">
        <v>139</v>
      </c>
      <c r="X250" s="41" t="s">
        <v>914</v>
      </c>
      <c r="Y250" s="41" t="s">
        <v>139</v>
      </c>
      <c r="Z250" s="43" t="s">
        <v>139</v>
      </c>
      <c r="AA250" s="41" t="s">
        <v>915</v>
      </c>
      <c r="AB250" s="41" t="s">
        <v>139</v>
      </c>
      <c r="AC250" s="41" t="s">
        <v>895</v>
      </c>
      <c r="AD250" s="41" t="s">
        <v>139</v>
      </c>
      <c r="AE250" s="44"/>
      <c r="AF250" s="45"/>
      <c r="AG250" s="45"/>
      <c r="AH250" s="46"/>
      <c r="AI250" s="45"/>
      <c r="AJ250" s="45"/>
      <c r="AK250" s="45"/>
      <c r="AL250" s="3" t="s">
        <v>1582</v>
      </c>
    </row>
    <row r="251" spans="2:38" ht="40.5" hidden="1">
      <c r="B251" s="144">
        <f t="shared" si="3"/>
        <v>248</v>
      </c>
      <c r="C251" s="148" t="s">
        <v>3732</v>
      </c>
      <c r="D251" s="148"/>
      <c r="E251" s="148"/>
      <c r="F251" s="148"/>
      <c r="G251" s="148"/>
      <c r="H251" s="148"/>
      <c r="I251" s="148"/>
      <c r="J251" s="148"/>
      <c r="K251" s="165" t="s">
        <v>3659</v>
      </c>
      <c r="L251" s="165" t="s">
        <v>3672</v>
      </c>
      <c r="M251" s="165" t="s">
        <v>3675</v>
      </c>
      <c r="N251" s="165" t="s">
        <v>3708</v>
      </c>
      <c r="O251" s="165" t="s">
        <v>3448</v>
      </c>
      <c r="P251" s="165" t="s">
        <v>3097</v>
      </c>
      <c r="Q251" s="126" t="s">
        <v>1236</v>
      </c>
      <c r="R251" s="40" t="s">
        <v>1237</v>
      </c>
      <c r="S251" s="40" t="s">
        <v>1238</v>
      </c>
      <c r="T251" s="40" t="s">
        <v>161</v>
      </c>
      <c r="U251" s="41" t="s">
        <v>1239</v>
      </c>
      <c r="V251" s="41" t="s">
        <v>139</v>
      </c>
      <c r="W251" s="41" t="s">
        <v>139</v>
      </c>
      <c r="X251" s="41" t="s">
        <v>1240</v>
      </c>
      <c r="Y251" s="41" t="s">
        <v>139</v>
      </c>
      <c r="Z251" s="43" t="s">
        <v>163</v>
      </c>
      <c r="AA251" s="41" t="s">
        <v>139</v>
      </c>
      <c r="AB251" s="41" t="s">
        <v>139</v>
      </c>
      <c r="AC251" s="41" t="s">
        <v>1241</v>
      </c>
      <c r="AD251" s="41" t="s">
        <v>139</v>
      </c>
      <c r="AE251" s="44"/>
      <c r="AF251" s="45"/>
      <c r="AG251" s="45"/>
      <c r="AH251" s="46"/>
      <c r="AI251" s="45"/>
      <c r="AJ251" s="45"/>
      <c r="AK251" s="45"/>
      <c r="AL251" s="3" t="s">
        <v>1582</v>
      </c>
    </row>
    <row r="252" spans="2:38" ht="54" hidden="1">
      <c r="B252" s="144">
        <f t="shared" si="3"/>
        <v>249</v>
      </c>
      <c r="C252" s="148" t="s">
        <v>3732</v>
      </c>
      <c r="D252" s="148"/>
      <c r="E252" s="148"/>
      <c r="F252" s="148"/>
      <c r="G252" s="148"/>
      <c r="H252" s="148"/>
      <c r="I252" s="148"/>
      <c r="J252" s="148"/>
      <c r="K252" s="165" t="s">
        <v>3659</v>
      </c>
      <c r="L252" s="165" t="s">
        <v>3672</v>
      </c>
      <c r="M252" s="165" t="s">
        <v>3675</v>
      </c>
      <c r="N252" s="165" t="s">
        <v>3708</v>
      </c>
      <c r="O252" s="165" t="s">
        <v>1249</v>
      </c>
      <c r="P252" s="165" t="s">
        <v>1249</v>
      </c>
      <c r="Q252" s="126" t="s">
        <v>3271</v>
      </c>
      <c r="R252" s="40" t="s">
        <v>1250</v>
      </c>
      <c r="S252" s="40" t="s">
        <v>1251</v>
      </c>
      <c r="T252" s="40" t="s">
        <v>1895</v>
      </c>
      <c r="U252" s="41" t="s">
        <v>1252</v>
      </c>
      <c r="V252" s="41" t="s">
        <v>1253</v>
      </c>
      <c r="W252" s="41" t="s">
        <v>139</v>
      </c>
      <c r="X252" s="41" t="s">
        <v>1254</v>
      </c>
      <c r="Y252" s="41" t="s">
        <v>139</v>
      </c>
      <c r="Z252" s="43" t="s">
        <v>361</v>
      </c>
      <c r="AA252" s="41" t="s">
        <v>1255</v>
      </c>
      <c r="AB252" s="41" t="s">
        <v>139</v>
      </c>
      <c r="AC252" s="41" t="s">
        <v>1256</v>
      </c>
      <c r="AD252" s="41" t="s">
        <v>139</v>
      </c>
      <c r="AE252" s="44"/>
      <c r="AF252" s="45"/>
      <c r="AG252" s="45"/>
      <c r="AH252" s="46"/>
      <c r="AI252" s="45"/>
      <c r="AJ252" s="45"/>
      <c r="AK252" s="45"/>
      <c r="AL252" s="3" t="s">
        <v>1582</v>
      </c>
    </row>
    <row r="253" spans="2:38" ht="40.5">
      <c r="B253" s="144">
        <f t="shared" si="3"/>
        <v>250</v>
      </c>
      <c r="C253" s="148" t="s">
        <v>3731</v>
      </c>
      <c r="D253" s="148"/>
      <c r="E253" s="148"/>
      <c r="F253" s="148"/>
      <c r="G253" s="148"/>
      <c r="H253" s="148"/>
      <c r="I253" s="148"/>
      <c r="J253" s="148"/>
      <c r="K253" s="165" t="s">
        <v>3659</v>
      </c>
      <c r="L253" s="165" t="s">
        <v>3672</v>
      </c>
      <c r="M253" s="165" t="s">
        <v>3675</v>
      </c>
      <c r="N253" s="165" t="s">
        <v>3708</v>
      </c>
      <c r="O253" s="165" t="s">
        <v>351</v>
      </c>
      <c r="P253" s="165" t="s">
        <v>2921</v>
      </c>
      <c r="Q253" s="126" t="s">
        <v>1637</v>
      </c>
      <c r="R253" s="62" t="s">
        <v>2922</v>
      </c>
      <c r="S253" s="62" t="s">
        <v>2923</v>
      </c>
      <c r="T253" s="40" t="s">
        <v>1666</v>
      </c>
      <c r="U253" s="41" t="s">
        <v>2924</v>
      </c>
      <c r="V253" s="41" t="s">
        <v>139</v>
      </c>
      <c r="W253" s="41" t="s">
        <v>139</v>
      </c>
      <c r="X253" s="41" t="s">
        <v>139</v>
      </c>
      <c r="Y253" s="41" t="s">
        <v>139</v>
      </c>
      <c r="Z253" s="43" t="s">
        <v>117</v>
      </c>
      <c r="AA253" s="41" t="s">
        <v>139</v>
      </c>
      <c r="AB253" s="41" t="s">
        <v>139</v>
      </c>
      <c r="AC253" s="41" t="s">
        <v>139</v>
      </c>
      <c r="AD253" s="41" t="s">
        <v>139</v>
      </c>
      <c r="AE253" s="44"/>
      <c r="AF253" s="196"/>
      <c r="AG253" s="45"/>
      <c r="AH253" s="189">
        <v>1</v>
      </c>
      <c r="AI253" s="45" t="s">
        <v>3766</v>
      </c>
      <c r="AJ253" s="45"/>
      <c r="AK253" s="45"/>
      <c r="AL253" s="3" t="s">
        <v>1582</v>
      </c>
    </row>
    <row r="254" spans="2:38" ht="54" hidden="1">
      <c r="B254" s="144">
        <f t="shared" si="3"/>
        <v>251</v>
      </c>
      <c r="C254" s="148" t="s">
        <v>3732</v>
      </c>
      <c r="D254" s="148"/>
      <c r="E254" s="148"/>
      <c r="F254" s="148"/>
      <c r="G254" s="148"/>
      <c r="H254" s="148"/>
      <c r="I254" s="148"/>
      <c r="J254" s="148"/>
      <c r="K254" s="165" t="s">
        <v>3659</v>
      </c>
      <c r="L254" s="165" t="s">
        <v>3672</v>
      </c>
      <c r="M254" s="165" t="s">
        <v>3675</v>
      </c>
      <c r="N254" s="165" t="s">
        <v>3708</v>
      </c>
      <c r="O254" s="165" t="s">
        <v>1287</v>
      </c>
      <c r="P254" s="165" t="s">
        <v>1287</v>
      </c>
      <c r="Q254" s="126" t="s">
        <v>1288</v>
      </c>
      <c r="R254" s="40" t="s">
        <v>1289</v>
      </c>
      <c r="S254" s="40" t="s">
        <v>1290</v>
      </c>
      <c r="T254" s="40" t="s">
        <v>161</v>
      </c>
      <c r="U254" s="41" t="s">
        <v>1291</v>
      </c>
      <c r="V254" s="41" t="s">
        <v>139</v>
      </c>
      <c r="W254" s="41" t="s">
        <v>139</v>
      </c>
      <c r="X254" s="41" t="s">
        <v>139</v>
      </c>
      <c r="Y254" s="41" t="s">
        <v>139</v>
      </c>
      <c r="Z254" s="43" t="s">
        <v>117</v>
      </c>
      <c r="AA254" s="41" t="s">
        <v>139</v>
      </c>
      <c r="AB254" s="41" t="s">
        <v>139</v>
      </c>
      <c r="AC254" s="41" t="s">
        <v>139</v>
      </c>
      <c r="AD254" s="41" t="s">
        <v>139</v>
      </c>
      <c r="AE254" s="44"/>
      <c r="AF254" s="45"/>
      <c r="AG254" s="45"/>
      <c r="AH254" s="46"/>
      <c r="AI254" s="45"/>
      <c r="AJ254" s="45"/>
      <c r="AK254" s="45"/>
      <c r="AL254" s="3" t="s">
        <v>1582</v>
      </c>
    </row>
    <row r="255" spans="2:38" ht="40.5">
      <c r="B255" s="144">
        <f t="shared" si="3"/>
        <v>252</v>
      </c>
      <c r="C255" s="148" t="s">
        <v>3731</v>
      </c>
      <c r="D255" s="148"/>
      <c r="E255" s="148"/>
      <c r="F255" s="148"/>
      <c r="G255" s="148"/>
      <c r="H255" s="148"/>
      <c r="I255" s="148"/>
      <c r="J255" s="148"/>
      <c r="K255" s="165" t="s">
        <v>3659</v>
      </c>
      <c r="L255" s="165" t="s">
        <v>3672</v>
      </c>
      <c r="M255" s="165" t="s">
        <v>3675</v>
      </c>
      <c r="N255" s="165" t="s">
        <v>3708</v>
      </c>
      <c r="O255" s="65" t="s">
        <v>350</v>
      </c>
      <c r="P255" s="65" t="s">
        <v>350</v>
      </c>
      <c r="Q255" s="54" t="s">
        <v>351</v>
      </c>
      <c r="R255" s="41" t="s">
        <v>352</v>
      </c>
      <c r="S255" s="72" t="s">
        <v>353</v>
      </c>
      <c r="T255" s="41" t="s">
        <v>161</v>
      </c>
      <c r="U255" s="41" t="s">
        <v>354</v>
      </c>
      <c r="V255" s="41" t="s">
        <v>139</v>
      </c>
      <c r="W255" s="41" t="s">
        <v>139</v>
      </c>
      <c r="X255" s="41" t="s">
        <v>1635</v>
      </c>
      <c r="Y255" s="42" t="s">
        <v>139</v>
      </c>
      <c r="Z255" s="53" t="s">
        <v>114</v>
      </c>
      <c r="AA255" s="54" t="s">
        <v>139</v>
      </c>
      <c r="AB255" s="54" t="s">
        <v>139</v>
      </c>
      <c r="AC255" s="54" t="s">
        <v>1635</v>
      </c>
      <c r="AD255" s="54" t="s">
        <v>139</v>
      </c>
      <c r="AE255" s="55"/>
      <c r="AF255" s="195"/>
      <c r="AG255" s="56"/>
      <c r="AH255" s="188">
        <v>1</v>
      </c>
      <c r="AI255" s="56" t="s">
        <v>3767</v>
      </c>
      <c r="AJ255" s="56"/>
      <c r="AK255" s="56"/>
      <c r="AL255" s="3" t="s">
        <v>1582</v>
      </c>
    </row>
    <row r="256" spans="2:38" ht="54">
      <c r="B256" s="144">
        <f t="shared" si="3"/>
        <v>253</v>
      </c>
      <c r="C256" s="148" t="s">
        <v>3731</v>
      </c>
      <c r="D256" s="148"/>
      <c r="E256" s="148"/>
      <c r="F256" s="148"/>
      <c r="G256" s="148"/>
      <c r="H256" s="148"/>
      <c r="I256" s="148"/>
      <c r="J256" s="148"/>
      <c r="K256" s="165" t="s">
        <v>3659</v>
      </c>
      <c r="L256" s="165" t="s">
        <v>3672</v>
      </c>
      <c r="M256" s="165" t="s">
        <v>3675</v>
      </c>
      <c r="N256" s="165" t="s">
        <v>3708</v>
      </c>
      <c r="O256" s="165" t="s">
        <v>3449</v>
      </c>
      <c r="P256" s="165" t="s">
        <v>3090</v>
      </c>
      <c r="Q256" s="126" t="s">
        <v>769</v>
      </c>
      <c r="R256" s="40" t="s">
        <v>3093</v>
      </c>
      <c r="S256" s="40" t="s">
        <v>3091</v>
      </c>
      <c r="T256" s="40" t="s">
        <v>3095</v>
      </c>
      <c r="U256" s="41" t="s">
        <v>139</v>
      </c>
      <c r="V256" s="41" t="s">
        <v>770</v>
      </c>
      <c r="W256" s="41" t="s">
        <v>139</v>
      </c>
      <c r="X256" s="41" t="s">
        <v>139</v>
      </c>
      <c r="Y256" s="42" t="s">
        <v>139</v>
      </c>
      <c r="Z256" s="43" t="s">
        <v>139</v>
      </c>
      <c r="AA256" s="41" t="s">
        <v>613</v>
      </c>
      <c r="AB256" s="41" t="s">
        <v>139</v>
      </c>
      <c r="AC256" s="41" t="s">
        <v>139</v>
      </c>
      <c r="AD256" s="41" t="s">
        <v>139</v>
      </c>
      <c r="AE256" s="44"/>
      <c r="AF256" s="196" t="s">
        <v>3968</v>
      </c>
      <c r="AG256" s="45"/>
      <c r="AH256" s="189">
        <v>1</v>
      </c>
      <c r="AI256" s="47" t="s">
        <v>3830</v>
      </c>
      <c r="AJ256" s="47" t="s">
        <v>3091</v>
      </c>
      <c r="AK256" s="40" t="s">
        <v>3095</v>
      </c>
      <c r="AL256" s="3" t="s">
        <v>1582</v>
      </c>
    </row>
    <row r="257" spans="2:38" ht="54">
      <c r="B257" s="144">
        <f t="shared" si="3"/>
        <v>254</v>
      </c>
      <c r="C257" s="148" t="s">
        <v>3731</v>
      </c>
      <c r="D257" s="148"/>
      <c r="E257" s="148"/>
      <c r="F257" s="148"/>
      <c r="G257" s="148"/>
      <c r="H257" s="148"/>
      <c r="I257" s="148"/>
      <c r="J257" s="148"/>
      <c r="K257" s="165" t="s">
        <v>3659</v>
      </c>
      <c r="L257" s="165" t="s">
        <v>3672</v>
      </c>
      <c r="M257" s="165" t="s">
        <v>3675</v>
      </c>
      <c r="N257" s="165" t="s">
        <v>3708</v>
      </c>
      <c r="O257" s="165" t="s">
        <v>3450</v>
      </c>
      <c r="P257" s="165" t="s">
        <v>3092</v>
      </c>
      <c r="Q257" s="126" t="s">
        <v>769</v>
      </c>
      <c r="R257" s="40" t="s">
        <v>3094</v>
      </c>
      <c r="S257" s="40"/>
      <c r="T257" s="40" t="s">
        <v>3096</v>
      </c>
      <c r="U257" s="41" t="s">
        <v>139</v>
      </c>
      <c r="V257" s="41" t="s">
        <v>770</v>
      </c>
      <c r="W257" s="41" t="s">
        <v>139</v>
      </c>
      <c r="X257" s="41" t="s">
        <v>139</v>
      </c>
      <c r="Y257" s="42" t="s">
        <v>139</v>
      </c>
      <c r="Z257" s="43" t="s">
        <v>139</v>
      </c>
      <c r="AA257" s="41" t="s">
        <v>613</v>
      </c>
      <c r="AB257" s="41" t="s">
        <v>139</v>
      </c>
      <c r="AC257" s="41" t="s">
        <v>139</v>
      </c>
      <c r="AD257" s="41" t="s">
        <v>139</v>
      </c>
      <c r="AE257" s="44"/>
      <c r="AF257" s="196" t="s">
        <v>3968</v>
      </c>
      <c r="AG257" s="45"/>
      <c r="AH257" s="189">
        <v>1</v>
      </c>
      <c r="AI257" s="47" t="s">
        <v>3831</v>
      </c>
      <c r="AJ257" s="47"/>
      <c r="AK257" s="40" t="s">
        <v>3096</v>
      </c>
      <c r="AL257" s="3" t="s">
        <v>1582</v>
      </c>
    </row>
    <row r="258" spans="2:38" ht="40.5" hidden="1">
      <c r="B258" s="144">
        <f t="shared" si="3"/>
        <v>255</v>
      </c>
      <c r="C258" s="148" t="s">
        <v>3732</v>
      </c>
      <c r="D258" s="148"/>
      <c r="E258" s="148"/>
      <c r="F258" s="148"/>
      <c r="G258" s="148"/>
      <c r="H258" s="148"/>
      <c r="I258" s="148"/>
      <c r="J258" s="148"/>
      <c r="K258" s="165" t="s">
        <v>3659</v>
      </c>
      <c r="L258" s="165" t="s">
        <v>3672</v>
      </c>
      <c r="M258" s="165" t="s">
        <v>3675</v>
      </c>
      <c r="N258" s="165" t="s">
        <v>3708</v>
      </c>
      <c r="O258" s="165" t="s">
        <v>3457</v>
      </c>
      <c r="P258" s="165" t="s">
        <v>3267</v>
      </c>
      <c r="Q258" s="126" t="s">
        <v>1282</v>
      </c>
      <c r="R258" s="40" t="s">
        <v>1283</v>
      </c>
      <c r="S258" s="40" t="s">
        <v>3101</v>
      </c>
      <c r="T258" s="40" t="s">
        <v>1140</v>
      </c>
      <c r="U258" s="41" t="s">
        <v>1284</v>
      </c>
      <c r="V258" s="41" t="s">
        <v>139</v>
      </c>
      <c r="W258" s="41" t="s">
        <v>139</v>
      </c>
      <c r="X258" s="41" t="s">
        <v>139</v>
      </c>
      <c r="Y258" s="42" t="s">
        <v>139</v>
      </c>
      <c r="Z258" s="43" t="s">
        <v>117</v>
      </c>
      <c r="AA258" s="41" t="s">
        <v>139</v>
      </c>
      <c r="AB258" s="41" t="s">
        <v>139</v>
      </c>
      <c r="AC258" s="41" t="s">
        <v>139</v>
      </c>
      <c r="AD258" s="41" t="s">
        <v>139</v>
      </c>
      <c r="AE258" s="44"/>
      <c r="AF258" s="45"/>
      <c r="AG258" s="45"/>
      <c r="AH258" s="46"/>
      <c r="AI258" s="45"/>
      <c r="AJ258" s="45"/>
      <c r="AK258" s="45"/>
      <c r="AL258" s="3" t="s">
        <v>1582</v>
      </c>
    </row>
    <row r="259" spans="2:38" ht="40.5" hidden="1">
      <c r="B259" s="144">
        <f t="shared" si="3"/>
        <v>256</v>
      </c>
      <c r="C259" s="148" t="s">
        <v>3732</v>
      </c>
      <c r="D259" s="148"/>
      <c r="E259" s="148"/>
      <c r="F259" s="148"/>
      <c r="G259" s="148"/>
      <c r="H259" s="148"/>
      <c r="I259" s="148"/>
      <c r="J259" s="148"/>
      <c r="K259" s="165" t="s">
        <v>3659</v>
      </c>
      <c r="L259" s="165" t="s">
        <v>3672</v>
      </c>
      <c r="M259" s="165" t="s">
        <v>3675</v>
      </c>
      <c r="N259" s="165" t="s">
        <v>3708</v>
      </c>
      <c r="O259" s="65" t="s">
        <v>3458</v>
      </c>
      <c r="P259" s="65" t="s">
        <v>3106</v>
      </c>
      <c r="Q259" s="54" t="s">
        <v>3107</v>
      </c>
      <c r="R259" s="41" t="s">
        <v>341</v>
      </c>
      <c r="S259" s="41" t="s">
        <v>342</v>
      </c>
      <c r="T259" s="41" t="s">
        <v>266</v>
      </c>
      <c r="U259" s="41" t="s">
        <v>343</v>
      </c>
      <c r="V259" s="41" t="s">
        <v>139</v>
      </c>
      <c r="W259" s="41" t="s">
        <v>139</v>
      </c>
      <c r="X259" s="41" t="s">
        <v>139</v>
      </c>
      <c r="Y259" s="42" t="s">
        <v>139</v>
      </c>
      <c r="Z259" s="53" t="s">
        <v>117</v>
      </c>
      <c r="AA259" s="54" t="s">
        <v>139</v>
      </c>
      <c r="AB259" s="54" t="s">
        <v>139</v>
      </c>
      <c r="AC259" s="54" t="s">
        <v>139</v>
      </c>
      <c r="AD259" s="54" t="s">
        <v>139</v>
      </c>
      <c r="AE259" s="55"/>
      <c r="AF259" s="56"/>
      <c r="AG259" s="56"/>
      <c r="AH259" s="57"/>
      <c r="AI259" s="56"/>
      <c r="AJ259" s="56"/>
      <c r="AK259" s="56"/>
      <c r="AL259" s="3" t="s">
        <v>1582</v>
      </c>
    </row>
    <row r="260" spans="2:38" ht="40.5">
      <c r="B260" s="144">
        <f t="shared" si="3"/>
        <v>257</v>
      </c>
      <c r="C260" s="148" t="s">
        <v>3731</v>
      </c>
      <c r="D260" s="148"/>
      <c r="E260" s="148"/>
      <c r="F260" s="148"/>
      <c r="G260" s="148"/>
      <c r="H260" s="148"/>
      <c r="I260" s="148"/>
      <c r="J260" s="148"/>
      <c r="K260" s="165" t="s">
        <v>3659</v>
      </c>
      <c r="L260" s="165" t="s">
        <v>3672</v>
      </c>
      <c r="M260" s="165" t="s">
        <v>3675</v>
      </c>
      <c r="N260" s="165" t="s">
        <v>3708</v>
      </c>
      <c r="O260" s="65" t="s">
        <v>3994</v>
      </c>
      <c r="P260" s="65" t="s">
        <v>1890</v>
      </c>
      <c r="Q260" s="54" t="s">
        <v>338</v>
      </c>
      <c r="R260" s="41" t="s">
        <v>1893</v>
      </c>
      <c r="S260" s="41"/>
      <c r="T260" s="41" t="s">
        <v>3066</v>
      </c>
      <c r="U260" s="41" t="s">
        <v>339</v>
      </c>
      <c r="V260" s="41" t="s">
        <v>139</v>
      </c>
      <c r="W260" s="41" t="s">
        <v>139</v>
      </c>
      <c r="X260" s="41" t="s">
        <v>340</v>
      </c>
      <c r="Y260" s="41" t="s">
        <v>139</v>
      </c>
      <c r="Z260" s="73" t="s">
        <v>133</v>
      </c>
      <c r="AA260" s="54" t="s">
        <v>139</v>
      </c>
      <c r="AB260" s="54" t="s">
        <v>139</v>
      </c>
      <c r="AC260" s="54" t="s">
        <v>324</v>
      </c>
      <c r="AD260" s="54" t="s">
        <v>139</v>
      </c>
      <c r="AE260" s="55"/>
      <c r="AF260" s="195"/>
      <c r="AG260" s="56"/>
      <c r="AH260" s="188">
        <v>1</v>
      </c>
      <c r="AI260" s="56" t="s">
        <v>3769</v>
      </c>
      <c r="AJ260" s="56"/>
      <c r="AK260" s="56"/>
      <c r="AL260" s="3" t="s">
        <v>1582</v>
      </c>
    </row>
    <row r="261" spans="2:38" ht="40.5" hidden="1">
      <c r="B261" s="144">
        <f t="shared" si="3"/>
        <v>258</v>
      </c>
      <c r="C261" s="148" t="s">
        <v>3732</v>
      </c>
      <c r="D261" s="148"/>
      <c r="E261" s="148"/>
      <c r="F261" s="148"/>
      <c r="G261" s="148"/>
      <c r="H261" s="148"/>
      <c r="I261" s="148"/>
      <c r="J261" s="148"/>
      <c r="K261" s="165" t="s">
        <v>3659</v>
      </c>
      <c r="L261" s="165" t="s">
        <v>3672</v>
      </c>
      <c r="M261" s="165" t="s">
        <v>3675</v>
      </c>
      <c r="N261" s="165" t="s">
        <v>3708</v>
      </c>
      <c r="O261" s="65" t="s">
        <v>344</v>
      </c>
      <c r="P261" s="65" t="s">
        <v>344</v>
      </c>
      <c r="Q261" s="54" t="s">
        <v>139</v>
      </c>
      <c r="R261" s="41" t="s">
        <v>345</v>
      </c>
      <c r="S261" s="41" t="s">
        <v>346</v>
      </c>
      <c r="T261" s="41" t="s">
        <v>161</v>
      </c>
      <c r="U261" s="41" t="s">
        <v>347</v>
      </c>
      <c r="V261" s="41" t="s">
        <v>139</v>
      </c>
      <c r="W261" s="41" t="s">
        <v>139</v>
      </c>
      <c r="X261" s="41" t="s">
        <v>348</v>
      </c>
      <c r="Y261" s="41" t="s">
        <v>139</v>
      </c>
      <c r="Z261" s="73" t="s">
        <v>117</v>
      </c>
      <c r="AA261" s="54" t="s">
        <v>139</v>
      </c>
      <c r="AB261" s="54" t="s">
        <v>139</v>
      </c>
      <c r="AC261" s="54" t="s">
        <v>349</v>
      </c>
      <c r="AD261" s="54" t="s">
        <v>139</v>
      </c>
      <c r="AE261" s="55"/>
      <c r="AF261" s="56"/>
      <c r="AG261" s="56"/>
      <c r="AH261" s="57"/>
      <c r="AI261" s="56"/>
      <c r="AJ261" s="56"/>
      <c r="AK261" s="56"/>
      <c r="AL261" s="3" t="s">
        <v>1582</v>
      </c>
    </row>
    <row r="262" spans="2:38" ht="40.5" hidden="1">
      <c r="B262" s="144">
        <f t="shared" si="3"/>
        <v>259</v>
      </c>
      <c r="C262" s="148" t="s">
        <v>3732</v>
      </c>
      <c r="D262" s="148"/>
      <c r="E262" s="148"/>
      <c r="F262" s="148"/>
      <c r="G262" s="148"/>
      <c r="H262" s="148"/>
      <c r="I262" s="148"/>
      <c r="J262" s="148"/>
      <c r="K262" s="165" t="s">
        <v>3659</v>
      </c>
      <c r="L262" s="165" t="s">
        <v>3672</v>
      </c>
      <c r="M262" s="165" t="s">
        <v>3675</v>
      </c>
      <c r="N262" s="165" t="s">
        <v>3708</v>
      </c>
      <c r="O262" s="65" t="s">
        <v>288</v>
      </c>
      <c r="P262" s="65" t="s">
        <v>288</v>
      </c>
      <c r="Q262" s="54" t="s">
        <v>139</v>
      </c>
      <c r="R262" s="41" t="s">
        <v>289</v>
      </c>
      <c r="S262" s="41"/>
      <c r="T262" s="41" t="s">
        <v>284</v>
      </c>
      <c r="U262" s="41" t="s">
        <v>290</v>
      </c>
      <c r="V262" s="41" t="s">
        <v>139</v>
      </c>
      <c r="W262" s="41" t="s">
        <v>139</v>
      </c>
      <c r="X262" s="41" t="s">
        <v>291</v>
      </c>
      <c r="Y262" s="41" t="s">
        <v>139</v>
      </c>
      <c r="Z262" s="73" t="s">
        <v>133</v>
      </c>
      <c r="AA262" s="54" t="s">
        <v>139</v>
      </c>
      <c r="AB262" s="54" t="s">
        <v>139</v>
      </c>
      <c r="AC262" s="54" t="s">
        <v>292</v>
      </c>
      <c r="AD262" s="54" t="s">
        <v>139</v>
      </c>
      <c r="AE262" s="55"/>
      <c r="AF262" s="56"/>
      <c r="AG262" s="56"/>
      <c r="AH262" s="57"/>
      <c r="AI262" s="56"/>
      <c r="AJ262" s="56"/>
      <c r="AK262" s="56"/>
      <c r="AL262" s="3" t="s">
        <v>1582</v>
      </c>
    </row>
    <row r="263" spans="2:38" ht="40.5">
      <c r="B263" s="144">
        <f t="shared" si="3"/>
        <v>260</v>
      </c>
      <c r="C263" s="148" t="s">
        <v>3731</v>
      </c>
      <c r="D263" s="148"/>
      <c r="E263" s="148"/>
      <c r="F263" s="148"/>
      <c r="G263" s="148"/>
      <c r="H263" s="148"/>
      <c r="I263" s="148"/>
      <c r="J263" s="148"/>
      <c r="K263" s="165" t="s">
        <v>3659</v>
      </c>
      <c r="L263" s="165" t="s">
        <v>3672</v>
      </c>
      <c r="M263" s="165" t="s">
        <v>3675</v>
      </c>
      <c r="N263" s="165" t="s">
        <v>3708</v>
      </c>
      <c r="O263" s="165" t="s">
        <v>916</v>
      </c>
      <c r="P263" s="165" t="s">
        <v>916</v>
      </c>
      <c r="Q263" s="126" t="s">
        <v>139</v>
      </c>
      <c r="R263" s="40" t="s">
        <v>917</v>
      </c>
      <c r="S263" s="40" t="s">
        <v>918</v>
      </c>
      <c r="T263" s="40" t="s">
        <v>919</v>
      </c>
      <c r="U263" s="41" t="s">
        <v>139</v>
      </c>
      <c r="V263" s="41" t="s">
        <v>2996</v>
      </c>
      <c r="W263" s="41" t="s">
        <v>139</v>
      </c>
      <c r="X263" s="41" t="s">
        <v>920</v>
      </c>
      <c r="Y263" s="41" t="s">
        <v>139</v>
      </c>
      <c r="Z263" s="74" t="s">
        <v>139</v>
      </c>
      <c r="AA263" s="41" t="s">
        <v>2997</v>
      </c>
      <c r="AB263" s="41" t="s">
        <v>139</v>
      </c>
      <c r="AC263" s="41" t="s">
        <v>1636</v>
      </c>
      <c r="AD263" s="41" t="s">
        <v>139</v>
      </c>
      <c r="AE263" s="44"/>
      <c r="AF263" s="195" t="s">
        <v>3992</v>
      </c>
      <c r="AG263" s="45"/>
      <c r="AH263" s="189">
        <v>1</v>
      </c>
      <c r="AI263" s="45" t="s">
        <v>3832</v>
      </c>
      <c r="AJ263" s="45"/>
      <c r="AK263" s="45"/>
      <c r="AL263" s="3" t="s">
        <v>1582</v>
      </c>
    </row>
    <row r="264" spans="2:38" ht="54" hidden="1">
      <c r="B264" s="144">
        <f t="shared" ref="B264:B327" si="4">ROW()-3</f>
        <v>261</v>
      </c>
      <c r="C264" s="148" t="s">
        <v>3732</v>
      </c>
      <c r="D264" s="148"/>
      <c r="E264" s="148"/>
      <c r="F264" s="148"/>
      <c r="G264" s="148"/>
      <c r="H264" s="148"/>
      <c r="I264" s="148"/>
      <c r="J264" s="148"/>
      <c r="K264" s="165" t="s">
        <v>3659</v>
      </c>
      <c r="L264" s="165" t="s">
        <v>3672</v>
      </c>
      <c r="M264" s="165" t="s">
        <v>3675</v>
      </c>
      <c r="N264" s="165" t="s">
        <v>3708</v>
      </c>
      <c r="O264" s="165" t="s">
        <v>3463</v>
      </c>
      <c r="P264" s="165" t="s">
        <v>2956</v>
      </c>
      <c r="Q264" s="126" t="s">
        <v>1637</v>
      </c>
      <c r="R264" s="40" t="s">
        <v>2957</v>
      </c>
      <c r="S264" s="40" t="s">
        <v>2958</v>
      </c>
      <c r="T264" s="40" t="s">
        <v>1666</v>
      </c>
      <c r="U264" s="41" t="s">
        <v>2959</v>
      </c>
      <c r="V264" s="41" t="s">
        <v>139</v>
      </c>
      <c r="W264" s="41" t="s">
        <v>139</v>
      </c>
      <c r="X264" s="41" t="s">
        <v>139</v>
      </c>
      <c r="Y264" s="41" t="s">
        <v>139</v>
      </c>
      <c r="Z264" s="74" t="s">
        <v>2935</v>
      </c>
      <c r="AA264" s="41" t="s">
        <v>139</v>
      </c>
      <c r="AB264" s="41" t="s">
        <v>139</v>
      </c>
      <c r="AC264" s="41" t="s">
        <v>139</v>
      </c>
      <c r="AD264" s="41" t="s">
        <v>139</v>
      </c>
      <c r="AE264" s="44"/>
      <c r="AF264" s="45"/>
      <c r="AG264" s="45"/>
      <c r="AH264" s="46"/>
      <c r="AI264" s="45"/>
      <c r="AJ264" s="45"/>
      <c r="AK264" s="45"/>
      <c r="AL264" s="3" t="s">
        <v>1582</v>
      </c>
    </row>
    <row r="265" spans="2:38" ht="40.5">
      <c r="B265" s="144">
        <f t="shared" si="4"/>
        <v>262</v>
      </c>
      <c r="C265" s="148" t="s">
        <v>3731</v>
      </c>
      <c r="D265" s="148"/>
      <c r="E265" s="148"/>
      <c r="F265" s="148"/>
      <c r="G265" s="148"/>
      <c r="H265" s="148"/>
      <c r="I265" s="148"/>
      <c r="J265" s="148"/>
      <c r="K265" s="165" t="s">
        <v>3659</v>
      </c>
      <c r="L265" s="65" t="s">
        <v>3672</v>
      </c>
      <c r="M265" s="165" t="s">
        <v>3675</v>
      </c>
      <c r="N265" s="165" t="s">
        <v>3708</v>
      </c>
      <c r="O265" s="165" t="s">
        <v>3742</v>
      </c>
      <c r="P265" s="165" t="s">
        <v>2673</v>
      </c>
      <c r="Q265" s="126" t="s">
        <v>1637</v>
      </c>
      <c r="R265" s="40" t="s">
        <v>1939</v>
      </c>
      <c r="S265" s="40" t="s">
        <v>1940</v>
      </c>
      <c r="T265" s="40" t="s">
        <v>1895</v>
      </c>
      <c r="U265" s="41" t="s">
        <v>139</v>
      </c>
      <c r="V265" s="41" t="s">
        <v>139</v>
      </c>
      <c r="W265" s="41" t="s">
        <v>139</v>
      </c>
      <c r="X265" s="41" t="s">
        <v>139</v>
      </c>
      <c r="Y265" s="41" t="s">
        <v>1165</v>
      </c>
      <c r="Z265" s="74" t="s">
        <v>139</v>
      </c>
      <c r="AA265" s="41" t="s">
        <v>139</v>
      </c>
      <c r="AB265" s="41" t="s">
        <v>139</v>
      </c>
      <c r="AC265" s="41" t="s">
        <v>139</v>
      </c>
      <c r="AD265" s="41" t="s">
        <v>1166</v>
      </c>
      <c r="AE265" s="44"/>
      <c r="AF265" s="196"/>
      <c r="AG265" s="45"/>
      <c r="AH265" s="189">
        <v>1</v>
      </c>
      <c r="AI265" s="45"/>
      <c r="AJ265" s="45"/>
      <c r="AK265" s="45"/>
      <c r="AL265" s="3" t="s">
        <v>1582</v>
      </c>
    </row>
    <row r="266" spans="2:38" ht="40.5">
      <c r="B266" s="144">
        <f t="shared" si="4"/>
        <v>263</v>
      </c>
      <c r="C266" s="148" t="s">
        <v>3731</v>
      </c>
      <c r="D266" s="148"/>
      <c r="E266" s="148"/>
      <c r="F266" s="148"/>
      <c r="G266" s="148"/>
      <c r="H266" s="148"/>
      <c r="I266" s="148"/>
      <c r="J266" s="148"/>
      <c r="K266" s="165" t="s">
        <v>3659</v>
      </c>
      <c r="L266" s="65" t="s">
        <v>3672</v>
      </c>
      <c r="M266" s="165" t="s">
        <v>3675</v>
      </c>
      <c r="N266" s="165" t="s">
        <v>3708</v>
      </c>
      <c r="O266" s="165" t="s">
        <v>3770</v>
      </c>
      <c r="P266" s="165" t="s">
        <v>2676</v>
      </c>
      <c r="Q266" s="126" t="s">
        <v>1637</v>
      </c>
      <c r="R266" s="40" t="s">
        <v>1947</v>
      </c>
      <c r="S266" s="40" t="s">
        <v>1949</v>
      </c>
      <c r="T266" s="40" t="s">
        <v>1895</v>
      </c>
      <c r="U266" s="41" t="s">
        <v>139</v>
      </c>
      <c r="V266" s="41" t="s">
        <v>139</v>
      </c>
      <c r="W266" s="41" t="s">
        <v>139</v>
      </c>
      <c r="X266" s="41" t="s">
        <v>139</v>
      </c>
      <c r="Y266" s="41" t="s">
        <v>1165</v>
      </c>
      <c r="Z266" s="74" t="s">
        <v>139</v>
      </c>
      <c r="AA266" s="41" t="s">
        <v>139</v>
      </c>
      <c r="AB266" s="41" t="s">
        <v>139</v>
      </c>
      <c r="AC266" s="41" t="s">
        <v>139</v>
      </c>
      <c r="AD266" s="41" t="s">
        <v>1166</v>
      </c>
      <c r="AE266" s="44"/>
      <c r="AF266" s="196"/>
      <c r="AG266" s="45"/>
      <c r="AH266" s="189">
        <v>1</v>
      </c>
      <c r="AI266" s="45"/>
      <c r="AJ266" s="45"/>
      <c r="AK266" s="45"/>
      <c r="AL266" s="3" t="s">
        <v>1582</v>
      </c>
    </row>
    <row r="267" spans="2:38" ht="40.5" hidden="1">
      <c r="B267" s="144">
        <f t="shared" si="4"/>
        <v>264</v>
      </c>
      <c r="C267" s="148" t="s">
        <v>3732</v>
      </c>
      <c r="D267" s="148"/>
      <c r="E267" s="148"/>
      <c r="F267" s="148"/>
      <c r="G267" s="148"/>
      <c r="H267" s="148"/>
      <c r="I267" s="148"/>
      <c r="J267" s="148"/>
      <c r="K267" s="165" t="s">
        <v>3659</v>
      </c>
      <c r="L267" s="165" t="s">
        <v>3672</v>
      </c>
      <c r="M267" s="165" t="s">
        <v>3675</v>
      </c>
      <c r="N267" s="165" t="s">
        <v>3708</v>
      </c>
      <c r="O267" s="165" t="s">
        <v>1333</v>
      </c>
      <c r="P267" s="165" t="s">
        <v>1333</v>
      </c>
      <c r="Q267" s="126" t="s">
        <v>1334</v>
      </c>
      <c r="R267" s="40" t="s">
        <v>1335</v>
      </c>
      <c r="S267" s="40"/>
      <c r="T267" s="40" t="s">
        <v>2075</v>
      </c>
      <c r="U267" s="41" t="s">
        <v>1336</v>
      </c>
      <c r="V267" s="41" t="s">
        <v>139</v>
      </c>
      <c r="W267" s="41" t="s">
        <v>139</v>
      </c>
      <c r="X267" s="41" t="s">
        <v>139</v>
      </c>
      <c r="Y267" s="41" t="s">
        <v>139</v>
      </c>
      <c r="Z267" s="74" t="s">
        <v>117</v>
      </c>
      <c r="AA267" s="41" t="s">
        <v>139</v>
      </c>
      <c r="AB267" s="41" t="s">
        <v>139</v>
      </c>
      <c r="AC267" s="41" t="s">
        <v>139</v>
      </c>
      <c r="AD267" s="41" t="s">
        <v>139</v>
      </c>
      <c r="AE267" s="44"/>
      <c r="AF267" s="45"/>
      <c r="AG267" s="45"/>
      <c r="AH267" s="46"/>
      <c r="AI267" s="45"/>
      <c r="AJ267" s="45"/>
      <c r="AK267" s="45"/>
      <c r="AL267" s="3" t="s">
        <v>1582</v>
      </c>
    </row>
    <row r="268" spans="2:38" ht="40.5" hidden="1">
      <c r="B268" s="144">
        <f t="shared" si="4"/>
        <v>265</v>
      </c>
      <c r="C268" s="148" t="s">
        <v>3732</v>
      </c>
      <c r="D268" s="148"/>
      <c r="E268" s="148"/>
      <c r="F268" s="148"/>
      <c r="G268" s="148"/>
      <c r="H268" s="148"/>
      <c r="I268" s="148"/>
      <c r="J268" s="148"/>
      <c r="K268" s="165" t="s">
        <v>3659</v>
      </c>
      <c r="L268" s="165" t="s">
        <v>3672</v>
      </c>
      <c r="M268" s="165" t="s">
        <v>3675</v>
      </c>
      <c r="N268" s="165" t="s">
        <v>3708</v>
      </c>
      <c r="O268" s="165" t="s">
        <v>3514</v>
      </c>
      <c r="P268" s="165" t="s">
        <v>3275</v>
      </c>
      <c r="Q268" s="126" t="s">
        <v>132</v>
      </c>
      <c r="R268" s="40" t="s">
        <v>1285</v>
      </c>
      <c r="S268" s="40"/>
      <c r="T268" s="40" t="s">
        <v>192</v>
      </c>
      <c r="U268" s="41" t="s">
        <v>1286</v>
      </c>
      <c r="V268" s="41" t="s">
        <v>139</v>
      </c>
      <c r="W268" s="41" t="s">
        <v>139</v>
      </c>
      <c r="X268" s="41" t="s">
        <v>139</v>
      </c>
      <c r="Y268" s="41" t="s">
        <v>139</v>
      </c>
      <c r="Z268" s="74" t="s">
        <v>117</v>
      </c>
      <c r="AA268" s="41" t="s">
        <v>139</v>
      </c>
      <c r="AB268" s="41" t="s">
        <v>139</v>
      </c>
      <c r="AC268" s="41" t="s">
        <v>139</v>
      </c>
      <c r="AD268" s="41" t="s">
        <v>139</v>
      </c>
      <c r="AE268" s="44"/>
      <c r="AF268" s="45"/>
      <c r="AG268" s="45"/>
      <c r="AH268" s="46"/>
      <c r="AI268" s="45"/>
      <c r="AJ268" s="45"/>
      <c r="AK268" s="45"/>
      <c r="AL268" s="3" t="s">
        <v>1582</v>
      </c>
    </row>
    <row r="269" spans="2:38" ht="40.5" hidden="1">
      <c r="B269" s="144">
        <f t="shared" si="4"/>
        <v>266</v>
      </c>
      <c r="C269" s="148" t="s">
        <v>3732</v>
      </c>
      <c r="D269" s="148"/>
      <c r="E269" s="148"/>
      <c r="F269" s="148"/>
      <c r="G269" s="148"/>
      <c r="H269" s="148"/>
      <c r="I269" s="148"/>
      <c r="J269" s="148"/>
      <c r="K269" s="165" t="s">
        <v>3659</v>
      </c>
      <c r="L269" s="165" t="s">
        <v>3672</v>
      </c>
      <c r="M269" s="165" t="s">
        <v>3675</v>
      </c>
      <c r="N269" s="165" t="s">
        <v>3708</v>
      </c>
      <c r="O269" s="165" t="s">
        <v>656</v>
      </c>
      <c r="P269" s="165" t="s">
        <v>656</v>
      </c>
      <c r="Q269" s="126" t="s">
        <v>139</v>
      </c>
      <c r="R269" s="40" t="s">
        <v>657</v>
      </c>
      <c r="S269" s="40" t="s">
        <v>658</v>
      </c>
      <c r="T269" s="40" t="s">
        <v>161</v>
      </c>
      <c r="U269" s="41" t="s">
        <v>139</v>
      </c>
      <c r="V269" s="41" t="s">
        <v>139</v>
      </c>
      <c r="W269" s="41" t="s">
        <v>139</v>
      </c>
      <c r="X269" s="41" t="s">
        <v>654</v>
      </c>
      <c r="Y269" s="41" t="s">
        <v>139</v>
      </c>
      <c r="Z269" s="74" t="s">
        <v>139</v>
      </c>
      <c r="AA269" s="41" t="s">
        <v>139</v>
      </c>
      <c r="AB269" s="41" t="s">
        <v>139</v>
      </c>
      <c r="AC269" s="41" t="s">
        <v>655</v>
      </c>
      <c r="AD269" s="41" t="s">
        <v>139</v>
      </c>
      <c r="AE269" s="44"/>
      <c r="AF269" s="45"/>
      <c r="AG269" s="45"/>
      <c r="AH269" s="46"/>
      <c r="AI269" s="45"/>
      <c r="AJ269" s="45"/>
      <c r="AK269" s="45"/>
      <c r="AL269" s="3" t="s">
        <v>1582</v>
      </c>
    </row>
    <row r="270" spans="2:38" ht="40.5" hidden="1">
      <c r="B270" s="144">
        <f t="shared" si="4"/>
        <v>267</v>
      </c>
      <c r="C270" s="148" t="s">
        <v>3732</v>
      </c>
      <c r="D270" s="148"/>
      <c r="E270" s="148"/>
      <c r="F270" s="148"/>
      <c r="G270" s="148"/>
      <c r="H270" s="148"/>
      <c r="I270" s="148"/>
      <c r="J270" s="148"/>
      <c r="K270" s="165" t="s">
        <v>3659</v>
      </c>
      <c r="L270" s="165" t="s">
        <v>3672</v>
      </c>
      <c r="M270" s="65" t="s">
        <v>3675</v>
      </c>
      <c r="N270" s="165" t="s">
        <v>3708</v>
      </c>
      <c r="O270" s="65" t="s">
        <v>122</v>
      </c>
      <c r="P270" s="65" t="s">
        <v>122</v>
      </c>
      <c r="Q270" s="54" t="s">
        <v>123</v>
      </c>
      <c r="R270" s="41" t="s">
        <v>124</v>
      </c>
      <c r="S270" s="41" t="s">
        <v>125</v>
      </c>
      <c r="T270" s="41" t="s">
        <v>2075</v>
      </c>
      <c r="U270" s="41" t="s">
        <v>126</v>
      </c>
      <c r="V270" s="41" t="s">
        <v>139</v>
      </c>
      <c r="W270" s="41" t="s">
        <v>139</v>
      </c>
      <c r="X270" s="41" t="s">
        <v>139</v>
      </c>
      <c r="Y270" s="41" t="s">
        <v>139</v>
      </c>
      <c r="Z270" s="73" t="s">
        <v>127</v>
      </c>
      <c r="AA270" s="54" t="s">
        <v>139</v>
      </c>
      <c r="AB270" s="54" t="s">
        <v>139</v>
      </c>
      <c r="AC270" s="54" t="s">
        <v>139</v>
      </c>
      <c r="AD270" s="54" t="s">
        <v>139</v>
      </c>
      <c r="AE270" s="55"/>
      <c r="AF270" s="56"/>
      <c r="AG270" s="56"/>
      <c r="AH270" s="57"/>
      <c r="AI270" s="56"/>
      <c r="AJ270" s="56"/>
      <c r="AK270" s="56"/>
      <c r="AL270" s="3" t="s">
        <v>1582</v>
      </c>
    </row>
    <row r="271" spans="2:38" ht="40.5" hidden="1">
      <c r="B271" s="144">
        <f t="shared" si="4"/>
        <v>268</v>
      </c>
      <c r="C271" s="148" t="s">
        <v>3732</v>
      </c>
      <c r="D271" s="148"/>
      <c r="E271" s="148"/>
      <c r="F271" s="148"/>
      <c r="G271" s="148"/>
      <c r="H271" s="148"/>
      <c r="I271" s="148"/>
      <c r="J271" s="148"/>
      <c r="K271" s="165" t="s">
        <v>3659</v>
      </c>
      <c r="L271" s="165" t="s">
        <v>3672</v>
      </c>
      <c r="M271" s="65" t="s">
        <v>3675</v>
      </c>
      <c r="N271" s="65" t="s">
        <v>3715</v>
      </c>
      <c r="O271" s="65" t="s">
        <v>260</v>
      </c>
      <c r="P271" s="65" t="s">
        <v>260</v>
      </c>
      <c r="Q271" s="54" t="s">
        <v>139</v>
      </c>
      <c r="R271" s="41" t="s">
        <v>261</v>
      </c>
      <c r="S271" s="41" t="s">
        <v>262</v>
      </c>
      <c r="T271" s="41" t="s">
        <v>161</v>
      </c>
      <c r="U271" s="41" t="s">
        <v>256</v>
      </c>
      <c r="V271" s="41" t="s">
        <v>139</v>
      </c>
      <c r="W271" s="41" t="s">
        <v>139</v>
      </c>
      <c r="X271" s="41" t="s">
        <v>139</v>
      </c>
      <c r="Y271" s="41" t="s">
        <v>139</v>
      </c>
      <c r="Z271" s="73" t="s">
        <v>218</v>
      </c>
      <c r="AA271" s="54" t="s">
        <v>139</v>
      </c>
      <c r="AB271" s="54" t="s">
        <v>139</v>
      </c>
      <c r="AC271" s="54" t="s">
        <v>139</v>
      </c>
      <c r="AD271" s="54" t="s">
        <v>139</v>
      </c>
      <c r="AE271" s="55"/>
      <c r="AF271" s="56"/>
      <c r="AG271" s="56"/>
      <c r="AH271" s="57"/>
      <c r="AI271" s="56"/>
      <c r="AJ271" s="56"/>
      <c r="AK271" s="56"/>
      <c r="AL271" s="3" t="s">
        <v>1582</v>
      </c>
    </row>
    <row r="272" spans="2:38" ht="40.5" hidden="1">
      <c r="B272" s="144">
        <f t="shared" si="4"/>
        <v>269</v>
      </c>
      <c r="C272" s="148" t="s">
        <v>3732</v>
      </c>
      <c r="D272" s="148"/>
      <c r="E272" s="148"/>
      <c r="F272" s="148"/>
      <c r="G272" s="148"/>
      <c r="H272" s="148"/>
      <c r="I272" s="148"/>
      <c r="J272" s="148"/>
      <c r="K272" s="165" t="s">
        <v>3659</v>
      </c>
      <c r="L272" s="165" t="s">
        <v>3672</v>
      </c>
      <c r="M272" s="65" t="s">
        <v>3675</v>
      </c>
      <c r="N272" s="65" t="s">
        <v>3715</v>
      </c>
      <c r="O272" s="65" t="s">
        <v>257</v>
      </c>
      <c r="P272" s="65" t="s">
        <v>257</v>
      </c>
      <c r="Q272" s="54" t="s">
        <v>139</v>
      </c>
      <c r="R272" s="41" t="s">
        <v>258</v>
      </c>
      <c r="S272" s="41" t="s">
        <v>259</v>
      </c>
      <c r="T272" s="41" t="s">
        <v>161</v>
      </c>
      <c r="U272" s="41" t="s">
        <v>256</v>
      </c>
      <c r="V272" s="41" t="s">
        <v>139</v>
      </c>
      <c r="W272" s="41" t="s">
        <v>139</v>
      </c>
      <c r="X272" s="41" t="s">
        <v>139</v>
      </c>
      <c r="Y272" s="41" t="s">
        <v>139</v>
      </c>
      <c r="Z272" s="73" t="s">
        <v>218</v>
      </c>
      <c r="AA272" s="54" t="s">
        <v>139</v>
      </c>
      <c r="AB272" s="54" t="s">
        <v>139</v>
      </c>
      <c r="AC272" s="54" t="s">
        <v>139</v>
      </c>
      <c r="AD272" s="54" t="s">
        <v>139</v>
      </c>
      <c r="AE272" s="55"/>
      <c r="AF272" s="56"/>
      <c r="AG272" s="56"/>
      <c r="AH272" s="57"/>
      <c r="AI272" s="56"/>
      <c r="AJ272" s="56"/>
      <c r="AK272" s="56"/>
      <c r="AL272" s="3" t="s">
        <v>1582</v>
      </c>
    </row>
    <row r="273" spans="2:38" ht="40.5" hidden="1">
      <c r="B273" s="144">
        <f t="shared" si="4"/>
        <v>270</v>
      </c>
      <c r="C273" s="148" t="s">
        <v>3732</v>
      </c>
      <c r="D273" s="148"/>
      <c r="E273" s="148"/>
      <c r="F273" s="148"/>
      <c r="G273" s="148"/>
      <c r="H273" s="148"/>
      <c r="I273" s="148"/>
      <c r="J273" s="148"/>
      <c r="K273" s="165" t="s">
        <v>3659</v>
      </c>
      <c r="L273" s="165" t="s">
        <v>3672</v>
      </c>
      <c r="M273" s="65" t="s">
        <v>3675</v>
      </c>
      <c r="N273" s="65" t="s">
        <v>3715</v>
      </c>
      <c r="O273" s="165" t="s">
        <v>1146</v>
      </c>
      <c r="P273" s="165" t="s">
        <v>1146</v>
      </c>
      <c r="Q273" s="126" t="s">
        <v>139</v>
      </c>
      <c r="R273" s="40" t="s">
        <v>1147</v>
      </c>
      <c r="S273" s="40" t="s">
        <v>1148</v>
      </c>
      <c r="T273" s="40" t="s">
        <v>161</v>
      </c>
      <c r="U273" s="41" t="s">
        <v>1145</v>
      </c>
      <c r="V273" s="41" t="s">
        <v>139</v>
      </c>
      <c r="W273" s="41" t="s">
        <v>139</v>
      </c>
      <c r="X273" s="41" t="s">
        <v>139</v>
      </c>
      <c r="Y273" s="41" t="s">
        <v>139</v>
      </c>
      <c r="Z273" s="74" t="s">
        <v>235</v>
      </c>
      <c r="AA273" s="41" t="s">
        <v>139</v>
      </c>
      <c r="AB273" s="41" t="s">
        <v>139</v>
      </c>
      <c r="AC273" s="41" t="s">
        <v>139</v>
      </c>
      <c r="AD273" s="41" t="s">
        <v>139</v>
      </c>
      <c r="AE273" s="44"/>
      <c r="AF273" s="45"/>
      <c r="AG273" s="45"/>
      <c r="AH273" s="46"/>
      <c r="AI273" s="45"/>
      <c r="AJ273" s="45"/>
      <c r="AK273" s="45"/>
      <c r="AL273" s="3" t="s">
        <v>1582</v>
      </c>
    </row>
    <row r="274" spans="2:38" ht="40.5" hidden="1">
      <c r="B274" s="144">
        <f t="shared" si="4"/>
        <v>271</v>
      </c>
      <c r="C274" s="148" t="s">
        <v>3732</v>
      </c>
      <c r="D274" s="148"/>
      <c r="E274" s="148"/>
      <c r="F274" s="148"/>
      <c r="G274" s="148"/>
      <c r="H274" s="148"/>
      <c r="I274" s="148"/>
      <c r="J274" s="148"/>
      <c r="K274" s="165" t="s">
        <v>3659</v>
      </c>
      <c r="L274" s="165" t="s">
        <v>3672</v>
      </c>
      <c r="M274" s="65" t="s">
        <v>3675</v>
      </c>
      <c r="N274" s="65" t="s">
        <v>3715</v>
      </c>
      <c r="O274" s="65" t="s">
        <v>3386</v>
      </c>
      <c r="P274" s="65" t="s">
        <v>3240</v>
      </c>
      <c r="Q274" s="54" t="s">
        <v>3241</v>
      </c>
      <c r="R274" s="41" t="s">
        <v>254</v>
      </c>
      <c r="S274" s="41" t="s">
        <v>255</v>
      </c>
      <c r="T274" s="41" t="s">
        <v>161</v>
      </c>
      <c r="U274" s="41" t="s">
        <v>256</v>
      </c>
      <c r="V274" s="41" t="s">
        <v>139</v>
      </c>
      <c r="W274" s="41" t="s">
        <v>139</v>
      </c>
      <c r="X274" s="41" t="s">
        <v>139</v>
      </c>
      <c r="Y274" s="41" t="s">
        <v>139</v>
      </c>
      <c r="Z274" s="73" t="s">
        <v>218</v>
      </c>
      <c r="AA274" s="54" t="s">
        <v>139</v>
      </c>
      <c r="AB274" s="54" t="s">
        <v>139</v>
      </c>
      <c r="AC274" s="54" t="s">
        <v>139</v>
      </c>
      <c r="AD274" s="54" t="s">
        <v>139</v>
      </c>
      <c r="AE274" s="55"/>
      <c r="AF274" s="56"/>
      <c r="AG274" s="56"/>
      <c r="AH274" s="57"/>
      <c r="AI274" s="56"/>
      <c r="AJ274" s="56"/>
      <c r="AK274" s="56"/>
      <c r="AL274" s="3" t="s">
        <v>1582</v>
      </c>
    </row>
    <row r="275" spans="2:38" ht="40.5" hidden="1">
      <c r="B275" s="144">
        <f t="shared" si="4"/>
        <v>272</v>
      </c>
      <c r="C275" s="148" t="s">
        <v>3732</v>
      </c>
      <c r="D275" s="148"/>
      <c r="E275" s="148"/>
      <c r="F275" s="148"/>
      <c r="G275" s="148"/>
      <c r="H275" s="148"/>
      <c r="I275" s="148"/>
      <c r="J275" s="148"/>
      <c r="K275" s="165" t="s">
        <v>3659</v>
      </c>
      <c r="L275" s="165" t="s">
        <v>3672</v>
      </c>
      <c r="M275" s="65" t="s">
        <v>3675</v>
      </c>
      <c r="N275" s="65" t="s">
        <v>3715</v>
      </c>
      <c r="O275" s="165" t="s">
        <v>1142</v>
      </c>
      <c r="P275" s="165" t="s">
        <v>1142</v>
      </c>
      <c r="Q275" s="126" t="s">
        <v>139</v>
      </c>
      <c r="R275" s="40" t="s">
        <v>1143</v>
      </c>
      <c r="S275" s="40" t="s">
        <v>1144</v>
      </c>
      <c r="T275" s="40" t="s">
        <v>161</v>
      </c>
      <c r="U275" s="41" t="s">
        <v>1145</v>
      </c>
      <c r="V275" s="41" t="s">
        <v>139</v>
      </c>
      <c r="W275" s="41" t="s">
        <v>139</v>
      </c>
      <c r="X275" s="41" t="s">
        <v>139</v>
      </c>
      <c r="Y275" s="41" t="s">
        <v>139</v>
      </c>
      <c r="Z275" s="74" t="s">
        <v>235</v>
      </c>
      <c r="AA275" s="41" t="s">
        <v>139</v>
      </c>
      <c r="AB275" s="41" t="s">
        <v>139</v>
      </c>
      <c r="AC275" s="41" t="s">
        <v>139</v>
      </c>
      <c r="AD275" s="41" t="s">
        <v>139</v>
      </c>
      <c r="AE275" s="44"/>
      <c r="AF275" s="45"/>
      <c r="AG275" s="45"/>
      <c r="AH275" s="46"/>
      <c r="AI275" s="45"/>
      <c r="AJ275" s="45"/>
      <c r="AK275" s="45"/>
      <c r="AL275" s="3" t="s">
        <v>1582</v>
      </c>
    </row>
    <row r="276" spans="2:38" ht="40.5" hidden="1">
      <c r="B276" s="144">
        <f t="shared" si="4"/>
        <v>273</v>
      </c>
      <c r="C276" s="148" t="s">
        <v>3732</v>
      </c>
      <c r="D276" s="148"/>
      <c r="E276" s="148"/>
      <c r="F276" s="148"/>
      <c r="G276" s="148"/>
      <c r="H276" s="148"/>
      <c r="I276" s="148"/>
      <c r="J276" s="148"/>
      <c r="K276" s="165" t="s">
        <v>3659</v>
      </c>
      <c r="L276" s="165" t="s">
        <v>3672</v>
      </c>
      <c r="M276" s="65" t="s">
        <v>3675</v>
      </c>
      <c r="N276" s="65" t="s">
        <v>3710</v>
      </c>
      <c r="O276" s="65" t="s">
        <v>138</v>
      </c>
      <c r="P276" s="65" t="s">
        <v>138</v>
      </c>
      <c r="Q276" s="54" t="s">
        <v>139</v>
      </c>
      <c r="R276" s="41" t="s">
        <v>140</v>
      </c>
      <c r="S276" s="41" t="s">
        <v>141</v>
      </c>
      <c r="T276" s="41" t="s">
        <v>192</v>
      </c>
      <c r="U276" s="41" t="s">
        <v>142</v>
      </c>
      <c r="V276" s="41" t="s">
        <v>139</v>
      </c>
      <c r="W276" s="41" t="s">
        <v>139</v>
      </c>
      <c r="X276" s="41" t="s">
        <v>139</v>
      </c>
      <c r="Y276" s="41" t="s">
        <v>139</v>
      </c>
      <c r="Z276" s="73" t="s">
        <v>133</v>
      </c>
      <c r="AA276" s="54" t="s">
        <v>139</v>
      </c>
      <c r="AB276" s="54" t="s">
        <v>139</v>
      </c>
      <c r="AC276" s="54" t="s">
        <v>139</v>
      </c>
      <c r="AD276" s="54" t="s">
        <v>139</v>
      </c>
      <c r="AE276" s="55"/>
      <c r="AF276" s="56"/>
      <c r="AG276" s="56"/>
      <c r="AH276" s="57"/>
      <c r="AI276" s="56"/>
      <c r="AJ276" s="56"/>
      <c r="AK276" s="56"/>
      <c r="AL276" s="3" t="s">
        <v>1582</v>
      </c>
    </row>
    <row r="277" spans="2:38" ht="40.5" hidden="1">
      <c r="B277" s="144">
        <f t="shared" si="4"/>
        <v>274</v>
      </c>
      <c r="C277" s="148" t="s">
        <v>3732</v>
      </c>
      <c r="D277" s="148"/>
      <c r="E277" s="148"/>
      <c r="F277" s="148"/>
      <c r="G277" s="148"/>
      <c r="H277" s="148"/>
      <c r="I277" s="148"/>
      <c r="J277" s="148"/>
      <c r="K277" s="165" t="s">
        <v>3659</v>
      </c>
      <c r="L277" s="165" t="s">
        <v>3672</v>
      </c>
      <c r="M277" s="65" t="s">
        <v>3675</v>
      </c>
      <c r="N277" s="65" t="s">
        <v>3710</v>
      </c>
      <c r="O277" s="65" t="s">
        <v>168</v>
      </c>
      <c r="P277" s="65" t="s">
        <v>168</v>
      </c>
      <c r="Q277" s="54" t="s">
        <v>139</v>
      </c>
      <c r="R277" s="41" t="s">
        <v>169</v>
      </c>
      <c r="S277" s="41" t="s">
        <v>170</v>
      </c>
      <c r="T277" s="41" t="s">
        <v>192</v>
      </c>
      <c r="U277" s="41" t="s">
        <v>171</v>
      </c>
      <c r="V277" s="41" t="s">
        <v>139</v>
      </c>
      <c r="W277" s="41" t="s">
        <v>139</v>
      </c>
      <c r="X277" s="41" t="s">
        <v>139</v>
      </c>
      <c r="Y277" s="41" t="s">
        <v>139</v>
      </c>
      <c r="Z277" s="73" t="s">
        <v>163</v>
      </c>
      <c r="AA277" s="54" t="s">
        <v>139</v>
      </c>
      <c r="AB277" s="54" t="s">
        <v>139</v>
      </c>
      <c r="AC277" s="54" t="s">
        <v>139</v>
      </c>
      <c r="AD277" s="54" t="s">
        <v>139</v>
      </c>
      <c r="AE277" s="55"/>
      <c r="AF277" s="56"/>
      <c r="AG277" s="56"/>
      <c r="AH277" s="57"/>
      <c r="AI277" s="56"/>
      <c r="AJ277" s="56"/>
      <c r="AK277" s="56"/>
      <c r="AL277" s="3" t="s">
        <v>1582</v>
      </c>
    </row>
    <row r="278" spans="2:38" ht="40.5" hidden="1">
      <c r="B278" s="144">
        <f t="shared" si="4"/>
        <v>275</v>
      </c>
      <c r="C278" s="148" t="s">
        <v>3732</v>
      </c>
      <c r="D278" s="148"/>
      <c r="E278" s="148"/>
      <c r="F278" s="148"/>
      <c r="G278" s="148"/>
      <c r="H278" s="148"/>
      <c r="I278" s="148"/>
      <c r="J278" s="148"/>
      <c r="K278" s="165" t="s">
        <v>3659</v>
      </c>
      <c r="L278" s="165" t="s">
        <v>3672</v>
      </c>
      <c r="M278" s="65" t="s">
        <v>3675</v>
      </c>
      <c r="N278" s="65" t="s">
        <v>3710</v>
      </c>
      <c r="O278" s="65" t="s">
        <v>151</v>
      </c>
      <c r="P278" s="65" t="s">
        <v>151</v>
      </c>
      <c r="Q278" s="54" t="s">
        <v>139</v>
      </c>
      <c r="R278" s="41" t="s">
        <v>152</v>
      </c>
      <c r="S278" s="41" t="s">
        <v>153</v>
      </c>
      <c r="T278" s="41" t="s">
        <v>192</v>
      </c>
      <c r="U278" s="41" t="s">
        <v>154</v>
      </c>
      <c r="V278" s="41" t="s">
        <v>139</v>
      </c>
      <c r="W278" s="41" t="s">
        <v>139</v>
      </c>
      <c r="X278" s="41" t="s">
        <v>139</v>
      </c>
      <c r="Y278" s="41" t="s">
        <v>139</v>
      </c>
      <c r="Z278" s="73" t="s">
        <v>133</v>
      </c>
      <c r="AA278" s="54" t="s">
        <v>139</v>
      </c>
      <c r="AB278" s="54" t="s">
        <v>139</v>
      </c>
      <c r="AC278" s="54" t="s">
        <v>139</v>
      </c>
      <c r="AD278" s="54" t="s">
        <v>139</v>
      </c>
      <c r="AE278" s="55"/>
      <c r="AF278" s="56"/>
      <c r="AG278" s="56"/>
      <c r="AH278" s="57"/>
      <c r="AI278" s="56"/>
      <c r="AJ278" s="56"/>
      <c r="AK278" s="56"/>
      <c r="AL278" s="3" t="s">
        <v>1582</v>
      </c>
    </row>
    <row r="279" spans="2:38" ht="40.5" hidden="1">
      <c r="B279" s="144">
        <f t="shared" si="4"/>
        <v>276</v>
      </c>
      <c r="C279" s="148" t="s">
        <v>3732</v>
      </c>
      <c r="D279" s="148"/>
      <c r="E279" s="148"/>
      <c r="F279" s="148"/>
      <c r="G279" s="148"/>
      <c r="H279" s="148"/>
      <c r="I279" s="148"/>
      <c r="J279" s="148"/>
      <c r="K279" s="165" t="s">
        <v>3659</v>
      </c>
      <c r="L279" s="165" t="s">
        <v>3672</v>
      </c>
      <c r="M279" s="65" t="s">
        <v>3675</v>
      </c>
      <c r="N279" s="65" t="s">
        <v>3710</v>
      </c>
      <c r="O279" s="65" t="s">
        <v>143</v>
      </c>
      <c r="P279" s="65" t="s">
        <v>143</v>
      </c>
      <c r="Q279" s="54" t="s">
        <v>139</v>
      </c>
      <c r="R279" s="41" t="s">
        <v>144</v>
      </c>
      <c r="S279" s="41" t="s">
        <v>145</v>
      </c>
      <c r="T279" s="41" t="s">
        <v>192</v>
      </c>
      <c r="U279" s="41" t="s">
        <v>146</v>
      </c>
      <c r="V279" s="41" t="s">
        <v>139</v>
      </c>
      <c r="W279" s="41" t="s">
        <v>139</v>
      </c>
      <c r="X279" s="41" t="s">
        <v>139</v>
      </c>
      <c r="Y279" s="41" t="s">
        <v>139</v>
      </c>
      <c r="Z279" s="73" t="s">
        <v>133</v>
      </c>
      <c r="AA279" s="54" t="s">
        <v>139</v>
      </c>
      <c r="AB279" s="54" t="s">
        <v>139</v>
      </c>
      <c r="AC279" s="54" t="s">
        <v>139</v>
      </c>
      <c r="AD279" s="54" t="s">
        <v>139</v>
      </c>
      <c r="AE279" s="55"/>
      <c r="AF279" s="56"/>
      <c r="AG279" s="56"/>
      <c r="AH279" s="57"/>
      <c r="AI279" s="56"/>
      <c r="AJ279" s="56"/>
      <c r="AK279" s="56"/>
      <c r="AL279" s="3" t="s">
        <v>1582</v>
      </c>
    </row>
    <row r="280" spans="2:38" ht="40.5" hidden="1">
      <c r="B280" s="144">
        <f t="shared" si="4"/>
        <v>277</v>
      </c>
      <c r="C280" s="148" t="s">
        <v>3732</v>
      </c>
      <c r="D280" s="148"/>
      <c r="E280" s="148"/>
      <c r="F280" s="148"/>
      <c r="G280" s="148"/>
      <c r="H280" s="148"/>
      <c r="I280" s="148"/>
      <c r="J280" s="148"/>
      <c r="K280" s="165" t="s">
        <v>3659</v>
      </c>
      <c r="L280" s="165" t="s">
        <v>3672</v>
      </c>
      <c r="M280" s="65" t="s">
        <v>3675</v>
      </c>
      <c r="N280" s="65" t="s">
        <v>3710</v>
      </c>
      <c r="O280" s="65" t="s">
        <v>147</v>
      </c>
      <c r="P280" s="65" t="s">
        <v>147</v>
      </c>
      <c r="Q280" s="54" t="s">
        <v>139</v>
      </c>
      <c r="R280" s="41" t="s">
        <v>148</v>
      </c>
      <c r="S280" s="41" t="s">
        <v>149</v>
      </c>
      <c r="T280" s="41" t="s">
        <v>192</v>
      </c>
      <c r="U280" s="41" t="s">
        <v>150</v>
      </c>
      <c r="V280" s="41" t="s">
        <v>139</v>
      </c>
      <c r="W280" s="41" t="s">
        <v>139</v>
      </c>
      <c r="X280" s="41" t="s">
        <v>139</v>
      </c>
      <c r="Y280" s="41" t="s">
        <v>139</v>
      </c>
      <c r="Z280" s="73" t="s">
        <v>133</v>
      </c>
      <c r="AA280" s="54" t="s">
        <v>139</v>
      </c>
      <c r="AB280" s="54" t="s">
        <v>139</v>
      </c>
      <c r="AC280" s="54" t="s">
        <v>139</v>
      </c>
      <c r="AD280" s="54" t="s">
        <v>139</v>
      </c>
      <c r="AE280" s="55"/>
      <c r="AF280" s="56"/>
      <c r="AG280" s="56"/>
      <c r="AH280" s="57"/>
      <c r="AI280" s="56"/>
      <c r="AJ280" s="56"/>
      <c r="AK280" s="56"/>
      <c r="AL280" s="3" t="s">
        <v>1582</v>
      </c>
    </row>
    <row r="281" spans="2:38" ht="54" hidden="1">
      <c r="B281" s="144">
        <f t="shared" si="4"/>
        <v>278</v>
      </c>
      <c r="C281" s="148" t="s">
        <v>3732</v>
      </c>
      <c r="D281" s="148"/>
      <c r="E281" s="148"/>
      <c r="F281" s="148"/>
      <c r="G281" s="148"/>
      <c r="H281" s="148"/>
      <c r="I281" s="148"/>
      <c r="J281" s="148"/>
      <c r="K281" s="165" t="s">
        <v>3659</v>
      </c>
      <c r="L281" s="165" t="s">
        <v>3672</v>
      </c>
      <c r="M281" s="65" t="s">
        <v>3675</v>
      </c>
      <c r="N281" s="65" t="s">
        <v>3710</v>
      </c>
      <c r="O281" s="165" t="s">
        <v>3352</v>
      </c>
      <c r="P281" s="165" t="s">
        <v>2969</v>
      </c>
      <c r="Q281" s="126" t="s">
        <v>1637</v>
      </c>
      <c r="R281" s="40" t="s">
        <v>2972</v>
      </c>
      <c r="S281" s="40" t="s">
        <v>2970</v>
      </c>
      <c r="T281" s="40"/>
      <c r="U281" s="41" t="s">
        <v>2968</v>
      </c>
      <c r="V281" s="41" t="s">
        <v>139</v>
      </c>
      <c r="W281" s="41" t="s">
        <v>139</v>
      </c>
      <c r="X281" s="41" t="s">
        <v>139</v>
      </c>
      <c r="Y281" s="41" t="s">
        <v>139</v>
      </c>
      <c r="Z281" s="74" t="s">
        <v>2935</v>
      </c>
      <c r="AA281" s="41" t="s">
        <v>139</v>
      </c>
      <c r="AB281" s="41" t="s">
        <v>139</v>
      </c>
      <c r="AC281" s="41" t="s">
        <v>139</v>
      </c>
      <c r="AD281" s="41" t="s">
        <v>139</v>
      </c>
      <c r="AE281" s="44"/>
      <c r="AF281" s="45"/>
      <c r="AG281" s="45"/>
      <c r="AH281" s="46"/>
      <c r="AI281" s="45"/>
      <c r="AJ281" s="45"/>
      <c r="AK281" s="45"/>
      <c r="AL281" s="3" t="s">
        <v>1582</v>
      </c>
    </row>
    <row r="282" spans="2:38" ht="40.5" hidden="1">
      <c r="B282" s="144">
        <f t="shared" si="4"/>
        <v>279</v>
      </c>
      <c r="C282" s="148" t="s">
        <v>3732</v>
      </c>
      <c r="D282" s="148"/>
      <c r="E282" s="148"/>
      <c r="F282" s="148"/>
      <c r="G282" s="148"/>
      <c r="H282" s="148"/>
      <c r="I282" s="148"/>
      <c r="J282" s="148"/>
      <c r="K282" s="165" t="s">
        <v>3659</v>
      </c>
      <c r="L282" s="165" t="s">
        <v>3672</v>
      </c>
      <c r="M282" s="65" t="s">
        <v>3675</v>
      </c>
      <c r="N282" s="65" t="s">
        <v>3710</v>
      </c>
      <c r="O282" s="165" t="s">
        <v>3355</v>
      </c>
      <c r="P282" s="165" t="s">
        <v>1888</v>
      </c>
      <c r="Q282" s="126" t="s">
        <v>1637</v>
      </c>
      <c r="R282" s="68" t="s">
        <v>1889</v>
      </c>
      <c r="S282" s="61"/>
      <c r="T282" s="40" t="s">
        <v>2012</v>
      </c>
      <c r="U282" s="41" t="s">
        <v>139</v>
      </c>
      <c r="V282" s="41" t="s">
        <v>139</v>
      </c>
      <c r="W282" s="41" t="s">
        <v>139</v>
      </c>
      <c r="X282" s="41" t="s">
        <v>139</v>
      </c>
      <c r="Y282" s="41" t="s">
        <v>2013</v>
      </c>
      <c r="Z282" s="74" t="s">
        <v>139</v>
      </c>
      <c r="AA282" s="41" t="s">
        <v>139</v>
      </c>
      <c r="AB282" s="41" t="s">
        <v>139</v>
      </c>
      <c r="AC282" s="41" t="s">
        <v>139</v>
      </c>
      <c r="AD282" s="41" t="s">
        <v>1892</v>
      </c>
      <c r="AE282" s="44"/>
      <c r="AF282" s="45"/>
      <c r="AG282" s="45"/>
      <c r="AH282" s="46"/>
      <c r="AI282" s="45"/>
      <c r="AJ282" s="45"/>
      <c r="AK282" s="45"/>
      <c r="AL282" s="3" t="s">
        <v>1582</v>
      </c>
    </row>
    <row r="283" spans="2:38" ht="40.5" hidden="1">
      <c r="B283" s="144">
        <f t="shared" si="4"/>
        <v>280</v>
      </c>
      <c r="C283" s="148" t="s">
        <v>3732</v>
      </c>
      <c r="D283" s="148"/>
      <c r="E283" s="148"/>
      <c r="F283" s="148"/>
      <c r="G283" s="148"/>
      <c r="H283" s="148"/>
      <c r="I283" s="148"/>
      <c r="J283" s="148"/>
      <c r="K283" s="165" t="s">
        <v>3659</v>
      </c>
      <c r="L283" s="165" t="s">
        <v>3672</v>
      </c>
      <c r="M283" s="65" t="s">
        <v>3675</v>
      </c>
      <c r="N283" s="65" t="s">
        <v>3710</v>
      </c>
      <c r="O283" s="65" t="s">
        <v>172</v>
      </c>
      <c r="P283" s="65" t="s">
        <v>172</v>
      </c>
      <c r="Q283" s="54" t="s">
        <v>139</v>
      </c>
      <c r="R283" s="41" t="s">
        <v>173</v>
      </c>
      <c r="S283" s="41" t="s">
        <v>174</v>
      </c>
      <c r="T283" s="41" t="s">
        <v>192</v>
      </c>
      <c r="U283" s="41" t="s">
        <v>175</v>
      </c>
      <c r="V283" s="41" t="s">
        <v>139</v>
      </c>
      <c r="W283" s="41" t="s">
        <v>139</v>
      </c>
      <c r="X283" s="41" t="s">
        <v>139</v>
      </c>
      <c r="Y283" s="41" t="s">
        <v>139</v>
      </c>
      <c r="Z283" s="73" t="s">
        <v>133</v>
      </c>
      <c r="AA283" s="54" t="s">
        <v>139</v>
      </c>
      <c r="AB283" s="54" t="s">
        <v>139</v>
      </c>
      <c r="AC283" s="54" t="s">
        <v>139</v>
      </c>
      <c r="AD283" s="54" t="s">
        <v>139</v>
      </c>
      <c r="AE283" s="55"/>
      <c r="AF283" s="56"/>
      <c r="AG283" s="56"/>
      <c r="AH283" s="57"/>
      <c r="AI283" s="56"/>
      <c r="AJ283" s="56"/>
      <c r="AK283" s="56"/>
      <c r="AL283" s="3" t="s">
        <v>1582</v>
      </c>
    </row>
    <row r="284" spans="2:38" ht="40.5" hidden="1">
      <c r="B284" s="144">
        <f t="shared" si="4"/>
        <v>281</v>
      </c>
      <c r="C284" s="148" t="s">
        <v>3732</v>
      </c>
      <c r="D284" s="148"/>
      <c r="E284" s="148"/>
      <c r="F284" s="148"/>
      <c r="G284" s="148"/>
      <c r="H284" s="148"/>
      <c r="I284" s="148"/>
      <c r="J284" s="148"/>
      <c r="K284" s="165" t="s">
        <v>3659</v>
      </c>
      <c r="L284" s="165" t="s">
        <v>3672</v>
      </c>
      <c r="M284" s="65" t="s">
        <v>3675</v>
      </c>
      <c r="N284" s="65" t="s">
        <v>3710</v>
      </c>
      <c r="O284" s="65" t="s">
        <v>176</v>
      </c>
      <c r="P284" s="65" t="s">
        <v>176</v>
      </c>
      <c r="Q284" s="54" t="s">
        <v>139</v>
      </c>
      <c r="R284" s="41" t="s">
        <v>177</v>
      </c>
      <c r="S284" s="41" t="s">
        <v>178</v>
      </c>
      <c r="T284" s="41" t="s">
        <v>192</v>
      </c>
      <c r="U284" s="41" t="s">
        <v>175</v>
      </c>
      <c r="V284" s="41" t="s">
        <v>139</v>
      </c>
      <c r="W284" s="41" t="s">
        <v>139</v>
      </c>
      <c r="X284" s="41" t="s">
        <v>139</v>
      </c>
      <c r="Y284" s="41" t="s">
        <v>139</v>
      </c>
      <c r="Z284" s="73" t="s">
        <v>133</v>
      </c>
      <c r="AA284" s="54" t="s">
        <v>139</v>
      </c>
      <c r="AB284" s="54" t="s">
        <v>139</v>
      </c>
      <c r="AC284" s="54" t="s">
        <v>139</v>
      </c>
      <c r="AD284" s="54" t="s">
        <v>139</v>
      </c>
      <c r="AE284" s="55"/>
      <c r="AF284" s="56"/>
      <c r="AG284" s="56"/>
      <c r="AH284" s="57"/>
      <c r="AI284" s="56"/>
      <c r="AJ284" s="56"/>
      <c r="AK284" s="56"/>
      <c r="AL284" s="3" t="s">
        <v>1582</v>
      </c>
    </row>
    <row r="285" spans="2:38" ht="40.5" hidden="1">
      <c r="B285" s="144">
        <f t="shared" si="4"/>
        <v>282</v>
      </c>
      <c r="C285" s="148" t="s">
        <v>3732</v>
      </c>
      <c r="D285" s="148"/>
      <c r="E285" s="148"/>
      <c r="F285" s="148"/>
      <c r="G285" s="148"/>
      <c r="H285" s="148"/>
      <c r="I285" s="148"/>
      <c r="J285" s="148"/>
      <c r="K285" s="165" t="s">
        <v>3659</v>
      </c>
      <c r="L285" s="165" t="s">
        <v>3672</v>
      </c>
      <c r="M285" s="165" t="s">
        <v>3675</v>
      </c>
      <c r="N285" s="65" t="s">
        <v>3710</v>
      </c>
      <c r="O285" s="165" t="s">
        <v>1133</v>
      </c>
      <c r="P285" s="165" t="s">
        <v>1133</v>
      </c>
      <c r="Q285" s="126" t="s">
        <v>139</v>
      </c>
      <c r="R285" s="40" t="s">
        <v>1134</v>
      </c>
      <c r="S285" s="40" t="s">
        <v>1135</v>
      </c>
      <c r="T285" s="40" t="s">
        <v>1136</v>
      </c>
      <c r="U285" s="41" t="s">
        <v>1137</v>
      </c>
      <c r="V285" s="41" t="s">
        <v>139</v>
      </c>
      <c r="W285" s="41" t="s">
        <v>139</v>
      </c>
      <c r="X285" s="41" t="s">
        <v>139</v>
      </c>
      <c r="Y285" s="41" t="s">
        <v>139</v>
      </c>
      <c r="Z285" s="74" t="s">
        <v>1138</v>
      </c>
      <c r="AA285" s="41" t="s">
        <v>139</v>
      </c>
      <c r="AB285" s="41" t="s">
        <v>139</v>
      </c>
      <c r="AC285" s="41" t="s">
        <v>139</v>
      </c>
      <c r="AD285" s="41" t="s">
        <v>139</v>
      </c>
      <c r="AE285" s="44"/>
      <c r="AF285" s="45"/>
      <c r="AG285" s="45"/>
      <c r="AH285" s="46"/>
      <c r="AI285" s="45"/>
      <c r="AJ285" s="45"/>
      <c r="AK285" s="45"/>
      <c r="AL285" s="3" t="s">
        <v>1582</v>
      </c>
    </row>
    <row r="286" spans="2:38" ht="40.5" hidden="1">
      <c r="B286" s="144">
        <f t="shared" si="4"/>
        <v>283</v>
      </c>
      <c r="C286" s="148" t="s">
        <v>3732</v>
      </c>
      <c r="D286" s="148"/>
      <c r="E286" s="148"/>
      <c r="F286" s="148"/>
      <c r="G286" s="148"/>
      <c r="H286" s="148"/>
      <c r="I286" s="148"/>
      <c r="J286" s="148"/>
      <c r="K286" s="165" t="s">
        <v>3659</v>
      </c>
      <c r="L286" s="165" t="s">
        <v>3672</v>
      </c>
      <c r="M286" s="165" t="s">
        <v>3675</v>
      </c>
      <c r="N286" s="65" t="s">
        <v>3712</v>
      </c>
      <c r="O286" s="65" t="s">
        <v>3446</v>
      </c>
      <c r="P286" s="65" t="s">
        <v>2067</v>
      </c>
      <c r="Q286" s="126" t="s">
        <v>1637</v>
      </c>
      <c r="R286" s="40" t="s">
        <v>2068</v>
      </c>
      <c r="S286" s="40"/>
      <c r="T286" s="62" t="s">
        <v>1637</v>
      </c>
      <c r="U286" s="41" t="s">
        <v>139</v>
      </c>
      <c r="V286" s="41" t="s">
        <v>139</v>
      </c>
      <c r="W286" s="41" t="s">
        <v>139</v>
      </c>
      <c r="X286" s="41" t="s">
        <v>139</v>
      </c>
      <c r="Y286" s="42" t="s">
        <v>1891</v>
      </c>
      <c r="Z286" s="43" t="s">
        <v>139</v>
      </c>
      <c r="AA286" s="41" t="s">
        <v>139</v>
      </c>
      <c r="AB286" s="41" t="s">
        <v>139</v>
      </c>
      <c r="AC286" s="41" t="s">
        <v>139</v>
      </c>
      <c r="AD286" s="41" t="s">
        <v>1892</v>
      </c>
      <c r="AE286" s="44"/>
      <c r="AF286" s="45"/>
      <c r="AG286" s="45"/>
      <c r="AH286" s="46"/>
      <c r="AI286" s="45"/>
      <c r="AJ286" s="45"/>
      <c r="AK286" s="45"/>
      <c r="AL286" s="3" t="s">
        <v>1582</v>
      </c>
    </row>
    <row r="287" spans="2:38" ht="67.5" hidden="1">
      <c r="B287" s="144">
        <f t="shared" si="4"/>
        <v>284</v>
      </c>
      <c r="C287" s="148" t="s">
        <v>3732</v>
      </c>
      <c r="D287" s="148"/>
      <c r="E287" s="148"/>
      <c r="F287" s="148"/>
      <c r="G287" s="148"/>
      <c r="H287" s="148"/>
      <c r="I287" s="148"/>
      <c r="J287" s="148"/>
      <c r="K287" s="165" t="s">
        <v>3659</v>
      </c>
      <c r="L287" s="165" t="s">
        <v>3672</v>
      </c>
      <c r="M287" s="165" t="s">
        <v>3675</v>
      </c>
      <c r="N287" s="165" t="s">
        <v>3712</v>
      </c>
      <c r="O287" s="165" t="s">
        <v>3456</v>
      </c>
      <c r="P287" s="165" t="s">
        <v>2973</v>
      </c>
      <c r="Q287" s="126" t="s">
        <v>1637</v>
      </c>
      <c r="R287" s="40" t="s">
        <v>2974</v>
      </c>
      <c r="S287" s="61"/>
      <c r="T287" s="40" t="s">
        <v>2941</v>
      </c>
      <c r="U287" s="41" t="s">
        <v>2968</v>
      </c>
      <c r="V287" s="41" t="s">
        <v>139</v>
      </c>
      <c r="W287" s="41" t="s">
        <v>139</v>
      </c>
      <c r="X287" s="41" t="s">
        <v>139</v>
      </c>
      <c r="Y287" s="42" t="s">
        <v>139</v>
      </c>
      <c r="Z287" s="43" t="s">
        <v>2935</v>
      </c>
      <c r="AA287" s="41" t="s">
        <v>139</v>
      </c>
      <c r="AB287" s="41" t="s">
        <v>139</v>
      </c>
      <c r="AC287" s="41" t="s">
        <v>139</v>
      </c>
      <c r="AD287" s="41" t="s">
        <v>139</v>
      </c>
      <c r="AE287" s="44"/>
      <c r="AF287" s="45"/>
      <c r="AG287" s="45"/>
      <c r="AH287" s="46"/>
      <c r="AI287" s="45"/>
      <c r="AJ287" s="45"/>
      <c r="AK287" s="45"/>
      <c r="AL287" s="3" t="s">
        <v>1582</v>
      </c>
    </row>
    <row r="288" spans="2:38" ht="40.5" hidden="1">
      <c r="B288" s="144">
        <f t="shared" si="4"/>
        <v>285</v>
      </c>
      <c r="C288" s="148" t="s">
        <v>3732</v>
      </c>
      <c r="D288" s="148"/>
      <c r="E288" s="148"/>
      <c r="F288" s="148"/>
      <c r="G288" s="148"/>
      <c r="H288" s="148"/>
      <c r="I288" s="148"/>
      <c r="J288" s="148"/>
      <c r="K288" s="165" t="s">
        <v>3659</v>
      </c>
      <c r="L288" s="165" t="s">
        <v>3672</v>
      </c>
      <c r="M288" s="165" t="s">
        <v>3675</v>
      </c>
      <c r="N288" s="65" t="s">
        <v>3712</v>
      </c>
      <c r="O288" s="65" t="s">
        <v>3460</v>
      </c>
      <c r="P288" s="65" t="s">
        <v>2073</v>
      </c>
      <c r="Q288" s="127" t="s">
        <v>1637</v>
      </c>
      <c r="R288" s="70" t="s">
        <v>2089</v>
      </c>
      <c r="S288" s="40"/>
      <c r="T288" s="40" t="s">
        <v>2023</v>
      </c>
      <c r="U288" s="48" t="s">
        <v>139</v>
      </c>
      <c r="V288" s="48" t="s">
        <v>139</v>
      </c>
      <c r="W288" s="48" t="s">
        <v>139</v>
      </c>
      <c r="X288" s="48" t="s">
        <v>139</v>
      </c>
      <c r="Y288" s="42" t="s">
        <v>1891</v>
      </c>
      <c r="Z288" s="50" t="s">
        <v>139</v>
      </c>
      <c r="AA288" s="48" t="s">
        <v>139</v>
      </c>
      <c r="AB288" s="48" t="s">
        <v>139</v>
      </c>
      <c r="AC288" s="48" t="s">
        <v>139</v>
      </c>
      <c r="AD288" s="54" t="s">
        <v>1892</v>
      </c>
      <c r="AE288" s="44"/>
      <c r="AF288" s="45"/>
      <c r="AG288" s="45"/>
      <c r="AH288" s="46"/>
      <c r="AI288" s="45"/>
      <c r="AJ288" s="45"/>
      <c r="AK288" s="45"/>
      <c r="AL288" s="3" t="s">
        <v>1582</v>
      </c>
    </row>
    <row r="289" spans="2:38" ht="40.5" hidden="1">
      <c r="B289" s="144">
        <f t="shared" si="4"/>
        <v>286</v>
      </c>
      <c r="C289" s="148" t="s">
        <v>3732</v>
      </c>
      <c r="D289" s="148"/>
      <c r="E289" s="148"/>
      <c r="F289" s="148"/>
      <c r="G289" s="148"/>
      <c r="H289" s="148"/>
      <c r="I289" s="148"/>
      <c r="J289" s="148"/>
      <c r="K289" s="165" t="s">
        <v>3659</v>
      </c>
      <c r="L289" s="165" t="s">
        <v>3672</v>
      </c>
      <c r="M289" s="165" t="s">
        <v>3675</v>
      </c>
      <c r="N289" s="65" t="s">
        <v>3712</v>
      </c>
      <c r="O289" s="65" t="s">
        <v>3461</v>
      </c>
      <c r="P289" s="65" t="s">
        <v>2072</v>
      </c>
      <c r="Q289" s="54" t="s">
        <v>1637</v>
      </c>
      <c r="R289" s="70" t="s">
        <v>2090</v>
      </c>
      <c r="S289" s="40"/>
      <c r="T289" s="40" t="s">
        <v>2023</v>
      </c>
      <c r="U289" s="41" t="s">
        <v>139</v>
      </c>
      <c r="V289" s="41" t="s">
        <v>139</v>
      </c>
      <c r="W289" s="41" t="s">
        <v>139</v>
      </c>
      <c r="X289" s="41" t="s">
        <v>139</v>
      </c>
      <c r="Y289" s="42" t="s">
        <v>1891</v>
      </c>
      <c r="Z289" s="53" t="s">
        <v>139</v>
      </c>
      <c r="AA289" s="54" t="s">
        <v>139</v>
      </c>
      <c r="AB289" s="54" t="s">
        <v>139</v>
      </c>
      <c r="AC289" s="54" t="s">
        <v>139</v>
      </c>
      <c r="AD289" s="54" t="s">
        <v>1892</v>
      </c>
      <c r="AE289" s="55"/>
      <c r="AF289" s="56"/>
      <c r="AG289" s="56"/>
      <c r="AH289" s="57"/>
      <c r="AI289" s="56"/>
      <c r="AJ289" s="56"/>
      <c r="AK289" s="56"/>
      <c r="AL289" s="3" t="s">
        <v>1582</v>
      </c>
    </row>
    <row r="290" spans="2:38" ht="40.5" hidden="1">
      <c r="B290" s="144">
        <f t="shared" si="4"/>
        <v>287</v>
      </c>
      <c r="C290" s="148" t="s">
        <v>3732</v>
      </c>
      <c r="D290" s="148"/>
      <c r="E290" s="148"/>
      <c r="F290" s="148"/>
      <c r="G290" s="148"/>
      <c r="H290" s="148"/>
      <c r="I290" s="148"/>
      <c r="J290" s="148"/>
      <c r="K290" s="165" t="s">
        <v>3659</v>
      </c>
      <c r="L290" s="165" t="s">
        <v>3672</v>
      </c>
      <c r="M290" s="165" t="s">
        <v>3677</v>
      </c>
      <c r="N290" s="165" t="s">
        <v>3728</v>
      </c>
      <c r="O290" s="165" t="s">
        <v>3372</v>
      </c>
      <c r="P290" s="165" t="s">
        <v>2746</v>
      </c>
      <c r="Q290" s="126" t="s">
        <v>1637</v>
      </c>
      <c r="R290" s="40" t="s">
        <v>2747</v>
      </c>
      <c r="S290" s="40" t="s">
        <v>2748</v>
      </c>
      <c r="T290" s="40" t="s">
        <v>1645</v>
      </c>
      <c r="U290" s="41" t="s">
        <v>139</v>
      </c>
      <c r="V290" s="41" t="s">
        <v>139</v>
      </c>
      <c r="W290" s="41" t="s">
        <v>139</v>
      </c>
      <c r="X290" s="41" t="s">
        <v>2749</v>
      </c>
      <c r="Y290" s="41" t="s">
        <v>139</v>
      </c>
      <c r="Z290" s="74" t="s">
        <v>139</v>
      </c>
      <c r="AA290" s="41" t="s">
        <v>139</v>
      </c>
      <c r="AB290" s="41" t="s">
        <v>139</v>
      </c>
      <c r="AC290" s="41" t="s">
        <v>2751</v>
      </c>
      <c r="AD290" s="41" t="s">
        <v>139</v>
      </c>
      <c r="AE290" s="44"/>
      <c r="AF290" s="45"/>
      <c r="AG290" s="45"/>
      <c r="AH290" s="46"/>
      <c r="AI290" s="45"/>
      <c r="AJ290" s="45"/>
      <c r="AK290" s="45"/>
      <c r="AL290" s="3" t="s">
        <v>1582</v>
      </c>
    </row>
    <row r="291" spans="2:38" ht="40.5" hidden="1">
      <c r="B291" s="144">
        <f t="shared" si="4"/>
        <v>288</v>
      </c>
      <c r="C291" s="148" t="s">
        <v>3732</v>
      </c>
      <c r="D291" s="148"/>
      <c r="E291" s="148"/>
      <c r="F291" s="148"/>
      <c r="G291" s="148"/>
      <c r="H291" s="148"/>
      <c r="I291" s="148"/>
      <c r="J291" s="148"/>
      <c r="K291" s="165" t="s">
        <v>3659</v>
      </c>
      <c r="L291" s="165" t="s">
        <v>3672</v>
      </c>
      <c r="M291" s="165" t="s">
        <v>3677</v>
      </c>
      <c r="N291" s="165" t="s">
        <v>3727</v>
      </c>
      <c r="O291" s="165" t="s">
        <v>3480</v>
      </c>
      <c r="P291" s="165" t="s">
        <v>2701</v>
      </c>
      <c r="Q291" s="126" t="s">
        <v>1637</v>
      </c>
      <c r="R291" s="61"/>
      <c r="S291" s="61"/>
      <c r="T291" s="40" t="s">
        <v>2703</v>
      </c>
      <c r="U291" s="41" t="s">
        <v>139</v>
      </c>
      <c r="V291" s="41" t="s">
        <v>139</v>
      </c>
      <c r="W291" s="41" t="s">
        <v>139</v>
      </c>
      <c r="X291" s="48" t="s">
        <v>3116</v>
      </c>
      <c r="Y291" s="41" t="s">
        <v>139</v>
      </c>
      <c r="Z291" s="74" t="s">
        <v>139</v>
      </c>
      <c r="AA291" s="41" t="s">
        <v>139</v>
      </c>
      <c r="AB291" s="41" t="s">
        <v>139</v>
      </c>
      <c r="AC291" s="41" t="s">
        <v>2693</v>
      </c>
      <c r="AD291" s="41" t="s">
        <v>139</v>
      </c>
      <c r="AE291" s="44" t="s">
        <v>3074</v>
      </c>
      <c r="AF291" s="45"/>
      <c r="AG291" s="45"/>
      <c r="AH291" s="46"/>
      <c r="AI291" s="45"/>
      <c r="AJ291" s="45"/>
      <c r="AK291" s="45"/>
      <c r="AL291" s="3" t="s">
        <v>1582</v>
      </c>
    </row>
    <row r="292" spans="2:38" ht="40.5" hidden="1">
      <c r="B292" s="144">
        <f t="shared" si="4"/>
        <v>289</v>
      </c>
      <c r="C292" s="148" t="s">
        <v>3732</v>
      </c>
      <c r="D292" s="148"/>
      <c r="E292" s="148"/>
      <c r="F292" s="148"/>
      <c r="G292" s="148"/>
      <c r="H292" s="148"/>
      <c r="I292" s="148"/>
      <c r="J292" s="148"/>
      <c r="K292" s="165" t="s">
        <v>3659</v>
      </c>
      <c r="L292" s="165" t="s">
        <v>3672</v>
      </c>
      <c r="M292" s="165" t="s">
        <v>3677</v>
      </c>
      <c r="N292" s="165" t="s">
        <v>3727</v>
      </c>
      <c r="O292" s="165" t="s">
        <v>3481</v>
      </c>
      <c r="P292" s="165" t="s">
        <v>3038</v>
      </c>
      <c r="Q292" s="126" t="s">
        <v>3037</v>
      </c>
      <c r="R292" s="62" t="s">
        <v>2260</v>
      </c>
      <c r="S292" s="40" t="s">
        <v>2261</v>
      </c>
      <c r="T292" s="40" t="s">
        <v>2093</v>
      </c>
      <c r="U292" s="41" t="s">
        <v>139</v>
      </c>
      <c r="V292" s="41" t="s">
        <v>139</v>
      </c>
      <c r="W292" s="41" t="s">
        <v>139</v>
      </c>
      <c r="X292" s="41" t="s">
        <v>2237</v>
      </c>
      <c r="Y292" s="41" t="s">
        <v>139</v>
      </c>
      <c r="Z292" s="74" t="s">
        <v>139</v>
      </c>
      <c r="AA292" s="41" t="s">
        <v>139</v>
      </c>
      <c r="AB292" s="41" t="s">
        <v>139</v>
      </c>
      <c r="AC292" s="41" t="s">
        <v>2248</v>
      </c>
      <c r="AD292" s="41" t="s">
        <v>139</v>
      </c>
      <c r="AE292" s="44"/>
      <c r="AF292" s="45"/>
      <c r="AG292" s="45"/>
      <c r="AH292" s="46"/>
      <c r="AI292" s="45"/>
      <c r="AJ292" s="45"/>
      <c r="AK292" s="45"/>
      <c r="AL292" s="3" t="s">
        <v>1582</v>
      </c>
    </row>
    <row r="293" spans="2:38" ht="40.5" hidden="1">
      <c r="B293" s="144">
        <f t="shared" si="4"/>
        <v>290</v>
      </c>
      <c r="C293" s="148" t="s">
        <v>3732</v>
      </c>
      <c r="D293" s="148"/>
      <c r="E293" s="148"/>
      <c r="F293" s="148"/>
      <c r="G293" s="148"/>
      <c r="H293" s="148"/>
      <c r="I293" s="148"/>
      <c r="J293" s="148"/>
      <c r="K293" s="165" t="s">
        <v>3659</v>
      </c>
      <c r="L293" s="165" t="s">
        <v>3672</v>
      </c>
      <c r="M293" s="165" t="s">
        <v>3677</v>
      </c>
      <c r="N293" s="165" t="s">
        <v>3727</v>
      </c>
      <c r="O293" s="165" t="s">
        <v>3482</v>
      </c>
      <c r="P293" s="165" t="s">
        <v>2317</v>
      </c>
      <c r="Q293" s="126" t="s">
        <v>1637</v>
      </c>
      <c r="R293" s="40" t="s">
        <v>2318</v>
      </c>
      <c r="S293" s="40" t="s">
        <v>2319</v>
      </c>
      <c r="T293" s="40" t="s">
        <v>2320</v>
      </c>
      <c r="U293" s="41" t="s">
        <v>139</v>
      </c>
      <c r="V293" s="41" t="s">
        <v>139</v>
      </c>
      <c r="W293" s="41" t="s">
        <v>139</v>
      </c>
      <c r="X293" s="41" t="s">
        <v>2321</v>
      </c>
      <c r="Y293" s="41" t="s">
        <v>139</v>
      </c>
      <c r="Z293" s="74" t="s">
        <v>139</v>
      </c>
      <c r="AA293" s="41" t="s">
        <v>139</v>
      </c>
      <c r="AB293" s="41" t="s">
        <v>139</v>
      </c>
      <c r="AC293" s="41" t="s">
        <v>2352</v>
      </c>
      <c r="AD293" s="41" t="s">
        <v>139</v>
      </c>
      <c r="AE293" s="44"/>
      <c r="AF293" s="45"/>
      <c r="AG293" s="45"/>
      <c r="AH293" s="46"/>
      <c r="AI293" s="45"/>
      <c r="AJ293" s="45"/>
      <c r="AK293" s="45"/>
      <c r="AL293" s="3" t="s">
        <v>1582</v>
      </c>
    </row>
    <row r="294" spans="2:38" ht="40.5" hidden="1">
      <c r="B294" s="144">
        <f t="shared" si="4"/>
        <v>291</v>
      </c>
      <c r="C294" s="148" t="s">
        <v>3732</v>
      </c>
      <c r="D294" s="148"/>
      <c r="E294" s="148"/>
      <c r="F294" s="148"/>
      <c r="G294" s="148"/>
      <c r="H294" s="148"/>
      <c r="I294" s="148"/>
      <c r="J294" s="148"/>
      <c r="K294" s="165" t="s">
        <v>3659</v>
      </c>
      <c r="L294" s="165" t="s">
        <v>3672</v>
      </c>
      <c r="M294" s="165" t="s">
        <v>3677</v>
      </c>
      <c r="N294" s="165" t="s">
        <v>3727</v>
      </c>
      <c r="O294" s="165" t="s">
        <v>3483</v>
      </c>
      <c r="P294" s="165" t="s">
        <v>2688</v>
      </c>
      <c r="Q294" s="126" t="s">
        <v>1637</v>
      </c>
      <c r="R294" s="40" t="s">
        <v>2689</v>
      </c>
      <c r="S294" s="40"/>
      <c r="T294" s="40" t="s">
        <v>2690</v>
      </c>
      <c r="U294" s="41" t="s">
        <v>139</v>
      </c>
      <c r="V294" s="41" t="s">
        <v>139</v>
      </c>
      <c r="W294" s="41" t="s">
        <v>139</v>
      </c>
      <c r="X294" s="41" t="s">
        <v>2692</v>
      </c>
      <c r="Y294" s="41" t="s">
        <v>139</v>
      </c>
      <c r="Z294" s="74" t="s">
        <v>139</v>
      </c>
      <c r="AA294" s="41" t="s">
        <v>139</v>
      </c>
      <c r="AB294" s="41" t="s">
        <v>139</v>
      </c>
      <c r="AC294" s="41" t="s">
        <v>880</v>
      </c>
      <c r="AD294" s="41" t="s">
        <v>139</v>
      </c>
      <c r="AE294" s="44"/>
      <c r="AF294" s="45"/>
      <c r="AG294" s="45"/>
      <c r="AH294" s="46"/>
      <c r="AI294" s="45"/>
      <c r="AJ294" s="45"/>
      <c r="AK294" s="45"/>
      <c r="AL294" s="3" t="s">
        <v>1582</v>
      </c>
    </row>
    <row r="295" spans="2:38" ht="54" hidden="1">
      <c r="B295" s="144">
        <f t="shared" si="4"/>
        <v>292</v>
      </c>
      <c r="C295" s="148" t="s">
        <v>3732</v>
      </c>
      <c r="D295" s="148"/>
      <c r="E295" s="148"/>
      <c r="F295" s="148"/>
      <c r="G295" s="148"/>
      <c r="H295" s="148"/>
      <c r="I295" s="148"/>
      <c r="J295" s="148"/>
      <c r="K295" s="165" t="s">
        <v>3659</v>
      </c>
      <c r="L295" s="165" t="s">
        <v>3672</v>
      </c>
      <c r="M295" s="165" t="s">
        <v>3677</v>
      </c>
      <c r="N295" s="165" t="s">
        <v>3727</v>
      </c>
      <c r="O295" s="165" t="s">
        <v>3322</v>
      </c>
      <c r="P295" s="165" t="s">
        <v>3322</v>
      </c>
      <c r="Q295" s="126" t="s">
        <v>868</v>
      </c>
      <c r="R295" s="40" t="s">
        <v>3323</v>
      </c>
      <c r="S295" s="40"/>
      <c r="T295" s="40" t="s">
        <v>792</v>
      </c>
      <c r="U295" s="41" t="s">
        <v>139</v>
      </c>
      <c r="V295" s="41" t="s">
        <v>139</v>
      </c>
      <c r="W295" s="41" t="s">
        <v>139</v>
      </c>
      <c r="X295" s="41" t="s">
        <v>869</v>
      </c>
      <c r="Y295" s="41" t="s">
        <v>139</v>
      </c>
      <c r="Z295" s="74" t="s">
        <v>139</v>
      </c>
      <c r="AA295" s="41" t="s">
        <v>139</v>
      </c>
      <c r="AB295" s="41" t="s">
        <v>139</v>
      </c>
      <c r="AC295" s="41" t="s">
        <v>868</v>
      </c>
      <c r="AD295" s="41" t="s">
        <v>139</v>
      </c>
      <c r="AE295" s="44"/>
      <c r="AF295" s="45"/>
      <c r="AG295" s="45"/>
      <c r="AH295" s="46"/>
      <c r="AI295" s="45"/>
      <c r="AJ295" s="45"/>
      <c r="AK295" s="45"/>
      <c r="AL295" s="3" t="s">
        <v>1582</v>
      </c>
    </row>
    <row r="296" spans="2:38" ht="40.5" hidden="1">
      <c r="B296" s="144">
        <f t="shared" si="4"/>
        <v>293</v>
      </c>
      <c r="C296" s="148" t="s">
        <v>3732</v>
      </c>
      <c r="D296" s="148"/>
      <c r="E296" s="148"/>
      <c r="F296" s="148"/>
      <c r="G296" s="148"/>
      <c r="H296" s="148"/>
      <c r="I296" s="148"/>
      <c r="J296" s="148"/>
      <c r="K296" s="165" t="s">
        <v>3659</v>
      </c>
      <c r="L296" s="165" t="s">
        <v>3672</v>
      </c>
      <c r="M296" s="165" t="s">
        <v>3677</v>
      </c>
      <c r="N296" s="165" t="s">
        <v>3727</v>
      </c>
      <c r="O296" s="165" t="s">
        <v>870</v>
      </c>
      <c r="P296" s="165" t="s">
        <v>870</v>
      </c>
      <c r="Q296" s="126" t="s">
        <v>871</v>
      </c>
      <c r="R296" s="40" t="s">
        <v>3325</v>
      </c>
      <c r="S296" s="40"/>
      <c r="T296" s="40" t="s">
        <v>792</v>
      </c>
      <c r="U296" s="41" t="s">
        <v>139</v>
      </c>
      <c r="V296" s="41" t="s">
        <v>139</v>
      </c>
      <c r="W296" s="41" t="s">
        <v>139</v>
      </c>
      <c r="X296" s="41" t="s">
        <v>872</v>
      </c>
      <c r="Y296" s="41" t="s">
        <v>139</v>
      </c>
      <c r="Z296" s="74" t="s">
        <v>139</v>
      </c>
      <c r="AA296" s="41" t="s">
        <v>139</v>
      </c>
      <c r="AB296" s="41" t="s">
        <v>139</v>
      </c>
      <c r="AC296" s="41" t="s">
        <v>868</v>
      </c>
      <c r="AD296" s="41" t="s">
        <v>139</v>
      </c>
      <c r="AE296" s="44"/>
      <c r="AF296" s="45"/>
      <c r="AG296" s="45"/>
      <c r="AH296" s="46"/>
      <c r="AI296" s="45"/>
      <c r="AJ296" s="45"/>
      <c r="AK296" s="45"/>
      <c r="AL296" s="3" t="s">
        <v>1582</v>
      </c>
    </row>
    <row r="297" spans="2:38" ht="40.5" hidden="1">
      <c r="B297" s="144">
        <f t="shared" si="4"/>
        <v>294</v>
      </c>
      <c r="C297" s="148" t="s">
        <v>3732</v>
      </c>
      <c r="D297" s="148"/>
      <c r="E297" s="148"/>
      <c r="F297" s="148"/>
      <c r="G297" s="148"/>
      <c r="H297" s="148"/>
      <c r="I297" s="148"/>
      <c r="J297" s="148"/>
      <c r="K297" s="165" t="s">
        <v>3659</v>
      </c>
      <c r="L297" s="165" t="s">
        <v>3672</v>
      </c>
      <c r="M297" s="165" t="s">
        <v>3677</v>
      </c>
      <c r="N297" s="65" t="s">
        <v>3727</v>
      </c>
      <c r="O297" s="65" t="s">
        <v>293</v>
      </c>
      <c r="P297" s="65" t="s">
        <v>293</v>
      </c>
      <c r="Q297" s="54" t="s">
        <v>139</v>
      </c>
      <c r="R297" s="41" t="s">
        <v>294</v>
      </c>
      <c r="S297" s="41"/>
      <c r="T297" s="41" t="s">
        <v>284</v>
      </c>
      <c r="U297" s="41" t="s">
        <v>295</v>
      </c>
      <c r="V297" s="41" t="s">
        <v>139</v>
      </c>
      <c r="W297" s="41" t="s">
        <v>139</v>
      </c>
      <c r="X297" s="41" t="s">
        <v>296</v>
      </c>
      <c r="Y297" s="41" t="s">
        <v>139</v>
      </c>
      <c r="Z297" s="73" t="s">
        <v>133</v>
      </c>
      <c r="AA297" s="54" t="s">
        <v>139</v>
      </c>
      <c r="AB297" s="54" t="s">
        <v>139</v>
      </c>
      <c r="AC297" s="54" t="s">
        <v>1633</v>
      </c>
      <c r="AD297" s="54" t="s">
        <v>139</v>
      </c>
      <c r="AE297" s="55"/>
      <c r="AF297" s="56"/>
      <c r="AG297" s="56"/>
      <c r="AH297" s="57"/>
      <c r="AI297" s="56"/>
      <c r="AJ297" s="56"/>
      <c r="AK297" s="56"/>
      <c r="AL297" s="3" t="s">
        <v>1582</v>
      </c>
    </row>
    <row r="298" spans="2:38" ht="81" hidden="1">
      <c r="B298" s="144">
        <f t="shared" si="4"/>
        <v>295</v>
      </c>
      <c r="C298" s="148" t="s">
        <v>3732</v>
      </c>
      <c r="D298" s="148"/>
      <c r="E298" s="148"/>
      <c r="F298" s="148"/>
      <c r="G298" s="148"/>
      <c r="H298" s="148"/>
      <c r="I298" s="148"/>
      <c r="J298" s="148"/>
      <c r="K298" s="165" t="s">
        <v>3659</v>
      </c>
      <c r="L298" s="165" t="s">
        <v>3672</v>
      </c>
      <c r="M298" s="165" t="s">
        <v>3677</v>
      </c>
      <c r="N298" s="165" t="s">
        <v>3727</v>
      </c>
      <c r="O298" s="165" t="s">
        <v>775</v>
      </c>
      <c r="P298" s="165" t="s">
        <v>775</v>
      </c>
      <c r="Q298" s="126" t="s">
        <v>139</v>
      </c>
      <c r="R298" s="40" t="s">
        <v>776</v>
      </c>
      <c r="S298" s="40" t="s">
        <v>777</v>
      </c>
      <c r="T298" s="40" t="s">
        <v>161</v>
      </c>
      <c r="U298" s="41" t="s">
        <v>139</v>
      </c>
      <c r="V298" s="41" t="s">
        <v>139</v>
      </c>
      <c r="W298" s="41" t="s">
        <v>139</v>
      </c>
      <c r="X298" s="41" t="s">
        <v>2211</v>
      </c>
      <c r="Y298" s="41" t="s">
        <v>139</v>
      </c>
      <c r="Z298" s="74" t="s">
        <v>139</v>
      </c>
      <c r="AA298" s="41" t="s">
        <v>139</v>
      </c>
      <c r="AB298" s="41" t="s">
        <v>139</v>
      </c>
      <c r="AC298" s="41" t="s">
        <v>2212</v>
      </c>
      <c r="AD298" s="41" t="s">
        <v>139</v>
      </c>
      <c r="AE298" s="44"/>
      <c r="AF298" s="45"/>
      <c r="AG298" s="45"/>
      <c r="AH298" s="46"/>
      <c r="AI298" s="45"/>
      <c r="AJ298" s="45"/>
      <c r="AK298" s="45"/>
      <c r="AL298" s="3" t="s">
        <v>1582</v>
      </c>
    </row>
    <row r="299" spans="2:38" ht="67.5" hidden="1">
      <c r="B299" s="144">
        <f t="shared" si="4"/>
        <v>296</v>
      </c>
      <c r="C299" s="148" t="s">
        <v>3732</v>
      </c>
      <c r="D299" s="148"/>
      <c r="E299" s="148"/>
      <c r="F299" s="148"/>
      <c r="G299" s="148"/>
      <c r="H299" s="148"/>
      <c r="I299" s="148"/>
      <c r="J299" s="148"/>
      <c r="K299" s="165" t="s">
        <v>3659</v>
      </c>
      <c r="L299" s="165" t="s">
        <v>3672</v>
      </c>
      <c r="M299" s="165" t="s">
        <v>3677</v>
      </c>
      <c r="N299" s="165" t="s">
        <v>3727</v>
      </c>
      <c r="O299" s="165" t="s">
        <v>3493</v>
      </c>
      <c r="P299" s="165" t="s">
        <v>2847</v>
      </c>
      <c r="Q299" s="126" t="s">
        <v>2848</v>
      </c>
      <c r="R299" s="40" t="s">
        <v>2849</v>
      </c>
      <c r="S299" s="40" t="s">
        <v>935</v>
      </c>
      <c r="T299" s="40" t="s">
        <v>161</v>
      </c>
      <c r="U299" s="41" t="s">
        <v>139</v>
      </c>
      <c r="V299" s="41" t="s">
        <v>139</v>
      </c>
      <c r="W299" s="41" t="s">
        <v>139</v>
      </c>
      <c r="X299" s="41" t="s">
        <v>2850</v>
      </c>
      <c r="Y299" s="41" t="s">
        <v>139</v>
      </c>
      <c r="Z299" s="74" t="s">
        <v>139</v>
      </c>
      <c r="AA299" s="41" t="s">
        <v>139</v>
      </c>
      <c r="AB299" s="41" t="s">
        <v>139</v>
      </c>
      <c r="AC299" s="41" t="s">
        <v>2851</v>
      </c>
      <c r="AD299" s="41" t="s">
        <v>139</v>
      </c>
      <c r="AE299" s="44"/>
      <c r="AF299" s="45"/>
      <c r="AG299" s="45"/>
      <c r="AH299" s="46"/>
      <c r="AI299" s="45"/>
      <c r="AJ299" s="45"/>
      <c r="AK299" s="45"/>
      <c r="AL299" s="3" t="s">
        <v>1582</v>
      </c>
    </row>
    <row r="300" spans="2:38" ht="40.5" hidden="1">
      <c r="B300" s="144">
        <f t="shared" si="4"/>
        <v>297</v>
      </c>
      <c r="C300" s="148" t="s">
        <v>3732</v>
      </c>
      <c r="D300" s="148"/>
      <c r="E300" s="148"/>
      <c r="F300" s="148"/>
      <c r="G300" s="148"/>
      <c r="H300" s="148"/>
      <c r="I300" s="148"/>
      <c r="J300" s="148"/>
      <c r="K300" s="165" t="s">
        <v>3659</v>
      </c>
      <c r="L300" s="165" t="s">
        <v>3672</v>
      </c>
      <c r="M300" s="165" t="s">
        <v>3677</v>
      </c>
      <c r="N300" s="65" t="s">
        <v>3727</v>
      </c>
      <c r="O300" s="65" t="s">
        <v>3494</v>
      </c>
      <c r="P300" s="65" t="s">
        <v>2231</v>
      </c>
      <c r="Q300" s="54" t="s">
        <v>2917</v>
      </c>
      <c r="R300" s="41" t="s">
        <v>118</v>
      </c>
      <c r="S300" s="41" t="s">
        <v>119</v>
      </c>
      <c r="T300" s="41" t="s">
        <v>2075</v>
      </c>
      <c r="U300" s="41" t="s">
        <v>120</v>
      </c>
      <c r="V300" s="41" t="s">
        <v>139</v>
      </c>
      <c r="W300" s="41" t="s">
        <v>139</v>
      </c>
      <c r="X300" s="41" t="s">
        <v>139</v>
      </c>
      <c r="Y300" s="41" t="s">
        <v>139</v>
      </c>
      <c r="Z300" s="73" t="s">
        <v>121</v>
      </c>
      <c r="AA300" s="54" t="s">
        <v>139</v>
      </c>
      <c r="AB300" s="54" t="s">
        <v>139</v>
      </c>
      <c r="AC300" s="54" t="s">
        <v>139</v>
      </c>
      <c r="AD300" s="54" t="s">
        <v>139</v>
      </c>
      <c r="AE300" s="55"/>
      <c r="AF300" s="56"/>
      <c r="AG300" s="56"/>
      <c r="AH300" s="57"/>
      <c r="AI300" s="56"/>
      <c r="AJ300" s="56"/>
      <c r="AK300" s="56"/>
      <c r="AL300" s="3" t="s">
        <v>1582</v>
      </c>
    </row>
    <row r="301" spans="2:38" ht="40.5">
      <c r="B301" s="144">
        <f t="shared" si="4"/>
        <v>298</v>
      </c>
      <c r="C301" s="148" t="s">
        <v>3731</v>
      </c>
      <c r="D301" s="148"/>
      <c r="E301" s="148"/>
      <c r="F301" s="148"/>
      <c r="G301" s="148"/>
      <c r="H301" s="148"/>
      <c r="I301" s="148"/>
      <c r="J301" s="148"/>
      <c r="K301" s="165" t="s">
        <v>3659</v>
      </c>
      <c r="L301" s="165" t="s">
        <v>3672</v>
      </c>
      <c r="M301" s="165" t="s">
        <v>3677</v>
      </c>
      <c r="N301" s="65" t="s">
        <v>3727</v>
      </c>
      <c r="O301" s="65" t="s">
        <v>3498</v>
      </c>
      <c r="P301" s="65" t="s">
        <v>2279</v>
      </c>
      <c r="Q301" s="54" t="s">
        <v>1637</v>
      </c>
      <c r="R301" s="41" t="s">
        <v>2280</v>
      </c>
      <c r="S301" s="70" t="s">
        <v>2281</v>
      </c>
      <c r="T301" s="123" t="s">
        <v>2282</v>
      </c>
      <c r="U301" s="41" t="s">
        <v>139</v>
      </c>
      <c r="V301" s="41" t="s">
        <v>139</v>
      </c>
      <c r="W301" s="41" t="s">
        <v>139</v>
      </c>
      <c r="X301" s="41" t="s">
        <v>2271</v>
      </c>
      <c r="Y301" s="41" t="s">
        <v>139</v>
      </c>
      <c r="Z301" s="73" t="s">
        <v>139</v>
      </c>
      <c r="AA301" s="54" t="s">
        <v>139</v>
      </c>
      <c r="AB301" s="54" t="s">
        <v>139</v>
      </c>
      <c r="AC301" s="54" t="s">
        <v>2289</v>
      </c>
      <c r="AD301" s="54" t="s">
        <v>139</v>
      </c>
      <c r="AE301" s="55" t="s">
        <v>2287</v>
      </c>
      <c r="AF301" s="195" t="s">
        <v>3992</v>
      </c>
      <c r="AG301" s="56"/>
      <c r="AH301" s="188">
        <v>1</v>
      </c>
      <c r="AI301" s="56" t="s">
        <v>3772</v>
      </c>
      <c r="AJ301" s="45" t="s">
        <v>3775</v>
      </c>
      <c r="AK301" s="56" t="s">
        <v>3990</v>
      </c>
      <c r="AL301" s="3" t="s">
        <v>1582</v>
      </c>
    </row>
    <row r="302" spans="2:38" ht="40.5" hidden="1">
      <c r="B302" s="144">
        <f t="shared" si="4"/>
        <v>299</v>
      </c>
      <c r="C302" s="148" t="s">
        <v>3732</v>
      </c>
      <c r="D302" s="148"/>
      <c r="E302" s="148"/>
      <c r="F302" s="148"/>
      <c r="G302" s="148"/>
      <c r="H302" s="148"/>
      <c r="I302" s="148"/>
      <c r="J302" s="148"/>
      <c r="K302" s="165" t="s">
        <v>3659</v>
      </c>
      <c r="L302" s="165" t="s">
        <v>3672</v>
      </c>
      <c r="M302" s="165" t="s">
        <v>3677</v>
      </c>
      <c r="N302" s="165" t="s">
        <v>3726</v>
      </c>
      <c r="O302" s="165" t="s">
        <v>3464</v>
      </c>
      <c r="P302" s="165" t="s">
        <v>2251</v>
      </c>
      <c r="Q302" s="126" t="s">
        <v>1637</v>
      </c>
      <c r="R302" s="40" t="s">
        <v>2253</v>
      </c>
      <c r="S302" s="40" t="s">
        <v>2264</v>
      </c>
      <c r="T302" s="40" t="s">
        <v>2241</v>
      </c>
      <c r="U302" s="41" t="s">
        <v>139</v>
      </c>
      <c r="V302" s="41" t="s">
        <v>139</v>
      </c>
      <c r="W302" s="41" t="s">
        <v>139</v>
      </c>
      <c r="X302" s="41" t="s">
        <v>2237</v>
      </c>
      <c r="Y302" s="41" t="s">
        <v>139</v>
      </c>
      <c r="Z302" s="74" t="s">
        <v>139</v>
      </c>
      <c r="AA302" s="41" t="s">
        <v>139</v>
      </c>
      <c r="AB302" s="41" t="s">
        <v>139</v>
      </c>
      <c r="AC302" s="41" t="s">
        <v>2248</v>
      </c>
      <c r="AD302" s="41" t="s">
        <v>139</v>
      </c>
      <c r="AE302" s="44"/>
      <c r="AF302" s="45"/>
      <c r="AG302" s="45"/>
      <c r="AH302" s="46"/>
      <c r="AI302" s="45"/>
      <c r="AJ302" s="45"/>
      <c r="AK302" s="45"/>
      <c r="AL302" s="3" t="s">
        <v>1582</v>
      </c>
    </row>
    <row r="303" spans="2:38" ht="40.5" hidden="1">
      <c r="B303" s="144">
        <f t="shared" si="4"/>
        <v>300</v>
      </c>
      <c r="C303" s="148" t="s">
        <v>3732</v>
      </c>
      <c r="D303" s="148"/>
      <c r="E303" s="148"/>
      <c r="F303" s="148"/>
      <c r="G303" s="148"/>
      <c r="H303" s="148"/>
      <c r="I303" s="148"/>
      <c r="J303" s="148"/>
      <c r="K303" s="165" t="s">
        <v>3659</v>
      </c>
      <c r="L303" s="165" t="s">
        <v>3672</v>
      </c>
      <c r="M303" s="165" t="s">
        <v>3677</v>
      </c>
      <c r="N303" s="165" t="s">
        <v>3726</v>
      </c>
      <c r="O303" s="165" t="s">
        <v>3465</v>
      </c>
      <c r="P303" s="165" t="s">
        <v>2252</v>
      </c>
      <c r="Q303" s="126" t="s">
        <v>1637</v>
      </c>
      <c r="R303" s="40" t="s">
        <v>2254</v>
      </c>
      <c r="S303" s="40" t="s">
        <v>3128</v>
      </c>
      <c r="T303" s="40" t="s">
        <v>2241</v>
      </c>
      <c r="U303" s="41" t="s">
        <v>139</v>
      </c>
      <c r="V303" s="41" t="s">
        <v>139</v>
      </c>
      <c r="W303" s="41" t="s">
        <v>139</v>
      </c>
      <c r="X303" s="41" t="s">
        <v>2237</v>
      </c>
      <c r="Y303" s="41" t="s">
        <v>139</v>
      </c>
      <c r="Z303" s="74" t="s">
        <v>139</v>
      </c>
      <c r="AA303" s="41" t="s">
        <v>139</v>
      </c>
      <c r="AB303" s="41" t="s">
        <v>139</v>
      </c>
      <c r="AC303" s="41" t="s">
        <v>2248</v>
      </c>
      <c r="AD303" s="41" t="s">
        <v>139</v>
      </c>
      <c r="AE303" s="44"/>
      <c r="AF303" s="45"/>
      <c r="AG303" s="45"/>
      <c r="AH303" s="46"/>
      <c r="AI303" s="45"/>
      <c r="AJ303" s="45"/>
      <c r="AK303" s="45"/>
      <c r="AL303" s="3" t="s">
        <v>1582</v>
      </c>
    </row>
    <row r="304" spans="2:38" ht="40.5" hidden="1">
      <c r="B304" s="144">
        <f t="shared" si="4"/>
        <v>301</v>
      </c>
      <c r="C304" s="148" t="s">
        <v>3732</v>
      </c>
      <c r="D304" s="148"/>
      <c r="E304" s="148"/>
      <c r="F304" s="148"/>
      <c r="G304" s="148"/>
      <c r="H304" s="148"/>
      <c r="I304" s="148"/>
      <c r="J304" s="148"/>
      <c r="K304" s="165" t="s">
        <v>3659</v>
      </c>
      <c r="L304" s="165" t="s">
        <v>3672</v>
      </c>
      <c r="M304" s="165" t="s">
        <v>3677</v>
      </c>
      <c r="N304" s="165" t="s">
        <v>3726</v>
      </c>
      <c r="O304" s="165" t="s">
        <v>3466</v>
      </c>
      <c r="P304" s="165" t="s">
        <v>2250</v>
      </c>
      <c r="Q304" s="126" t="s">
        <v>2677</v>
      </c>
      <c r="R304" s="40" t="s">
        <v>2263</v>
      </c>
      <c r="S304" s="40"/>
      <c r="T304" s="40" t="s">
        <v>3311</v>
      </c>
      <c r="U304" s="41" t="s">
        <v>139</v>
      </c>
      <c r="V304" s="41" t="s">
        <v>139</v>
      </c>
      <c r="W304" s="41" t="s">
        <v>139</v>
      </c>
      <c r="X304" s="41" t="s">
        <v>2237</v>
      </c>
      <c r="Y304" s="41" t="s">
        <v>139</v>
      </c>
      <c r="Z304" s="74" t="s">
        <v>139</v>
      </c>
      <c r="AA304" s="41" t="s">
        <v>139</v>
      </c>
      <c r="AB304" s="41" t="s">
        <v>139</v>
      </c>
      <c r="AC304" s="41" t="s">
        <v>2248</v>
      </c>
      <c r="AD304" s="41" t="s">
        <v>139</v>
      </c>
      <c r="AE304" s="44"/>
      <c r="AF304" s="45"/>
      <c r="AG304" s="45"/>
      <c r="AH304" s="46"/>
      <c r="AI304" s="45"/>
      <c r="AJ304" s="45"/>
      <c r="AK304" s="45"/>
      <c r="AL304" s="3" t="s">
        <v>1582</v>
      </c>
    </row>
    <row r="305" spans="2:38" ht="40.5" hidden="1">
      <c r="B305" s="144">
        <f t="shared" si="4"/>
        <v>302</v>
      </c>
      <c r="C305" s="148" t="s">
        <v>3732</v>
      </c>
      <c r="D305" s="148"/>
      <c r="E305" s="148"/>
      <c r="F305" s="148"/>
      <c r="G305" s="148"/>
      <c r="H305" s="148"/>
      <c r="I305" s="148"/>
      <c r="J305" s="148"/>
      <c r="K305" s="165" t="s">
        <v>3659</v>
      </c>
      <c r="L305" s="165" t="s">
        <v>3672</v>
      </c>
      <c r="M305" s="165" t="s">
        <v>3677</v>
      </c>
      <c r="N305" s="165" t="s">
        <v>3726</v>
      </c>
      <c r="O305" s="165" t="s">
        <v>3467</v>
      </c>
      <c r="P305" s="165" t="s">
        <v>2249</v>
      </c>
      <c r="Q305" s="126" t="s">
        <v>2677</v>
      </c>
      <c r="R305" s="40" t="s">
        <v>2262</v>
      </c>
      <c r="S305" s="40"/>
      <c r="T305" s="40" t="s">
        <v>3311</v>
      </c>
      <c r="U305" s="41" t="s">
        <v>139</v>
      </c>
      <c r="V305" s="41" t="s">
        <v>139</v>
      </c>
      <c r="W305" s="41" t="s">
        <v>139</v>
      </c>
      <c r="X305" s="41" t="s">
        <v>2237</v>
      </c>
      <c r="Y305" s="41" t="s">
        <v>139</v>
      </c>
      <c r="Z305" s="74" t="s">
        <v>139</v>
      </c>
      <c r="AA305" s="41" t="s">
        <v>139</v>
      </c>
      <c r="AB305" s="41" t="s">
        <v>139</v>
      </c>
      <c r="AC305" s="41" t="s">
        <v>2248</v>
      </c>
      <c r="AD305" s="41" t="s">
        <v>139</v>
      </c>
      <c r="AE305" s="44"/>
      <c r="AF305" s="45"/>
      <c r="AG305" s="45"/>
      <c r="AH305" s="46"/>
      <c r="AI305" s="45"/>
      <c r="AJ305" s="45"/>
      <c r="AK305" s="45"/>
      <c r="AL305" s="3" t="s">
        <v>1582</v>
      </c>
    </row>
    <row r="306" spans="2:38" ht="40.5" hidden="1">
      <c r="B306" s="144">
        <f t="shared" si="4"/>
        <v>303</v>
      </c>
      <c r="C306" s="148" t="s">
        <v>3732</v>
      </c>
      <c r="D306" s="148"/>
      <c r="E306" s="148"/>
      <c r="F306" s="148"/>
      <c r="G306" s="148"/>
      <c r="H306" s="148"/>
      <c r="I306" s="148"/>
      <c r="J306" s="148"/>
      <c r="K306" s="165" t="s">
        <v>3659</v>
      </c>
      <c r="L306" s="165" t="s">
        <v>3672</v>
      </c>
      <c r="M306" s="165" t="s">
        <v>3677</v>
      </c>
      <c r="N306" s="165" t="s">
        <v>3726</v>
      </c>
      <c r="O306" s="165" t="s">
        <v>3468</v>
      </c>
      <c r="P306" s="165" t="s">
        <v>2238</v>
      </c>
      <c r="Q306" s="126" t="s">
        <v>2677</v>
      </c>
      <c r="R306" s="40" t="s">
        <v>2243</v>
      </c>
      <c r="S306" s="40"/>
      <c r="T306" s="40" t="s">
        <v>2242</v>
      </c>
      <c r="U306" s="41" t="s">
        <v>139</v>
      </c>
      <c r="V306" s="41" t="s">
        <v>139</v>
      </c>
      <c r="W306" s="41" t="s">
        <v>139</v>
      </c>
      <c r="X306" s="41" t="s">
        <v>2237</v>
      </c>
      <c r="Y306" s="41" t="s">
        <v>139</v>
      </c>
      <c r="Z306" s="74" t="s">
        <v>139</v>
      </c>
      <c r="AA306" s="41" t="s">
        <v>139</v>
      </c>
      <c r="AB306" s="41" t="s">
        <v>139</v>
      </c>
      <c r="AC306" s="41" t="s">
        <v>2248</v>
      </c>
      <c r="AD306" s="41" t="s">
        <v>139</v>
      </c>
      <c r="AE306" s="44"/>
      <c r="AF306" s="45"/>
      <c r="AG306" s="45"/>
      <c r="AH306" s="46"/>
      <c r="AI306" s="45"/>
      <c r="AJ306" s="45"/>
      <c r="AK306" s="45"/>
      <c r="AL306" s="3" t="s">
        <v>1582</v>
      </c>
    </row>
    <row r="307" spans="2:38" ht="40.5" hidden="1">
      <c r="B307" s="144">
        <f t="shared" si="4"/>
        <v>304</v>
      </c>
      <c r="C307" s="148" t="s">
        <v>3732</v>
      </c>
      <c r="D307" s="148"/>
      <c r="E307" s="148"/>
      <c r="F307" s="148"/>
      <c r="G307" s="148"/>
      <c r="H307" s="148"/>
      <c r="I307" s="148"/>
      <c r="J307" s="148"/>
      <c r="K307" s="165" t="s">
        <v>3659</v>
      </c>
      <c r="L307" s="165" t="s">
        <v>3672</v>
      </c>
      <c r="M307" s="165" t="s">
        <v>3677</v>
      </c>
      <c r="N307" s="165" t="s">
        <v>3726</v>
      </c>
      <c r="O307" s="165" t="s">
        <v>3469</v>
      </c>
      <c r="P307" s="165" t="s">
        <v>2240</v>
      </c>
      <c r="Q307" s="126" t="s">
        <v>3312</v>
      </c>
      <c r="R307" s="62" t="s">
        <v>3027</v>
      </c>
      <c r="S307" s="62" t="s">
        <v>3313</v>
      </c>
      <c r="T307" s="40" t="s">
        <v>3311</v>
      </c>
      <c r="U307" s="41" t="s">
        <v>139</v>
      </c>
      <c r="V307" s="41" t="s">
        <v>139</v>
      </c>
      <c r="W307" s="41" t="s">
        <v>139</v>
      </c>
      <c r="X307" s="41" t="s">
        <v>2237</v>
      </c>
      <c r="Y307" s="41" t="s">
        <v>139</v>
      </c>
      <c r="Z307" s="74" t="s">
        <v>139</v>
      </c>
      <c r="AA307" s="41" t="s">
        <v>139</v>
      </c>
      <c r="AB307" s="41" t="s">
        <v>139</v>
      </c>
      <c r="AC307" s="41" t="s">
        <v>2248</v>
      </c>
      <c r="AD307" s="41" t="s">
        <v>139</v>
      </c>
      <c r="AE307" s="44"/>
      <c r="AF307" s="45"/>
      <c r="AG307" s="45"/>
      <c r="AH307" s="46"/>
      <c r="AI307" s="45"/>
      <c r="AJ307" s="45"/>
      <c r="AK307" s="45"/>
      <c r="AL307" s="3" t="s">
        <v>1582</v>
      </c>
    </row>
    <row r="308" spans="2:38" ht="40.5" hidden="1">
      <c r="B308" s="144">
        <f t="shared" si="4"/>
        <v>305</v>
      </c>
      <c r="C308" s="148" t="s">
        <v>3732</v>
      </c>
      <c r="D308" s="148"/>
      <c r="E308" s="148"/>
      <c r="F308" s="148"/>
      <c r="G308" s="148"/>
      <c r="H308" s="148"/>
      <c r="I308" s="148"/>
      <c r="J308" s="148"/>
      <c r="K308" s="165" t="s">
        <v>3659</v>
      </c>
      <c r="L308" s="165" t="s">
        <v>3672</v>
      </c>
      <c r="M308" s="165" t="s">
        <v>3677</v>
      </c>
      <c r="N308" s="165" t="s">
        <v>3726</v>
      </c>
      <c r="O308" s="165" t="s">
        <v>3470</v>
      </c>
      <c r="P308" s="165" t="s">
        <v>2255</v>
      </c>
      <c r="Q308" s="126" t="s">
        <v>2677</v>
      </c>
      <c r="R308" s="40" t="s">
        <v>2258</v>
      </c>
      <c r="S308" s="40"/>
      <c r="T308" s="40" t="s">
        <v>2242</v>
      </c>
      <c r="U308" s="41" t="s">
        <v>139</v>
      </c>
      <c r="V308" s="41" t="s">
        <v>139</v>
      </c>
      <c r="W308" s="41" t="s">
        <v>139</v>
      </c>
      <c r="X308" s="41" t="s">
        <v>2237</v>
      </c>
      <c r="Y308" s="41" t="s">
        <v>139</v>
      </c>
      <c r="Z308" s="74" t="s">
        <v>139</v>
      </c>
      <c r="AA308" s="41" t="s">
        <v>139</v>
      </c>
      <c r="AB308" s="41" t="s">
        <v>139</v>
      </c>
      <c r="AC308" s="41" t="s">
        <v>2248</v>
      </c>
      <c r="AD308" s="41" t="s">
        <v>139</v>
      </c>
      <c r="AE308" s="44"/>
      <c r="AF308" s="45"/>
      <c r="AG308" s="45"/>
      <c r="AH308" s="46"/>
      <c r="AI308" s="45"/>
      <c r="AJ308" s="45"/>
      <c r="AK308" s="45"/>
      <c r="AL308" s="3" t="s">
        <v>1582</v>
      </c>
    </row>
    <row r="309" spans="2:38" ht="40.5" hidden="1">
      <c r="B309" s="144">
        <f t="shared" si="4"/>
        <v>306</v>
      </c>
      <c r="C309" s="148" t="s">
        <v>3732</v>
      </c>
      <c r="D309" s="148"/>
      <c r="E309" s="148"/>
      <c r="F309" s="148"/>
      <c r="G309" s="148"/>
      <c r="H309" s="148"/>
      <c r="I309" s="148"/>
      <c r="J309" s="148"/>
      <c r="K309" s="165" t="s">
        <v>3659</v>
      </c>
      <c r="L309" s="165" t="s">
        <v>3672</v>
      </c>
      <c r="M309" s="165" t="s">
        <v>3677</v>
      </c>
      <c r="N309" s="165" t="s">
        <v>3726</v>
      </c>
      <c r="O309" s="165" t="s">
        <v>3471</v>
      </c>
      <c r="P309" s="165" t="s">
        <v>2266</v>
      </c>
      <c r="Q309" s="126" t="s">
        <v>2677</v>
      </c>
      <c r="R309" s="40" t="s">
        <v>3314</v>
      </c>
      <c r="S309" s="40" t="s">
        <v>3315</v>
      </c>
      <c r="T309" s="40" t="s">
        <v>3311</v>
      </c>
      <c r="U309" s="41" t="s">
        <v>139</v>
      </c>
      <c r="V309" s="41" t="s">
        <v>139</v>
      </c>
      <c r="W309" s="41" t="s">
        <v>139</v>
      </c>
      <c r="X309" s="41" t="s">
        <v>2237</v>
      </c>
      <c r="Y309" s="41" t="s">
        <v>139</v>
      </c>
      <c r="Z309" s="74" t="s">
        <v>139</v>
      </c>
      <c r="AA309" s="41" t="s">
        <v>139</v>
      </c>
      <c r="AB309" s="41" t="s">
        <v>139</v>
      </c>
      <c r="AC309" s="41" t="s">
        <v>2248</v>
      </c>
      <c r="AD309" s="41" t="s">
        <v>139</v>
      </c>
      <c r="AE309" s="44"/>
      <c r="AF309" s="45"/>
      <c r="AG309" s="45"/>
      <c r="AH309" s="46"/>
      <c r="AI309" s="45"/>
      <c r="AJ309" s="45"/>
      <c r="AK309" s="45"/>
      <c r="AL309" s="3" t="s">
        <v>1582</v>
      </c>
    </row>
    <row r="310" spans="2:38" ht="40.5" hidden="1">
      <c r="B310" s="144">
        <f t="shared" si="4"/>
        <v>307</v>
      </c>
      <c r="C310" s="148" t="s">
        <v>3732</v>
      </c>
      <c r="D310" s="148"/>
      <c r="E310" s="148"/>
      <c r="F310" s="148"/>
      <c r="G310" s="148"/>
      <c r="H310" s="148"/>
      <c r="I310" s="148"/>
      <c r="J310" s="148"/>
      <c r="K310" s="165" t="s">
        <v>3659</v>
      </c>
      <c r="L310" s="165" t="s">
        <v>3672</v>
      </c>
      <c r="M310" s="165" t="s">
        <v>3677</v>
      </c>
      <c r="N310" s="165" t="s">
        <v>3726</v>
      </c>
      <c r="O310" s="165" t="s">
        <v>3472</v>
      </c>
      <c r="P310" s="165" t="s">
        <v>2265</v>
      </c>
      <c r="Q310" s="126" t="s">
        <v>2677</v>
      </c>
      <c r="R310" s="40" t="s">
        <v>3316</v>
      </c>
      <c r="S310" s="40" t="s">
        <v>3317</v>
      </c>
      <c r="T310" s="40" t="s">
        <v>3311</v>
      </c>
      <c r="U310" s="41" t="s">
        <v>139</v>
      </c>
      <c r="V310" s="41" t="s">
        <v>139</v>
      </c>
      <c r="W310" s="41" t="s">
        <v>139</v>
      </c>
      <c r="X310" s="41" t="s">
        <v>2237</v>
      </c>
      <c r="Y310" s="41" t="s">
        <v>139</v>
      </c>
      <c r="Z310" s="74" t="s">
        <v>139</v>
      </c>
      <c r="AA310" s="41" t="s">
        <v>139</v>
      </c>
      <c r="AB310" s="41" t="s">
        <v>139</v>
      </c>
      <c r="AC310" s="41" t="s">
        <v>2248</v>
      </c>
      <c r="AD310" s="41" t="s">
        <v>139</v>
      </c>
      <c r="AE310" s="44"/>
      <c r="AF310" s="45"/>
      <c r="AG310" s="45"/>
      <c r="AH310" s="46"/>
      <c r="AI310" s="45"/>
      <c r="AJ310" s="45"/>
      <c r="AK310" s="45"/>
      <c r="AL310" s="3" t="s">
        <v>1582</v>
      </c>
    </row>
    <row r="311" spans="2:38" ht="40.5" hidden="1">
      <c r="B311" s="144">
        <f t="shared" si="4"/>
        <v>308</v>
      </c>
      <c r="C311" s="148" t="s">
        <v>3732</v>
      </c>
      <c r="D311" s="148"/>
      <c r="E311" s="148"/>
      <c r="F311" s="148"/>
      <c r="G311" s="148"/>
      <c r="H311" s="148"/>
      <c r="I311" s="148"/>
      <c r="J311" s="148"/>
      <c r="K311" s="165" t="s">
        <v>3659</v>
      </c>
      <c r="L311" s="165" t="s">
        <v>3672</v>
      </c>
      <c r="M311" s="165" t="s">
        <v>3677</v>
      </c>
      <c r="N311" s="165" t="s">
        <v>3726</v>
      </c>
      <c r="O311" s="165" t="s">
        <v>3473</v>
      </c>
      <c r="P311" s="165" t="s">
        <v>2256</v>
      </c>
      <c r="Q311" s="126" t="s">
        <v>2677</v>
      </c>
      <c r="R311" s="40" t="s">
        <v>2257</v>
      </c>
      <c r="S311" s="40"/>
      <c r="T311" s="40" t="s">
        <v>2242</v>
      </c>
      <c r="U311" s="41" t="s">
        <v>139</v>
      </c>
      <c r="V311" s="41" t="s">
        <v>139</v>
      </c>
      <c r="W311" s="41" t="s">
        <v>139</v>
      </c>
      <c r="X311" s="41" t="s">
        <v>2237</v>
      </c>
      <c r="Y311" s="41" t="s">
        <v>139</v>
      </c>
      <c r="Z311" s="74" t="s">
        <v>139</v>
      </c>
      <c r="AA311" s="41" t="s">
        <v>139</v>
      </c>
      <c r="AB311" s="41" t="s">
        <v>139</v>
      </c>
      <c r="AC311" s="41" t="s">
        <v>2248</v>
      </c>
      <c r="AD311" s="41" t="s">
        <v>139</v>
      </c>
      <c r="AE311" s="44"/>
      <c r="AF311" s="45"/>
      <c r="AG311" s="45"/>
      <c r="AH311" s="46"/>
      <c r="AI311" s="45"/>
      <c r="AJ311" s="45"/>
      <c r="AK311" s="45"/>
      <c r="AL311" s="3" t="s">
        <v>1582</v>
      </c>
    </row>
    <row r="312" spans="2:38" ht="40.5" hidden="1">
      <c r="B312" s="144">
        <f t="shared" si="4"/>
        <v>309</v>
      </c>
      <c r="C312" s="148" t="s">
        <v>3732</v>
      </c>
      <c r="D312" s="148"/>
      <c r="E312" s="148"/>
      <c r="F312" s="148"/>
      <c r="G312" s="148"/>
      <c r="H312" s="148"/>
      <c r="I312" s="148"/>
      <c r="J312" s="148"/>
      <c r="K312" s="165" t="s">
        <v>3659</v>
      </c>
      <c r="L312" s="165" t="s">
        <v>3672</v>
      </c>
      <c r="M312" s="165" t="s">
        <v>3677</v>
      </c>
      <c r="N312" s="165" t="s">
        <v>3726</v>
      </c>
      <c r="O312" s="165" t="s">
        <v>3474</v>
      </c>
      <c r="P312" s="165" t="s">
        <v>2259</v>
      </c>
      <c r="Q312" s="126" t="s">
        <v>2677</v>
      </c>
      <c r="R312" s="40" t="s">
        <v>3029</v>
      </c>
      <c r="S312" s="40" t="s">
        <v>3028</v>
      </c>
      <c r="T312" s="40" t="s">
        <v>2242</v>
      </c>
      <c r="U312" s="41" t="s">
        <v>139</v>
      </c>
      <c r="V312" s="41" t="s">
        <v>139</v>
      </c>
      <c r="W312" s="41" t="s">
        <v>139</v>
      </c>
      <c r="X312" s="41" t="s">
        <v>2237</v>
      </c>
      <c r="Y312" s="41" t="s">
        <v>139</v>
      </c>
      <c r="Z312" s="74" t="s">
        <v>139</v>
      </c>
      <c r="AA312" s="41" t="s">
        <v>139</v>
      </c>
      <c r="AB312" s="41" t="s">
        <v>139</v>
      </c>
      <c r="AC312" s="41" t="s">
        <v>2248</v>
      </c>
      <c r="AD312" s="41" t="s">
        <v>139</v>
      </c>
      <c r="AE312" s="44"/>
      <c r="AF312" s="45"/>
      <c r="AG312" s="45"/>
      <c r="AH312" s="46"/>
      <c r="AI312" s="45"/>
      <c r="AJ312" s="45"/>
      <c r="AK312" s="45"/>
      <c r="AL312" s="3" t="s">
        <v>1582</v>
      </c>
    </row>
    <row r="313" spans="2:38" ht="40.5" hidden="1">
      <c r="B313" s="144">
        <f t="shared" si="4"/>
        <v>310</v>
      </c>
      <c r="C313" s="148" t="s">
        <v>3732</v>
      </c>
      <c r="D313" s="148"/>
      <c r="E313" s="148"/>
      <c r="F313" s="148"/>
      <c r="G313" s="148"/>
      <c r="H313" s="148"/>
      <c r="I313" s="148"/>
      <c r="J313" s="148"/>
      <c r="K313" s="165" t="s">
        <v>3659</v>
      </c>
      <c r="L313" s="165" t="s">
        <v>3672</v>
      </c>
      <c r="M313" s="165" t="s">
        <v>3677</v>
      </c>
      <c r="N313" s="165" t="s">
        <v>3726</v>
      </c>
      <c r="O313" s="165" t="s">
        <v>3475</v>
      </c>
      <c r="P313" s="165" t="s">
        <v>2239</v>
      </c>
      <c r="Q313" s="126" t="s">
        <v>2677</v>
      </c>
      <c r="R313" s="40" t="s">
        <v>3030</v>
      </c>
      <c r="S313" s="40"/>
      <c r="T313" s="40" t="s">
        <v>2242</v>
      </c>
      <c r="U313" s="41" t="s">
        <v>139</v>
      </c>
      <c r="V313" s="41" t="s">
        <v>139</v>
      </c>
      <c r="W313" s="41" t="s">
        <v>139</v>
      </c>
      <c r="X313" s="41" t="s">
        <v>2237</v>
      </c>
      <c r="Y313" s="41" t="s">
        <v>139</v>
      </c>
      <c r="Z313" s="74" t="s">
        <v>139</v>
      </c>
      <c r="AA313" s="41" t="s">
        <v>139</v>
      </c>
      <c r="AB313" s="41" t="s">
        <v>139</v>
      </c>
      <c r="AC313" s="41" t="s">
        <v>2248</v>
      </c>
      <c r="AD313" s="41" t="s">
        <v>139</v>
      </c>
      <c r="AE313" s="44"/>
      <c r="AF313" s="45"/>
      <c r="AG313" s="45"/>
      <c r="AH313" s="46"/>
      <c r="AI313" s="45"/>
      <c r="AJ313" s="45"/>
      <c r="AK313" s="45"/>
      <c r="AL313" s="3" t="s">
        <v>1582</v>
      </c>
    </row>
    <row r="314" spans="2:38" ht="81" hidden="1">
      <c r="B314" s="144">
        <f t="shared" si="4"/>
        <v>311</v>
      </c>
      <c r="C314" s="148" t="s">
        <v>3732</v>
      </c>
      <c r="D314" s="148"/>
      <c r="E314" s="148"/>
      <c r="F314" s="148"/>
      <c r="G314" s="148"/>
      <c r="H314" s="148"/>
      <c r="I314" s="148"/>
      <c r="J314" s="148"/>
      <c r="K314" s="165" t="s">
        <v>3659</v>
      </c>
      <c r="L314" s="165" t="s">
        <v>3672</v>
      </c>
      <c r="M314" s="165" t="s">
        <v>3677</v>
      </c>
      <c r="N314" s="165" t="s">
        <v>3726</v>
      </c>
      <c r="O314" s="165" t="s">
        <v>778</v>
      </c>
      <c r="P314" s="165" t="s">
        <v>778</v>
      </c>
      <c r="Q314" s="126" t="s">
        <v>981</v>
      </c>
      <c r="R314" s="40" t="s">
        <v>779</v>
      </c>
      <c r="S314" s="40" t="s">
        <v>780</v>
      </c>
      <c r="T314" s="40" t="s">
        <v>781</v>
      </c>
      <c r="U314" s="41" t="s">
        <v>139</v>
      </c>
      <c r="V314" s="41" t="s">
        <v>139</v>
      </c>
      <c r="W314" s="41" t="s">
        <v>139</v>
      </c>
      <c r="X314" s="41" t="s">
        <v>2052</v>
      </c>
      <c r="Y314" s="41" t="s">
        <v>1891</v>
      </c>
      <c r="Z314" s="74" t="s">
        <v>139</v>
      </c>
      <c r="AA314" s="41" t="s">
        <v>139</v>
      </c>
      <c r="AB314" s="41" t="s">
        <v>139</v>
      </c>
      <c r="AC314" s="41" t="s">
        <v>2184</v>
      </c>
      <c r="AD314" s="41" t="s">
        <v>1892</v>
      </c>
      <c r="AE314" s="44"/>
      <c r="AF314" s="45"/>
      <c r="AG314" s="45"/>
      <c r="AH314" s="46"/>
      <c r="AI314" s="45"/>
      <c r="AJ314" s="45"/>
      <c r="AK314" s="45"/>
      <c r="AL314" s="3" t="s">
        <v>1582</v>
      </c>
    </row>
    <row r="315" spans="2:38" ht="67.5" hidden="1">
      <c r="B315" s="144">
        <f t="shared" si="4"/>
        <v>312</v>
      </c>
      <c r="C315" s="148" t="s">
        <v>3732</v>
      </c>
      <c r="D315" s="148"/>
      <c r="E315" s="148"/>
      <c r="F315" s="148"/>
      <c r="G315" s="148"/>
      <c r="H315" s="148"/>
      <c r="I315" s="148"/>
      <c r="J315" s="148"/>
      <c r="K315" s="165" t="s">
        <v>3659</v>
      </c>
      <c r="L315" s="165" t="s">
        <v>3672</v>
      </c>
      <c r="M315" s="165" t="s">
        <v>3677</v>
      </c>
      <c r="N315" s="165" t="s">
        <v>3726</v>
      </c>
      <c r="O315" s="165" t="s">
        <v>982</v>
      </c>
      <c r="P315" s="165" t="s">
        <v>982</v>
      </c>
      <c r="Q315" s="126" t="s">
        <v>983</v>
      </c>
      <c r="R315" s="40" t="s">
        <v>984</v>
      </c>
      <c r="S315" s="40"/>
      <c r="T315" s="40" t="s">
        <v>2781</v>
      </c>
      <c r="U315" s="41" t="s">
        <v>139</v>
      </c>
      <c r="V315" s="41" t="s">
        <v>139</v>
      </c>
      <c r="W315" s="41" t="s">
        <v>139</v>
      </c>
      <c r="X315" s="41" t="s">
        <v>2783</v>
      </c>
      <c r="Y315" s="41" t="s">
        <v>1891</v>
      </c>
      <c r="Z315" s="74" t="s">
        <v>139</v>
      </c>
      <c r="AA315" s="41" t="s">
        <v>139</v>
      </c>
      <c r="AB315" s="41" t="s">
        <v>139</v>
      </c>
      <c r="AC315" s="41" t="s">
        <v>2782</v>
      </c>
      <c r="AD315" s="41" t="s">
        <v>1892</v>
      </c>
      <c r="AE315" s="44"/>
      <c r="AF315" s="45"/>
      <c r="AG315" s="45"/>
      <c r="AH315" s="46"/>
      <c r="AI315" s="45"/>
      <c r="AJ315" s="45"/>
      <c r="AK315" s="45"/>
      <c r="AL315" s="3" t="s">
        <v>1582</v>
      </c>
    </row>
    <row r="316" spans="2:38" ht="94.5" hidden="1">
      <c r="B316" s="144">
        <f t="shared" si="4"/>
        <v>313</v>
      </c>
      <c r="C316" s="148" t="s">
        <v>3732</v>
      </c>
      <c r="D316" s="148"/>
      <c r="E316" s="148"/>
      <c r="F316" s="148"/>
      <c r="G316" s="148"/>
      <c r="H316" s="148"/>
      <c r="I316" s="148"/>
      <c r="J316" s="148"/>
      <c r="K316" s="165" t="s">
        <v>3659</v>
      </c>
      <c r="L316" s="165" t="s">
        <v>3672</v>
      </c>
      <c r="M316" s="65" t="s">
        <v>3677</v>
      </c>
      <c r="N316" s="165" t="s">
        <v>3729</v>
      </c>
      <c r="O316" s="165" t="s">
        <v>3387</v>
      </c>
      <c r="P316" s="165" t="s">
        <v>2789</v>
      </c>
      <c r="Q316" s="126" t="s">
        <v>2790</v>
      </c>
      <c r="R316" s="40" t="s">
        <v>2792</v>
      </c>
      <c r="S316" s="40"/>
      <c r="T316" s="40" t="s">
        <v>1895</v>
      </c>
      <c r="U316" s="41" t="s">
        <v>139</v>
      </c>
      <c r="V316" s="41" t="s">
        <v>139</v>
      </c>
      <c r="W316" s="41" t="s">
        <v>139</v>
      </c>
      <c r="X316" s="41" t="s">
        <v>3117</v>
      </c>
      <c r="Y316" s="41" t="s">
        <v>139</v>
      </c>
      <c r="Z316" s="74" t="s">
        <v>139</v>
      </c>
      <c r="AA316" s="41" t="s">
        <v>139</v>
      </c>
      <c r="AB316" s="41" t="s">
        <v>139</v>
      </c>
      <c r="AC316" s="41" t="s">
        <v>2791</v>
      </c>
      <c r="AD316" s="41" t="s">
        <v>139</v>
      </c>
      <c r="AE316" s="44"/>
      <c r="AF316" s="45"/>
      <c r="AG316" s="45"/>
      <c r="AH316" s="46"/>
      <c r="AI316" s="45"/>
      <c r="AJ316" s="45"/>
      <c r="AK316" s="45"/>
      <c r="AL316" s="3" t="s">
        <v>1582</v>
      </c>
    </row>
    <row r="317" spans="2:38" ht="135">
      <c r="B317" s="144">
        <f t="shared" si="4"/>
        <v>314</v>
      </c>
      <c r="C317" s="148" t="s">
        <v>3731</v>
      </c>
      <c r="D317" s="148"/>
      <c r="E317" s="148"/>
      <c r="F317" s="148"/>
      <c r="G317" s="148"/>
      <c r="H317" s="148"/>
      <c r="I317" s="148"/>
      <c r="J317" s="148"/>
      <c r="K317" s="165" t="s">
        <v>3659</v>
      </c>
      <c r="L317" s="165" t="s">
        <v>3672</v>
      </c>
      <c r="M317" s="65" t="s">
        <v>3677</v>
      </c>
      <c r="N317" s="165" t="s">
        <v>3729</v>
      </c>
      <c r="O317" s="165" t="s">
        <v>3771</v>
      </c>
      <c r="P317" s="165" t="s">
        <v>724</v>
      </c>
      <c r="Q317" s="126" t="s">
        <v>2293</v>
      </c>
      <c r="R317" s="40" t="s">
        <v>2816</v>
      </c>
      <c r="S317" s="40" t="s">
        <v>2745</v>
      </c>
      <c r="T317" s="40" t="s">
        <v>192</v>
      </c>
      <c r="U317" s="41" t="s">
        <v>139</v>
      </c>
      <c r="V317" s="41" t="s">
        <v>139</v>
      </c>
      <c r="W317" s="41" t="s">
        <v>139</v>
      </c>
      <c r="X317" s="41" t="s">
        <v>725</v>
      </c>
      <c r="Y317" s="41" t="s">
        <v>139</v>
      </c>
      <c r="Z317" s="74" t="s">
        <v>139</v>
      </c>
      <c r="AA317" s="41" t="s">
        <v>139</v>
      </c>
      <c r="AB317" s="41" t="s">
        <v>139</v>
      </c>
      <c r="AC317" s="41" t="s">
        <v>2817</v>
      </c>
      <c r="AD317" s="41" t="s">
        <v>139</v>
      </c>
      <c r="AE317" s="44"/>
      <c r="AF317" s="195" t="s">
        <v>3992</v>
      </c>
      <c r="AG317" s="45"/>
      <c r="AH317" s="189">
        <v>1</v>
      </c>
      <c r="AI317" s="40" t="s">
        <v>3833</v>
      </c>
      <c r="AJ317" s="40" t="s">
        <v>3773</v>
      </c>
      <c r="AK317" s="40" t="s">
        <v>192</v>
      </c>
      <c r="AL317" s="3" t="s">
        <v>1582</v>
      </c>
    </row>
    <row r="318" spans="2:38" ht="54">
      <c r="B318" s="144">
        <f t="shared" si="4"/>
        <v>315</v>
      </c>
      <c r="C318" s="148" t="s">
        <v>3731</v>
      </c>
      <c r="D318" s="148"/>
      <c r="E318" s="148"/>
      <c r="F318" s="148"/>
      <c r="G318" s="148"/>
      <c r="H318" s="148"/>
      <c r="I318" s="148"/>
      <c r="J318" s="148"/>
      <c r="K318" s="165" t="s">
        <v>3659</v>
      </c>
      <c r="L318" s="165" t="s">
        <v>3672</v>
      </c>
      <c r="M318" s="65" t="s">
        <v>3677</v>
      </c>
      <c r="N318" s="165" t="s">
        <v>3729</v>
      </c>
      <c r="O318" s="165" t="s">
        <v>807</v>
      </c>
      <c r="P318" s="165" t="s">
        <v>807</v>
      </c>
      <c r="Q318" s="126" t="s">
        <v>808</v>
      </c>
      <c r="R318" s="40" t="s">
        <v>2294</v>
      </c>
      <c r="S318" s="61"/>
      <c r="T318" s="40" t="s">
        <v>2077</v>
      </c>
      <c r="U318" s="41" t="s">
        <v>139</v>
      </c>
      <c r="V318" s="41" t="s">
        <v>139</v>
      </c>
      <c r="W318" s="41" t="s">
        <v>139</v>
      </c>
      <c r="X318" s="41" t="s">
        <v>809</v>
      </c>
      <c r="Y318" s="41" t="s">
        <v>139</v>
      </c>
      <c r="Z318" s="74" t="s">
        <v>139</v>
      </c>
      <c r="AA318" s="41" t="s">
        <v>139</v>
      </c>
      <c r="AB318" s="41" t="s">
        <v>139</v>
      </c>
      <c r="AC318" s="41" t="s">
        <v>806</v>
      </c>
      <c r="AD318" s="41" t="s">
        <v>139</v>
      </c>
      <c r="AE318" s="44"/>
      <c r="AF318" s="195" t="s">
        <v>3992</v>
      </c>
      <c r="AG318" s="45"/>
      <c r="AH318" s="189">
        <v>1</v>
      </c>
      <c r="AI318" s="40" t="s">
        <v>3991</v>
      </c>
      <c r="AJ318" s="47" t="s">
        <v>3774</v>
      </c>
      <c r="AK318" s="40" t="s">
        <v>2077</v>
      </c>
      <c r="AL318" s="3" t="s">
        <v>1582</v>
      </c>
    </row>
    <row r="319" spans="2:38" ht="40.5">
      <c r="B319" s="144">
        <f t="shared" si="4"/>
        <v>316</v>
      </c>
      <c r="C319" s="148" t="s">
        <v>3731</v>
      </c>
      <c r="D319" s="148"/>
      <c r="E319" s="148"/>
      <c r="F319" s="148"/>
      <c r="G319" s="148"/>
      <c r="H319" s="148"/>
      <c r="I319" s="148"/>
      <c r="J319" s="148"/>
      <c r="K319" s="165" t="s">
        <v>3659</v>
      </c>
      <c r="L319" s="165" t="s">
        <v>3672</v>
      </c>
      <c r="M319" s="65" t="s">
        <v>3677</v>
      </c>
      <c r="N319" s="165" t="s">
        <v>3729</v>
      </c>
      <c r="O319" s="165" t="s">
        <v>877</v>
      </c>
      <c r="P319" s="165" t="s">
        <v>877</v>
      </c>
      <c r="Q319" s="126" t="s">
        <v>139</v>
      </c>
      <c r="R319" s="40" t="s">
        <v>878</v>
      </c>
      <c r="S319" s="61"/>
      <c r="T319" s="40" t="s">
        <v>192</v>
      </c>
      <c r="U319" s="41" t="s">
        <v>139</v>
      </c>
      <c r="V319" s="41" t="s">
        <v>139</v>
      </c>
      <c r="W319" s="41" t="s">
        <v>139</v>
      </c>
      <c r="X319" s="41" t="s">
        <v>879</v>
      </c>
      <c r="Y319" s="41" t="s">
        <v>139</v>
      </c>
      <c r="Z319" s="74" t="s">
        <v>139</v>
      </c>
      <c r="AA319" s="41" t="s">
        <v>139</v>
      </c>
      <c r="AB319" s="41" t="s">
        <v>139</v>
      </c>
      <c r="AC319" s="41" t="s">
        <v>880</v>
      </c>
      <c r="AD319" s="41" t="s">
        <v>139</v>
      </c>
      <c r="AE319" s="44"/>
      <c r="AF319" s="196"/>
      <c r="AG319" s="45"/>
      <c r="AH319" s="189"/>
      <c r="AI319" s="45"/>
      <c r="AJ319" s="45"/>
      <c r="AK319" s="45"/>
      <c r="AL319" s="3" t="s">
        <v>1582</v>
      </c>
    </row>
    <row r="320" spans="2:38" ht="40.5" hidden="1">
      <c r="B320" s="144">
        <f t="shared" si="4"/>
        <v>317</v>
      </c>
      <c r="C320" s="148" t="s">
        <v>3732</v>
      </c>
      <c r="D320" s="148"/>
      <c r="E320" s="148"/>
      <c r="F320" s="148"/>
      <c r="G320" s="148"/>
      <c r="H320" s="148"/>
      <c r="I320" s="148"/>
      <c r="J320" s="148"/>
      <c r="K320" s="165" t="s">
        <v>3659</v>
      </c>
      <c r="L320" s="165" t="s">
        <v>3672</v>
      </c>
      <c r="M320" s="65" t="s">
        <v>3677</v>
      </c>
      <c r="N320" s="165" t="s">
        <v>3729</v>
      </c>
      <c r="O320" s="165" t="s">
        <v>881</v>
      </c>
      <c r="P320" s="165" t="s">
        <v>881</v>
      </c>
      <c r="Q320" s="126" t="s">
        <v>139</v>
      </c>
      <c r="R320" s="40" t="s">
        <v>882</v>
      </c>
      <c r="S320" s="40" t="s">
        <v>883</v>
      </c>
      <c r="T320" s="40" t="s">
        <v>1645</v>
      </c>
      <c r="U320" s="41" t="s">
        <v>139</v>
      </c>
      <c r="V320" s="41" t="s">
        <v>139</v>
      </c>
      <c r="W320" s="41" t="s">
        <v>139</v>
      </c>
      <c r="X320" s="41" t="s">
        <v>2876</v>
      </c>
      <c r="Y320" s="41" t="s">
        <v>139</v>
      </c>
      <c r="Z320" s="74" t="s">
        <v>139</v>
      </c>
      <c r="AA320" s="41" t="s">
        <v>139</v>
      </c>
      <c r="AB320" s="41" t="s">
        <v>139</v>
      </c>
      <c r="AC320" s="41" t="s">
        <v>1643</v>
      </c>
      <c r="AD320" s="41" t="s">
        <v>139</v>
      </c>
      <c r="AE320" s="44"/>
      <c r="AF320" s="45"/>
      <c r="AG320" s="45"/>
      <c r="AH320" s="46"/>
      <c r="AI320" s="45"/>
      <c r="AJ320" s="45"/>
      <c r="AK320" s="45"/>
      <c r="AL320" s="3" t="s">
        <v>1582</v>
      </c>
    </row>
    <row r="321" spans="2:38" ht="108" hidden="1">
      <c r="B321" s="144">
        <f t="shared" si="4"/>
        <v>318</v>
      </c>
      <c r="C321" s="148" t="s">
        <v>3732</v>
      </c>
      <c r="D321" s="148"/>
      <c r="E321" s="148"/>
      <c r="F321" s="148"/>
      <c r="G321" s="148"/>
      <c r="H321" s="148"/>
      <c r="I321" s="148"/>
      <c r="J321" s="148"/>
      <c r="K321" s="165" t="s">
        <v>3659</v>
      </c>
      <c r="L321" s="165" t="s">
        <v>3672</v>
      </c>
      <c r="M321" s="65" t="s">
        <v>3677</v>
      </c>
      <c r="N321" s="165" t="s">
        <v>3729</v>
      </c>
      <c r="O321" s="165" t="s">
        <v>3389</v>
      </c>
      <c r="P321" s="165" t="s">
        <v>3103</v>
      </c>
      <c r="Q321" s="126" t="s">
        <v>3104</v>
      </c>
      <c r="R321" s="40" t="s">
        <v>2744</v>
      </c>
      <c r="S321" s="62" t="s">
        <v>3105</v>
      </c>
      <c r="T321" s="40" t="s">
        <v>161</v>
      </c>
      <c r="U321" s="41" t="s">
        <v>139</v>
      </c>
      <c r="V321" s="41" t="s">
        <v>139</v>
      </c>
      <c r="W321" s="41" t="s">
        <v>139</v>
      </c>
      <c r="X321" s="41" t="s">
        <v>3307</v>
      </c>
      <c r="Y321" s="41" t="s">
        <v>139</v>
      </c>
      <c r="Z321" s="74" t="s">
        <v>139</v>
      </c>
      <c r="AA321" s="41" t="s">
        <v>139</v>
      </c>
      <c r="AB321" s="41" t="s">
        <v>139</v>
      </c>
      <c r="AC321" s="41" t="s">
        <v>3308</v>
      </c>
      <c r="AD321" s="41" t="s">
        <v>139</v>
      </c>
      <c r="AE321" s="44"/>
      <c r="AF321" s="45"/>
      <c r="AG321" s="45"/>
      <c r="AH321" s="46"/>
      <c r="AI321" s="45"/>
      <c r="AJ321" s="45"/>
      <c r="AK321" s="45"/>
      <c r="AL321" s="3" t="s">
        <v>1582</v>
      </c>
    </row>
    <row r="322" spans="2:38" ht="67.5" hidden="1">
      <c r="B322" s="144">
        <f t="shared" si="4"/>
        <v>319</v>
      </c>
      <c r="C322" s="148" t="s">
        <v>3732</v>
      </c>
      <c r="D322" s="148"/>
      <c r="E322" s="148"/>
      <c r="F322" s="148"/>
      <c r="G322" s="148"/>
      <c r="H322" s="148"/>
      <c r="I322" s="148"/>
      <c r="J322" s="148"/>
      <c r="K322" s="165" t="s">
        <v>3659</v>
      </c>
      <c r="L322" s="165" t="s">
        <v>3672</v>
      </c>
      <c r="M322" s="165" t="s">
        <v>3677</v>
      </c>
      <c r="N322" s="165" t="s">
        <v>3725</v>
      </c>
      <c r="O322" s="165" t="s">
        <v>3497</v>
      </c>
      <c r="P322" s="165" t="s">
        <v>2796</v>
      </c>
      <c r="Q322" s="126" t="s">
        <v>2798</v>
      </c>
      <c r="R322" s="40" t="s">
        <v>2799</v>
      </c>
      <c r="S322" s="40"/>
      <c r="T322" s="40" t="s">
        <v>1895</v>
      </c>
      <c r="U322" s="41" t="s">
        <v>139</v>
      </c>
      <c r="V322" s="41" t="s">
        <v>139</v>
      </c>
      <c r="W322" s="41" t="s">
        <v>139</v>
      </c>
      <c r="X322" s="41" t="s">
        <v>726</v>
      </c>
      <c r="Y322" s="41" t="s">
        <v>139</v>
      </c>
      <c r="Z322" s="74" t="s">
        <v>139</v>
      </c>
      <c r="AA322" s="41" t="s">
        <v>139</v>
      </c>
      <c r="AB322" s="41" t="s">
        <v>139</v>
      </c>
      <c r="AC322" s="41" t="s">
        <v>2800</v>
      </c>
      <c r="AD322" s="41" t="s">
        <v>139</v>
      </c>
      <c r="AE322" s="44"/>
      <c r="AF322" s="45"/>
      <c r="AG322" s="45"/>
      <c r="AH322" s="46"/>
      <c r="AI322" s="45"/>
      <c r="AJ322" s="45"/>
      <c r="AK322" s="45"/>
      <c r="AL322" s="3" t="s">
        <v>1582</v>
      </c>
    </row>
    <row r="323" spans="2:38" ht="40.5" hidden="1">
      <c r="B323" s="144">
        <f t="shared" si="4"/>
        <v>320</v>
      </c>
      <c r="C323" s="148" t="s">
        <v>3732</v>
      </c>
      <c r="D323" s="148"/>
      <c r="E323" s="148"/>
      <c r="F323" s="148"/>
      <c r="G323" s="148"/>
      <c r="H323" s="148"/>
      <c r="I323" s="148"/>
      <c r="J323" s="148"/>
      <c r="K323" s="165" t="s">
        <v>3659</v>
      </c>
      <c r="L323" s="165" t="s">
        <v>3672</v>
      </c>
      <c r="M323" s="165" t="s">
        <v>3677</v>
      </c>
      <c r="N323" s="165" t="s">
        <v>3725</v>
      </c>
      <c r="O323" s="165" t="s">
        <v>965</v>
      </c>
      <c r="P323" s="165" t="s">
        <v>965</v>
      </c>
      <c r="Q323" s="126" t="s">
        <v>966</v>
      </c>
      <c r="R323" s="40" t="s">
        <v>967</v>
      </c>
      <c r="S323" s="40" t="s">
        <v>968</v>
      </c>
      <c r="T323" s="40" t="s">
        <v>672</v>
      </c>
      <c r="U323" s="41" t="s">
        <v>139</v>
      </c>
      <c r="V323" s="41" t="s">
        <v>139</v>
      </c>
      <c r="W323" s="41" t="s">
        <v>969</v>
      </c>
      <c r="X323" s="41" t="s">
        <v>970</v>
      </c>
      <c r="Y323" s="41" t="s">
        <v>139</v>
      </c>
      <c r="Z323" s="74" t="s">
        <v>139</v>
      </c>
      <c r="AA323" s="41" t="s">
        <v>139</v>
      </c>
      <c r="AB323" s="41" t="s">
        <v>971</v>
      </c>
      <c r="AC323" s="41" t="s">
        <v>971</v>
      </c>
      <c r="AD323" s="41" t="s">
        <v>139</v>
      </c>
      <c r="AE323" s="44"/>
      <c r="AF323" s="45"/>
      <c r="AG323" s="45"/>
      <c r="AH323" s="46"/>
      <c r="AI323" s="45"/>
      <c r="AJ323" s="45"/>
      <c r="AK323" s="45"/>
      <c r="AL323" s="3" t="s">
        <v>1582</v>
      </c>
    </row>
    <row r="324" spans="2:38" ht="40.5" hidden="1">
      <c r="B324" s="144">
        <f t="shared" si="4"/>
        <v>321</v>
      </c>
      <c r="C324" s="148" t="s">
        <v>3732</v>
      </c>
      <c r="D324" s="148"/>
      <c r="E324" s="148"/>
      <c r="F324" s="148"/>
      <c r="G324" s="148"/>
      <c r="H324" s="148"/>
      <c r="I324" s="148"/>
      <c r="J324" s="148"/>
      <c r="K324" s="165" t="s">
        <v>3659</v>
      </c>
      <c r="L324" s="165" t="s">
        <v>3672</v>
      </c>
      <c r="M324" s="165" t="s">
        <v>3677</v>
      </c>
      <c r="N324" s="165" t="s">
        <v>3725</v>
      </c>
      <c r="O324" s="165" t="s">
        <v>855</v>
      </c>
      <c r="P324" s="165" t="s">
        <v>855</v>
      </c>
      <c r="Q324" s="126" t="s">
        <v>139</v>
      </c>
      <c r="R324" s="40" t="s">
        <v>2716</v>
      </c>
      <c r="S324" s="40"/>
      <c r="T324" s="40" t="s">
        <v>787</v>
      </c>
      <c r="U324" s="41" t="s">
        <v>139</v>
      </c>
      <c r="V324" s="41" t="s">
        <v>139</v>
      </c>
      <c r="W324" s="41" t="s">
        <v>139</v>
      </c>
      <c r="X324" s="41" t="s">
        <v>856</v>
      </c>
      <c r="Y324" s="41" t="s">
        <v>139</v>
      </c>
      <c r="Z324" s="74" t="s">
        <v>139</v>
      </c>
      <c r="AA324" s="41" t="s">
        <v>139</v>
      </c>
      <c r="AB324" s="41" t="s">
        <v>139</v>
      </c>
      <c r="AC324" s="41" t="s">
        <v>851</v>
      </c>
      <c r="AD324" s="41" t="s">
        <v>139</v>
      </c>
      <c r="AE324" s="44"/>
      <c r="AF324" s="45"/>
      <c r="AG324" s="45"/>
      <c r="AH324" s="46"/>
      <c r="AI324" s="45"/>
      <c r="AJ324" s="45"/>
      <c r="AK324" s="45"/>
      <c r="AL324" s="3" t="s">
        <v>1582</v>
      </c>
    </row>
    <row r="325" spans="2:38" ht="40.5" hidden="1">
      <c r="B325" s="144">
        <f t="shared" si="4"/>
        <v>322</v>
      </c>
      <c r="C325" s="148" t="s">
        <v>3732</v>
      </c>
      <c r="D325" s="148"/>
      <c r="E325" s="148"/>
      <c r="F325" s="148"/>
      <c r="G325" s="148"/>
      <c r="H325" s="148"/>
      <c r="I325" s="148"/>
      <c r="J325" s="148"/>
      <c r="K325" s="165" t="s">
        <v>3659</v>
      </c>
      <c r="L325" s="165" t="s">
        <v>3672</v>
      </c>
      <c r="M325" s="165" t="s">
        <v>3677</v>
      </c>
      <c r="N325" s="65" t="s">
        <v>3725</v>
      </c>
      <c r="O325" s="65" t="s">
        <v>312</v>
      </c>
      <c r="P325" s="65" t="s">
        <v>312</v>
      </c>
      <c r="Q325" s="54" t="s">
        <v>139</v>
      </c>
      <c r="R325" s="41" t="s">
        <v>313</v>
      </c>
      <c r="S325" s="41" t="s">
        <v>314</v>
      </c>
      <c r="T325" s="41" t="s">
        <v>192</v>
      </c>
      <c r="U325" s="41" t="s">
        <v>311</v>
      </c>
      <c r="V325" s="41" t="s">
        <v>139</v>
      </c>
      <c r="W325" s="41" t="s">
        <v>139</v>
      </c>
      <c r="X325" s="41" t="s">
        <v>139</v>
      </c>
      <c r="Y325" s="41" t="s">
        <v>139</v>
      </c>
      <c r="Z325" s="73" t="s">
        <v>133</v>
      </c>
      <c r="AA325" s="54" t="s">
        <v>139</v>
      </c>
      <c r="AB325" s="54" t="s">
        <v>139</v>
      </c>
      <c r="AC325" s="54" t="s">
        <v>139</v>
      </c>
      <c r="AD325" s="54" t="s">
        <v>139</v>
      </c>
      <c r="AE325" s="55"/>
      <c r="AF325" s="56"/>
      <c r="AG325" s="56"/>
      <c r="AH325" s="57"/>
      <c r="AI325" s="56"/>
      <c r="AJ325" s="56"/>
      <c r="AK325" s="56"/>
      <c r="AL325" s="3" t="s">
        <v>1582</v>
      </c>
    </row>
    <row r="326" spans="2:38" ht="40.5" hidden="1">
      <c r="B326" s="144">
        <f t="shared" si="4"/>
        <v>323</v>
      </c>
      <c r="C326" s="148" t="s">
        <v>3732</v>
      </c>
      <c r="D326" s="148"/>
      <c r="E326" s="148"/>
      <c r="F326" s="148"/>
      <c r="G326" s="148"/>
      <c r="H326" s="148"/>
      <c r="I326" s="148"/>
      <c r="J326" s="148"/>
      <c r="K326" s="165" t="s">
        <v>3659</v>
      </c>
      <c r="L326" s="165" t="s">
        <v>3672</v>
      </c>
      <c r="M326" s="165" t="s">
        <v>3677</v>
      </c>
      <c r="N326" s="165" t="s">
        <v>3725</v>
      </c>
      <c r="O326" s="165" t="s">
        <v>3501</v>
      </c>
      <c r="P326" s="165" t="s">
        <v>1623</v>
      </c>
      <c r="Q326" s="126" t="s">
        <v>1637</v>
      </c>
      <c r="R326" s="40" t="s">
        <v>1626</v>
      </c>
      <c r="S326" s="40" t="s">
        <v>1625</v>
      </c>
      <c r="T326" s="40" t="s">
        <v>161</v>
      </c>
      <c r="U326" s="41" t="s">
        <v>139</v>
      </c>
      <c r="V326" s="41" t="s">
        <v>139</v>
      </c>
      <c r="W326" s="41" t="s">
        <v>1128</v>
      </c>
      <c r="X326" s="41" t="s">
        <v>139</v>
      </c>
      <c r="Y326" s="41" t="s">
        <v>139</v>
      </c>
      <c r="Z326" s="74" t="s">
        <v>139</v>
      </c>
      <c r="AA326" s="41" t="s">
        <v>139</v>
      </c>
      <c r="AB326" s="41" t="s">
        <v>1125</v>
      </c>
      <c r="AC326" s="41" t="s">
        <v>139</v>
      </c>
      <c r="AD326" s="41" t="s">
        <v>139</v>
      </c>
      <c r="AE326" s="44"/>
      <c r="AF326" s="45"/>
      <c r="AG326" s="45"/>
      <c r="AH326" s="46"/>
      <c r="AI326" s="45"/>
      <c r="AJ326" s="45"/>
      <c r="AK326" s="45"/>
      <c r="AL326" s="3" t="s">
        <v>1582</v>
      </c>
    </row>
    <row r="327" spans="2:38" ht="40.5" hidden="1">
      <c r="B327" s="144">
        <f t="shared" si="4"/>
        <v>324</v>
      </c>
      <c r="C327" s="148" t="s">
        <v>3732</v>
      </c>
      <c r="D327" s="148"/>
      <c r="E327" s="148"/>
      <c r="F327" s="148"/>
      <c r="G327" s="148"/>
      <c r="H327" s="148"/>
      <c r="I327" s="148"/>
      <c r="J327" s="148"/>
      <c r="K327" s="165" t="s">
        <v>3659</v>
      </c>
      <c r="L327" s="165" t="s">
        <v>3672</v>
      </c>
      <c r="M327" s="165" t="s">
        <v>3677</v>
      </c>
      <c r="N327" s="165" t="s">
        <v>3724</v>
      </c>
      <c r="O327" s="165" t="s">
        <v>3476</v>
      </c>
      <c r="P327" s="165" t="s">
        <v>2108</v>
      </c>
      <c r="Q327" s="128" t="s">
        <v>2697</v>
      </c>
      <c r="R327" s="40" t="s">
        <v>2698</v>
      </c>
      <c r="S327" s="63" t="s">
        <v>2699</v>
      </c>
      <c r="T327" s="40" t="s">
        <v>161</v>
      </c>
      <c r="U327" s="41" t="s">
        <v>139</v>
      </c>
      <c r="V327" s="41" t="s">
        <v>139</v>
      </c>
      <c r="W327" s="41" t="s">
        <v>139</v>
      </c>
      <c r="X327" s="41" t="s">
        <v>2695</v>
      </c>
      <c r="Y327" s="41" t="s">
        <v>139</v>
      </c>
      <c r="Z327" s="74" t="s">
        <v>139</v>
      </c>
      <c r="AA327" s="41" t="s">
        <v>139</v>
      </c>
      <c r="AB327" s="41" t="s">
        <v>139</v>
      </c>
      <c r="AC327" s="41" t="s">
        <v>1894</v>
      </c>
      <c r="AD327" s="41" t="s">
        <v>139</v>
      </c>
      <c r="AE327" s="44"/>
      <c r="AF327" s="45"/>
      <c r="AG327" s="45"/>
      <c r="AH327" s="46"/>
      <c r="AI327" s="45"/>
      <c r="AJ327" s="45"/>
      <c r="AK327" s="45"/>
      <c r="AL327" s="3" t="s">
        <v>1582</v>
      </c>
    </row>
    <row r="328" spans="2:38" ht="40.5" hidden="1">
      <c r="B328" s="144">
        <f t="shared" ref="B328:B349" si="5">ROW()-3</f>
        <v>325</v>
      </c>
      <c r="C328" s="148" t="s">
        <v>3732</v>
      </c>
      <c r="D328" s="148"/>
      <c r="E328" s="148"/>
      <c r="F328" s="148"/>
      <c r="G328" s="148"/>
      <c r="H328" s="148"/>
      <c r="I328" s="148"/>
      <c r="J328" s="148"/>
      <c r="K328" s="165" t="s">
        <v>3659</v>
      </c>
      <c r="L328" s="165" t="s">
        <v>3672</v>
      </c>
      <c r="M328" s="165" t="s">
        <v>3677</v>
      </c>
      <c r="N328" s="165" t="s">
        <v>3724</v>
      </c>
      <c r="O328" s="165" t="s">
        <v>3477</v>
      </c>
      <c r="P328" s="165" t="s">
        <v>2691</v>
      </c>
      <c r="Q328" s="126" t="s">
        <v>1637</v>
      </c>
      <c r="R328" s="63"/>
      <c r="S328" s="63" t="s">
        <v>2700</v>
      </c>
      <c r="T328" s="40" t="s">
        <v>1666</v>
      </c>
      <c r="U328" s="41" t="s">
        <v>139</v>
      </c>
      <c r="V328" s="41" t="s">
        <v>139</v>
      </c>
      <c r="W328" s="41" t="s">
        <v>139</v>
      </c>
      <c r="X328" s="41" t="s">
        <v>2696</v>
      </c>
      <c r="Y328" s="41" t="s">
        <v>139</v>
      </c>
      <c r="Z328" s="74" t="s">
        <v>139</v>
      </c>
      <c r="AA328" s="41" t="s">
        <v>139</v>
      </c>
      <c r="AB328" s="41" t="s">
        <v>139</v>
      </c>
      <c r="AC328" s="41" t="s">
        <v>2693</v>
      </c>
      <c r="AD328" s="41" t="s">
        <v>139</v>
      </c>
      <c r="AE328" s="44"/>
      <c r="AF328" s="45"/>
      <c r="AG328" s="45"/>
      <c r="AH328" s="46"/>
      <c r="AI328" s="45"/>
      <c r="AJ328" s="45"/>
      <c r="AK328" s="45"/>
      <c r="AL328" s="3" t="s">
        <v>1582</v>
      </c>
    </row>
    <row r="329" spans="2:38" ht="40.5" hidden="1">
      <c r="B329" s="144">
        <f t="shared" si="5"/>
        <v>326</v>
      </c>
      <c r="C329" s="148" t="s">
        <v>3732</v>
      </c>
      <c r="D329" s="148"/>
      <c r="E329" s="148"/>
      <c r="F329" s="148"/>
      <c r="G329" s="148"/>
      <c r="H329" s="148"/>
      <c r="I329" s="148"/>
      <c r="J329" s="148"/>
      <c r="K329" s="165" t="s">
        <v>3659</v>
      </c>
      <c r="L329" s="165" t="s">
        <v>3672</v>
      </c>
      <c r="M329" s="165" t="s">
        <v>3677</v>
      </c>
      <c r="N329" s="165" t="s">
        <v>3724</v>
      </c>
      <c r="O329" s="165" t="s">
        <v>3478</v>
      </c>
      <c r="P329" s="165" t="s">
        <v>2674</v>
      </c>
      <c r="Q329" s="126" t="s">
        <v>2702</v>
      </c>
      <c r="R329" s="63" t="s">
        <v>2678</v>
      </c>
      <c r="S329" s="63" t="s">
        <v>2853</v>
      </c>
      <c r="T329" s="40" t="s">
        <v>1666</v>
      </c>
      <c r="U329" s="41" t="s">
        <v>139</v>
      </c>
      <c r="V329" s="41" t="s">
        <v>139</v>
      </c>
      <c r="W329" s="41" t="s">
        <v>139</v>
      </c>
      <c r="X329" s="41" t="s">
        <v>829</v>
      </c>
      <c r="Y329" s="41" t="s">
        <v>139</v>
      </c>
      <c r="Z329" s="74" t="s">
        <v>139</v>
      </c>
      <c r="AA329" s="41" t="s">
        <v>139</v>
      </c>
      <c r="AB329" s="41" t="s">
        <v>139</v>
      </c>
      <c r="AC329" s="41" t="s">
        <v>2854</v>
      </c>
      <c r="AD329" s="41" t="s">
        <v>139</v>
      </c>
      <c r="AE329" s="44"/>
      <c r="AF329" s="45"/>
      <c r="AG329" s="45"/>
      <c r="AH329" s="46"/>
      <c r="AI329" s="45"/>
      <c r="AJ329" s="45"/>
      <c r="AK329" s="45"/>
      <c r="AL329" s="3" t="s">
        <v>1582</v>
      </c>
    </row>
    <row r="330" spans="2:38" ht="40.5" hidden="1">
      <c r="B330" s="144">
        <f t="shared" si="5"/>
        <v>327</v>
      </c>
      <c r="C330" s="148" t="s">
        <v>3732</v>
      </c>
      <c r="D330" s="148"/>
      <c r="E330" s="148"/>
      <c r="F330" s="148"/>
      <c r="G330" s="148"/>
      <c r="H330" s="148"/>
      <c r="I330" s="148"/>
      <c r="J330" s="148"/>
      <c r="K330" s="165" t="s">
        <v>3659</v>
      </c>
      <c r="L330" s="165" t="s">
        <v>3672</v>
      </c>
      <c r="M330" s="165" t="s">
        <v>3677</v>
      </c>
      <c r="N330" s="165" t="s">
        <v>3724</v>
      </c>
      <c r="O330" s="165" t="s">
        <v>906</v>
      </c>
      <c r="P330" s="165" t="s">
        <v>906</v>
      </c>
      <c r="Q330" s="126" t="s">
        <v>907</v>
      </c>
      <c r="R330" s="40" t="s">
        <v>908</v>
      </c>
      <c r="S330" s="40" t="s">
        <v>909</v>
      </c>
      <c r="T330" s="40" t="s">
        <v>284</v>
      </c>
      <c r="U330" s="41" t="s">
        <v>139</v>
      </c>
      <c r="V330" s="41" t="s">
        <v>139</v>
      </c>
      <c r="W330" s="41" t="s">
        <v>139</v>
      </c>
      <c r="X330" s="41" t="s">
        <v>910</v>
      </c>
      <c r="Y330" s="41" t="s">
        <v>139</v>
      </c>
      <c r="Z330" s="74" t="s">
        <v>139</v>
      </c>
      <c r="AA330" s="41" t="s">
        <v>139</v>
      </c>
      <c r="AB330" s="41" t="s">
        <v>139</v>
      </c>
      <c r="AC330" s="41" t="s">
        <v>899</v>
      </c>
      <c r="AD330" s="41" t="s">
        <v>139</v>
      </c>
      <c r="AE330" s="44"/>
      <c r="AF330" s="45"/>
      <c r="AG330" s="45"/>
      <c r="AH330" s="46"/>
      <c r="AI330" s="45"/>
      <c r="AJ330" s="45"/>
      <c r="AK330" s="45"/>
      <c r="AL330" s="3" t="s">
        <v>1582</v>
      </c>
    </row>
    <row r="331" spans="2:38" ht="67.5" hidden="1">
      <c r="B331" s="144">
        <f t="shared" si="5"/>
        <v>328</v>
      </c>
      <c r="C331" s="148" t="s">
        <v>3732</v>
      </c>
      <c r="D331" s="148"/>
      <c r="E331" s="148"/>
      <c r="F331" s="148"/>
      <c r="G331" s="148"/>
      <c r="H331" s="148"/>
      <c r="I331" s="148"/>
      <c r="J331" s="148"/>
      <c r="K331" s="165" t="s">
        <v>3659</v>
      </c>
      <c r="L331" s="165" t="s">
        <v>3672</v>
      </c>
      <c r="M331" s="165" t="s">
        <v>3677</v>
      </c>
      <c r="N331" s="165" t="s">
        <v>3724</v>
      </c>
      <c r="O331" s="165" t="s">
        <v>820</v>
      </c>
      <c r="P331" s="165" t="s">
        <v>820</v>
      </c>
      <c r="Q331" s="126" t="s">
        <v>821</v>
      </c>
      <c r="R331" s="40" t="s">
        <v>2708</v>
      </c>
      <c r="S331" s="40"/>
      <c r="T331" s="40" t="s">
        <v>822</v>
      </c>
      <c r="U331" s="41" t="s">
        <v>139</v>
      </c>
      <c r="V331" s="41" t="s">
        <v>139</v>
      </c>
      <c r="W331" s="41" t="s">
        <v>139</v>
      </c>
      <c r="X331" s="41" t="s">
        <v>2465</v>
      </c>
      <c r="Y331" s="41" t="s">
        <v>139</v>
      </c>
      <c r="Z331" s="74" t="s">
        <v>139</v>
      </c>
      <c r="AA331" s="41" t="s">
        <v>139</v>
      </c>
      <c r="AB331" s="41" t="s">
        <v>139</v>
      </c>
      <c r="AC331" s="41" t="s">
        <v>2858</v>
      </c>
      <c r="AD331" s="41" t="s">
        <v>139</v>
      </c>
      <c r="AE331" s="44"/>
      <c r="AF331" s="45"/>
      <c r="AG331" s="45"/>
      <c r="AH331" s="46"/>
      <c r="AI331" s="45"/>
      <c r="AJ331" s="45"/>
      <c r="AK331" s="45"/>
      <c r="AL331" s="3" t="s">
        <v>1582</v>
      </c>
    </row>
    <row r="332" spans="2:38" ht="40.5" hidden="1">
      <c r="B332" s="144">
        <f t="shared" si="5"/>
        <v>329</v>
      </c>
      <c r="C332" s="148" t="s">
        <v>3732</v>
      </c>
      <c r="D332" s="148"/>
      <c r="E332" s="148"/>
      <c r="F332" s="148"/>
      <c r="G332" s="148"/>
      <c r="H332" s="148"/>
      <c r="I332" s="148"/>
      <c r="J332" s="148"/>
      <c r="K332" s="165" t="s">
        <v>3659</v>
      </c>
      <c r="L332" s="165" t="s">
        <v>3672</v>
      </c>
      <c r="M332" s="165" t="s">
        <v>3677</v>
      </c>
      <c r="N332" s="165" t="s">
        <v>3724</v>
      </c>
      <c r="O332" s="165" t="s">
        <v>823</v>
      </c>
      <c r="P332" s="165" t="s">
        <v>823</v>
      </c>
      <c r="Q332" s="126" t="s">
        <v>139</v>
      </c>
      <c r="R332" s="40" t="s">
        <v>2668</v>
      </c>
      <c r="S332" s="40" t="s">
        <v>2682</v>
      </c>
      <c r="T332" s="40" t="s">
        <v>161</v>
      </c>
      <c r="U332" s="41" t="s">
        <v>139</v>
      </c>
      <c r="V332" s="41" t="s">
        <v>139</v>
      </c>
      <c r="W332" s="41" t="s">
        <v>139</v>
      </c>
      <c r="X332" s="41" t="s">
        <v>824</v>
      </c>
      <c r="Y332" s="41" t="s">
        <v>139</v>
      </c>
      <c r="Z332" s="74" t="s">
        <v>139</v>
      </c>
      <c r="AA332" s="41" t="s">
        <v>139</v>
      </c>
      <c r="AB332" s="41" t="s">
        <v>139</v>
      </c>
      <c r="AC332" s="41" t="s">
        <v>825</v>
      </c>
      <c r="AD332" s="41" t="s">
        <v>139</v>
      </c>
      <c r="AE332" s="44"/>
      <c r="AF332" s="45"/>
      <c r="AG332" s="45"/>
      <c r="AH332" s="46"/>
      <c r="AI332" s="45"/>
      <c r="AJ332" s="45"/>
      <c r="AK332" s="45"/>
      <c r="AL332" s="3" t="s">
        <v>1582</v>
      </c>
    </row>
    <row r="333" spans="2:38" ht="40.5" hidden="1">
      <c r="B333" s="144">
        <f t="shared" si="5"/>
        <v>330</v>
      </c>
      <c r="C333" s="148" t="s">
        <v>3732</v>
      </c>
      <c r="D333" s="148"/>
      <c r="E333" s="148"/>
      <c r="F333" s="148"/>
      <c r="G333" s="148"/>
      <c r="H333" s="148"/>
      <c r="I333" s="148"/>
      <c r="J333" s="148"/>
      <c r="K333" s="165" t="s">
        <v>3659</v>
      </c>
      <c r="L333" s="165" t="s">
        <v>3672</v>
      </c>
      <c r="M333" s="165" t="s">
        <v>3677</v>
      </c>
      <c r="N333" s="165" t="s">
        <v>3724</v>
      </c>
      <c r="O333" s="165" t="s">
        <v>834</v>
      </c>
      <c r="P333" s="165" t="s">
        <v>834</v>
      </c>
      <c r="Q333" s="126" t="s">
        <v>139</v>
      </c>
      <c r="R333" s="40" t="s">
        <v>2671</v>
      </c>
      <c r="S333" s="40"/>
      <c r="T333" s="40" t="s">
        <v>822</v>
      </c>
      <c r="U333" s="41" t="s">
        <v>139</v>
      </c>
      <c r="V333" s="41" t="s">
        <v>139</v>
      </c>
      <c r="W333" s="41" t="s">
        <v>139</v>
      </c>
      <c r="X333" s="41" t="s">
        <v>824</v>
      </c>
      <c r="Y333" s="41" t="s">
        <v>139</v>
      </c>
      <c r="Z333" s="74" t="s">
        <v>139</v>
      </c>
      <c r="AA333" s="41" t="s">
        <v>139</v>
      </c>
      <c r="AB333" s="41" t="s">
        <v>139</v>
      </c>
      <c r="AC333" s="41" t="s">
        <v>830</v>
      </c>
      <c r="AD333" s="41" t="s">
        <v>139</v>
      </c>
      <c r="AE333" s="44"/>
      <c r="AF333" s="45"/>
      <c r="AG333" s="45"/>
      <c r="AH333" s="46"/>
      <c r="AI333" s="45"/>
      <c r="AJ333" s="45"/>
      <c r="AK333" s="45"/>
      <c r="AL333" s="3" t="s">
        <v>1582</v>
      </c>
    </row>
    <row r="334" spans="2:38" ht="40.5" hidden="1">
      <c r="B334" s="144">
        <f t="shared" si="5"/>
        <v>331</v>
      </c>
      <c r="C334" s="148" t="s">
        <v>3732</v>
      </c>
      <c r="D334" s="148"/>
      <c r="E334" s="148"/>
      <c r="F334" s="148"/>
      <c r="G334" s="148"/>
      <c r="H334" s="148"/>
      <c r="I334" s="148"/>
      <c r="J334" s="148"/>
      <c r="K334" s="165" t="s">
        <v>3659</v>
      </c>
      <c r="L334" s="165" t="s">
        <v>3672</v>
      </c>
      <c r="M334" s="165" t="s">
        <v>3677</v>
      </c>
      <c r="N334" s="165" t="s">
        <v>3724</v>
      </c>
      <c r="O334" s="165" t="s">
        <v>3491</v>
      </c>
      <c r="P334" s="165" t="s">
        <v>2686</v>
      </c>
      <c r="Q334" s="126" t="s">
        <v>1637</v>
      </c>
      <c r="R334" s="40" t="s">
        <v>2683</v>
      </c>
      <c r="S334" s="40" t="s">
        <v>2684</v>
      </c>
      <c r="T334" s="40" t="s">
        <v>2093</v>
      </c>
      <c r="U334" s="41" t="s">
        <v>139</v>
      </c>
      <c r="V334" s="41" t="s">
        <v>139</v>
      </c>
      <c r="W334" s="41" t="s">
        <v>139</v>
      </c>
      <c r="X334" s="41" t="s">
        <v>824</v>
      </c>
      <c r="Y334" s="41" t="s">
        <v>139</v>
      </c>
      <c r="Z334" s="74" t="s">
        <v>139</v>
      </c>
      <c r="AA334" s="41" t="s">
        <v>139</v>
      </c>
      <c r="AB334" s="41" t="s">
        <v>139</v>
      </c>
      <c r="AC334" s="41" t="s">
        <v>2685</v>
      </c>
      <c r="AD334" s="41" t="s">
        <v>139</v>
      </c>
      <c r="AE334" s="44"/>
      <c r="AF334" s="45"/>
      <c r="AG334" s="45"/>
      <c r="AH334" s="46"/>
      <c r="AI334" s="45"/>
      <c r="AJ334" s="45"/>
      <c r="AK334" s="45"/>
      <c r="AL334" s="3" t="s">
        <v>1582</v>
      </c>
    </row>
    <row r="335" spans="2:38" ht="40.5" hidden="1">
      <c r="B335" s="144">
        <f t="shared" si="5"/>
        <v>332</v>
      </c>
      <c r="C335" s="148" t="s">
        <v>3732</v>
      </c>
      <c r="D335" s="148"/>
      <c r="E335" s="148"/>
      <c r="F335" s="148"/>
      <c r="G335" s="148"/>
      <c r="H335" s="148"/>
      <c r="I335" s="148"/>
      <c r="J335" s="148"/>
      <c r="K335" s="165" t="s">
        <v>3659</v>
      </c>
      <c r="L335" s="165" t="s">
        <v>3672</v>
      </c>
      <c r="M335" s="165" t="s">
        <v>3677</v>
      </c>
      <c r="N335" s="65" t="s">
        <v>3724</v>
      </c>
      <c r="O335" s="65" t="s">
        <v>297</v>
      </c>
      <c r="P335" s="65" t="s">
        <v>297</v>
      </c>
      <c r="Q335" s="54" t="s">
        <v>1684</v>
      </c>
      <c r="R335" s="70" t="s">
        <v>298</v>
      </c>
      <c r="S335" s="70" t="s">
        <v>299</v>
      </c>
      <c r="T335" s="41" t="s">
        <v>2097</v>
      </c>
      <c r="U335" s="41" t="s">
        <v>300</v>
      </c>
      <c r="V335" s="41" t="s">
        <v>139</v>
      </c>
      <c r="W335" s="41" t="s">
        <v>139</v>
      </c>
      <c r="X335" s="41" t="s">
        <v>139</v>
      </c>
      <c r="Y335" s="41" t="s">
        <v>301</v>
      </c>
      <c r="Z335" s="73" t="s">
        <v>218</v>
      </c>
      <c r="AA335" s="54" t="s">
        <v>139</v>
      </c>
      <c r="AB335" s="54" t="s">
        <v>139</v>
      </c>
      <c r="AC335" s="54" t="s">
        <v>139</v>
      </c>
      <c r="AD335" s="54" t="s">
        <v>302</v>
      </c>
      <c r="AE335" s="55"/>
      <c r="AF335" s="56"/>
      <c r="AG335" s="56"/>
      <c r="AH335" s="57"/>
      <c r="AI335" s="56"/>
      <c r="AJ335" s="56"/>
      <c r="AK335" s="56"/>
      <c r="AL335" s="3" t="s">
        <v>1582</v>
      </c>
    </row>
    <row r="336" spans="2:38" ht="54" hidden="1">
      <c r="B336" s="144">
        <f t="shared" si="5"/>
        <v>333</v>
      </c>
      <c r="C336" s="148" t="s">
        <v>3732</v>
      </c>
      <c r="D336" s="148"/>
      <c r="E336" s="148"/>
      <c r="F336" s="148"/>
      <c r="G336" s="148"/>
      <c r="H336" s="148"/>
      <c r="I336" s="148"/>
      <c r="J336" s="148"/>
      <c r="K336" s="165" t="s">
        <v>3659</v>
      </c>
      <c r="L336" s="165" t="s">
        <v>3672</v>
      </c>
      <c r="M336" s="165" t="s">
        <v>3677</v>
      </c>
      <c r="N336" s="165" t="s">
        <v>3724</v>
      </c>
      <c r="O336" s="165" t="s">
        <v>1118</v>
      </c>
      <c r="P336" s="165" t="s">
        <v>1118</v>
      </c>
      <c r="Q336" s="126" t="s">
        <v>1119</v>
      </c>
      <c r="R336" s="40" t="s">
        <v>1617</v>
      </c>
      <c r="S336" s="40" t="s">
        <v>1618</v>
      </c>
      <c r="T336" s="40" t="s">
        <v>161</v>
      </c>
      <c r="U336" s="41" t="s">
        <v>139</v>
      </c>
      <c r="V336" s="41" t="s">
        <v>139</v>
      </c>
      <c r="W336" s="41" t="s">
        <v>1120</v>
      </c>
      <c r="X336" s="41" t="s">
        <v>139</v>
      </c>
      <c r="Y336" s="41" t="s">
        <v>139</v>
      </c>
      <c r="Z336" s="74" t="s">
        <v>139</v>
      </c>
      <c r="AA336" s="41" t="s">
        <v>139</v>
      </c>
      <c r="AB336" s="41" t="s">
        <v>1613</v>
      </c>
      <c r="AC336" s="41" t="s">
        <v>139</v>
      </c>
      <c r="AD336" s="41" t="s">
        <v>139</v>
      </c>
      <c r="AE336" s="44"/>
      <c r="AF336" s="45"/>
      <c r="AG336" s="45"/>
      <c r="AH336" s="46"/>
      <c r="AI336" s="45"/>
      <c r="AJ336" s="45"/>
      <c r="AK336" s="45"/>
      <c r="AL336" s="3" t="s">
        <v>1582</v>
      </c>
    </row>
    <row r="337" spans="1:38" ht="67.5">
      <c r="B337" s="144">
        <f t="shared" si="5"/>
        <v>334</v>
      </c>
      <c r="C337" s="148" t="s">
        <v>3731</v>
      </c>
      <c r="D337" s="148"/>
      <c r="E337" s="148"/>
      <c r="F337" s="148"/>
      <c r="G337" s="148"/>
      <c r="H337" s="148"/>
      <c r="I337" s="148"/>
      <c r="J337" s="148"/>
      <c r="K337" s="165" t="s">
        <v>3659</v>
      </c>
      <c r="L337" s="165" t="s">
        <v>3672</v>
      </c>
      <c r="M337" s="165" t="s">
        <v>3683</v>
      </c>
      <c r="N337" s="165" t="s">
        <v>3694</v>
      </c>
      <c r="O337" s="165" t="s">
        <v>3527</v>
      </c>
      <c r="P337" s="165" t="s">
        <v>3253</v>
      </c>
      <c r="Q337" s="126" t="s">
        <v>3252</v>
      </c>
      <c r="R337" s="40" t="s">
        <v>1593</v>
      </c>
      <c r="S337" s="40" t="s">
        <v>762</v>
      </c>
      <c r="T337" s="40" t="s">
        <v>192</v>
      </c>
      <c r="U337" s="41" t="s">
        <v>139</v>
      </c>
      <c r="V337" s="41" t="s">
        <v>763</v>
      </c>
      <c r="W337" s="41" t="s">
        <v>139</v>
      </c>
      <c r="X337" s="41" t="s">
        <v>139</v>
      </c>
      <c r="Y337" s="41" t="s">
        <v>764</v>
      </c>
      <c r="Z337" s="74" t="s">
        <v>139</v>
      </c>
      <c r="AA337" s="41" t="s">
        <v>2730</v>
      </c>
      <c r="AB337" s="41" t="s">
        <v>139</v>
      </c>
      <c r="AC337" s="41" t="s">
        <v>139</v>
      </c>
      <c r="AD337" s="41" t="s">
        <v>157</v>
      </c>
      <c r="AE337" s="44"/>
      <c r="AF337" s="195" t="s">
        <v>3992</v>
      </c>
      <c r="AG337" s="45"/>
      <c r="AH337" s="189">
        <v>1</v>
      </c>
      <c r="AI337" s="45"/>
      <c r="AJ337" s="45" t="s">
        <v>3775</v>
      </c>
      <c r="AK337" s="45"/>
      <c r="AL337" s="3" t="s">
        <v>1582</v>
      </c>
    </row>
    <row r="338" spans="1:38" ht="67.5">
      <c r="B338" s="144">
        <f t="shared" si="5"/>
        <v>335</v>
      </c>
      <c r="C338" s="148" t="s">
        <v>3731</v>
      </c>
      <c r="D338" s="148"/>
      <c r="E338" s="148"/>
      <c r="F338" s="148"/>
      <c r="G338" s="148"/>
      <c r="H338" s="148"/>
      <c r="I338" s="148"/>
      <c r="J338" s="148"/>
      <c r="K338" s="165" t="s">
        <v>3659</v>
      </c>
      <c r="L338" s="165" t="s">
        <v>3672</v>
      </c>
      <c r="M338" s="165" t="s">
        <v>3683</v>
      </c>
      <c r="N338" s="165" t="s">
        <v>3696</v>
      </c>
      <c r="O338" s="165" t="s">
        <v>1380</v>
      </c>
      <c r="P338" s="165" t="s">
        <v>1380</v>
      </c>
      <c r="Q338" s="126" t="s">
        <v>139</v>
      </c>
      <c r="R338" s="40" t="s">
        <v>1381</v>
      </c>
      <c r="S338" s="61"/>
      <c r="T338" s="40" t="s">
        <v>1645</v>
      </c>
      <c r="U338" s="41" t="s">
        <v>1382</v>
      </c>
      <c r="V338" s="41" t="s">
        <v>139</v>
      </c>
      <c r="W338" s="41" t="s">
        <v>139</v>
      </c>
      <c r="X338" s="41" t="s">
        <v>139</v>
      </c>
      <c r="Y338" s="41" t="s">
        <v>3119</v>
      </c>
      <c r="Z338" s="74" t="s">
        <v>163</v>
      </c>
      <c r="AA338" s="41" t="s">
        <v>139</v>
      </c>
      <c r="AB338" s="41" t="s">
        <v>139</v>
      </c>
      <c r="AC338" s="41" t="s">
        <v>139</v>
      </c>
      <c r="AD338" s="41" t="s">
        <v>157</v>
      </c>
      <c r="AE338" s="44" t="s">
        <v>1594</v>
      </c>
      <c r="AF338" s="195" t="s">
        <v>3992</v>
      </c>
      <c r="AG338" s="45"/>
      <c r="AH338" s="189">
        <v>1</v>
      </c>
      <c r="AI338" s="45" t="s">
        <v>3777</v>
      </c>
      <c r="AJ338" s="45" t="s">
        <v>3776</v>
      </c>
      <c r="AK338" s="45" t="s">
        <v>1645</v>
      </c>
      <c r="AL338" s="3" t="s">
        <v>1582</v>
      </c>
    </row>
    <row r="339" spans="1:38" ht="40.5" hidden="1">
      <c r="B339" s="144">
        <f t="shared" si="5"/>
        <v>336</v>
      </c>
      <c r="C339" s="148" t="s">
        <v>3732</v>
      </c>
      <c r="D339" s="148"/>
      <c r="E339" s="148"/>
      <c r="F339" s="148"/>
      <c r="G339" s="148"/>
      <c r="H339" s="148"/>
      <c r="I339" s="148"/>
      <c r="J339" s="148"/>
      <c r="K339" s="165" t="s">
        <v>3659</v>
      </c>
      <c r="L339" s="165" t="s">
        <v>3672</v>
      </c>
      <c r="M339" s="65" t="s">
        <v>3683</v>
      </c>
      <c r="N339" s="65" t="s">
        <v>3697</v>
      </c>
      <c r="O339" s="65" t="s">
        <v>128</v>
      </c>
      <c r="P339" s="65" t="s">
        <v>128</v>
      </c>
      <c r="Q339" s="54" t="s">
        <v>129</v>
      </c>
      <c r="R339" s="41" t="s">
        <v>130</v>
      </c>
      <c r="S339" s="41" t="s">
        <v>131</v>
      </c>
      <c r="T339" s="41" t="s">
        <v>192</v>
      </c>
      <c r="U339" s="41" t="s">
        <v>132</v>
      </c>
      <c r="V339" s="41" t="s">
        <v>139</v>
      </c>
      <c r="W339" s="41" t="s">
        <v>139</v>
      </c>
      <c r="X339" s="41" t="s">
        <v>139</v>
      </c>
      <c r="Y339" s="41" t="s">
        <v>139</v>
      </c>
      <c r="Z339" s="73" t="s">
        <v>133</v>
      </c>
      <c r="AA339" s="54" t="s">
        <v>139</v>
      </c>
      <c r="AB339" s="54" t="s">
        <v>139</v>
      </c>
      <c r="AC339" s="54" t="s">
        <v>139</v>
      </c>
      <c r="AD339" s="54" t="s">
        <v>139</v>
      </c>
      <c r="AE339" s="55"/>
      <c r="AF339" s="56"/>
      <c r="AG339" s="56"/>
      <c r="AH339" s="57"/>
      <c r="AI339" s="56"/>
      <c r="AJ339" s="56"/>
      <c r="AK339" s="56"/>
      <c r="AL339" s="3" t="s">
        <v>1582</v>
      </c>
    </row>
    <row r="340" spans="1:38" ht="40.5" hidden="1">
      <c r="B340" s="144">
        <f t="shared" si="5"/>
        <v>337</v>
      </c>
      <c r="C340" s="148" t="s">
        <v>3732</v>
      </c>
      <c r="D340" s="148"/>
      <c r="E340" s="148"/>
      <c r="F340" s="148"/>
      <c r="G340" s="148"/>
      <c r="H340" s="148"/>
      <c r="I340" s="148"/>
      <c r="J340" s="148"/>
      <c r="K340" s="165" t="s">
        <v>3659</v>
      </c>
      <c r="L340" s="165" t="s">
        <v>3672</v>
      </c>
      <c r="M340" s="165" t="s">
        <v>3683</v>
      </c>
      <c r="N340" s="165" t="s">
        <v>3697</v>
      </c>
      <c r="O340" s="165" t="s">
        <v>1387</v>
      </c>
      <c r="P340" s="165" t="s">
        <v>1387</v>
      </c>
      <c r="Q340" s="126" t="s">
        <v>1388</v>
      </c>
      <c r="R340" s="40" t="s">
        <v>1389</v>
      </c>
      <c r="S340" s="62" t="s">
        <v>1390</v>
      </c>
      <c r="T340" s="40" t="s">
        <v>1391</v>
      </c>
      <c r="U340" s="41" t="s">
        <v>139</v>
      </c>
      <c r="V340" s="41" t="s">
        <v>139</v>
      </c>
      <c r="W340" s="41" t="s">
        <v>139</v>
      </c>
      <c r="X340" s="41" t="s">
        <v>139</v>
      </c>
      <c r="Y340" s="41" t="s">
        <v>1688</v>
      </c>
      <c r="Z340" s="74" t="s">
        <v>139</v>
      </c>
      <c r="AA340" s="41" t="s">
        <v>139</v>
      </c>
      <c r="AB340" s="41" t="s">
        <v>139</v>
      </c>
      <c r="AC340" s="41" t="s">
        <v>139</v>
      </c>
      <c r="AD340" s="41" t="s">
        <v>1392</v>
      </c>
      <c r="AE340" s="44"/>
      <c r="AF340" s="45"/>
      <c r="AG340" s="45"/>
      <c r="AH340" s="46"/>
      <c r="AI340" s="45"/>
      <c r="AJ340" s="45"/>
      <c r="AK340" s="45"/>
      <c r="AL340" s="3" t="s">
        <v>1582</v>
      </c>
    </row>
    <row r="341" spans="1:38" ht="40.5" hidden="1">
      <c r="B341" s="144">
        <f t="shared" si="5"/>
        <v>338</v>
      </c>
      <c r="C341" s="148" t="s">
        <v>3732</v>
      </c>
      <c r="D341" s="148"/>
      <c r="E341" s="148"/>
      <c r="F341" s="148"/>
      <c r="G341" s="148"/>
      <c r="H341" s="148"/>
      <c r="I341" s="148"/>
      <c r="J341" s="148"/>
      <c r="K341" s="165" t="s">
        <v>3659</v>
      </c>
      <c r="L341" s="165" t="s">
        <v>3672</v>
      </c>
      <c r="M341" s="165" t="s">
        <v>3683</v>
      </c>
      <c r="N341" s="165" t="s">
        <v>3697</v>
      </c>
      <c r="O341" s="165" t="s">
        <v>3506</v>
      </c>
      <c r="P341" s="165" t="s">
        <v>3016</v>
      </c>
      <c r="Q341" s="126" t="s">
        <v>139</v>
      </c>
      <c r="R341" s="40" t="s">
        <v>1601</v>
      </c>
      <c r="S341" s="61"/>
      <c r="T341" s="40" t="s">
        <v>192</v>
      </c>
      <c r="U341" s="41" t="s">
        <v>139</v>
      </c>
      <c r="V341" s="41" t="s">
        <v>139</v>
      </c>
      <c r="W341" s="41" t="s">
        <v>139</v>
      </c>
      <c r="X341" s="41" t="s">
        <v>139</v>
      </c>
      <c r="Y341" s="41" t="s">
        <v>1028</v>
      </c>
      <c r="Z341" s="74" t="s">
        <v>139</v>
      </c>
      <c r="AA341" s="41" t="s">
        <v>139</v>
      </c>
      <c r="AB341" s="41" t="s">
        <v>139</v>
      </c>
      <c r="AC341" s="41" t="s">
        <v>139</v>
      </c>
      <c r="AD341" s="41" t="s">
        <v>1017</v>
      </c>
      <c r="AE341" s="44"/>
      <c r="AF341" s="45"/>
      <c r="AG341" s="45"/>
      <c r="AH341" s="46"/>
      <c r="AI341" s="45"/>
      <c r="AJ341" s="45"/>
      <c r="AK341" s="45"/>
      <c r="AL341" s="3" t="s">
        <v>1582</v>
      </c>
    </row>
    <row r="342" spans="1:38" ht="40.5">
      <c r="B342" s="144">
        <f t="shared" si="5"/>
        <v>339</v>
      </c>
      <c r="C342" s="148" t="s">
        <v>3731</v>
      </c>
      <c r="D342" s="148"/>
      <c r="E342" s="148"/>
      <c r="F342" s="148"/>
      <c r="G342" s="148"/>
      <c r="H342" s="148"/>
      <c r="I342" s="148"/>
      <c r="J342" s="148"/>
      <c r="K342" s="165" t="s">
        <v>3659</v>
      </c>
      <c r="L342" s="65" t="s">
        <v>3672</v>
      </c>
      <c r="M342" s="65" t="s">
        <v>3683</v>
      </c>
      <c r="N342" s="65" t="s">
        <v>3697</v>
      </c>
      <c r="O342" s="65" t="s">
        <v>184</v>
      </c>
      <c r="P342" s="65" t="s">
        <v>184</v>
      </c>
      <c r="Q342" s="54" t="s">
        <v>185</v>
      </c>
      <c r="R342" s="41" t="s">
        <v>186</v>
      </c>
      <c r="S342" s="41" t="s">
        <v>187</v>
      </c>
      <c r="T342" s="41" t="s">
        <v>266</v>
      </c>
      <c r="U342" s="41" t="s">
        <v>183</v>
      </c>
      <c r="V342" s="41" t="s">
        <v>139</v>
      </c>
      <c r="W342" s="41" t="s">
        <v>139</v>
      </c>
      <c r="X342" s="41" t="s">
        <v>139</v>
      </c>
      <c r="Y342" s="41" t="s">
        <v>139</v>
      </c>
      <c r="Z342" s="73" t="s">
        <v>114</v>
      </c>
      <c r="AA342" s="54" t="s">
        <v>139</v>
      </c>
      <c r="AB342" s="54" t="s">
        <v>139</v>
      </c>
      <c r="AC342" s="54" t="s">
        <v>139</v>
      </c>
      <c r="AD342" s="54" t="s">
        <v>139</v>
      </c>
      <c r="AE342" s="55"/>
      <c r="AF342" s="195"/>
      <c r="AG342" s="56"/>
      <c r="AH342" s="188"/>
      <c r="AI342" s="56"/>
      <c r="AJ342" s="56"/>
      <c r="AK342" s="56"/>
      <c r="AL342" s="3" t="s">
        <v>1582</v>
      </c>
    </row>
    <row r="343" spans="1:38" ht="40.5" hidden="1">
      <c r="B343" s="144">
        <f t="shared" si="5"/>
        <v>340</v>
      </c>
      <c r="C343" s="148" t="s">
        <v>3732</v>
      </c>
      <c r="D343" s="148"/>
      <c r="E343" s="148"/>
      <c r="F343" s="148"/>
      <c r="G343" s="148"/>
      <c r="H343" s="148"/>
      <c r="I343" s="148"/>
      <c r="J343" s="148"/>
      <c r="K343" s="165" t="s">
        <v>3659</v>
      </c>
      <c r="L343" s="65" t="s">
        <v>3672</v>
      </c>
      <c r="M343" s="65" t="s">
        <v>3683</v>
      </c>
      <c r="N343" s="65" t="s">
        <v>3697</v>
      </c>
      <c r="O343" s="65" t="s">
        <v>332</v>
      </c>
      <c r="P343" s="65" t="s">
        <v>332</v>
      </c>
      <c r="Q343" s="54" t="s">
        <v>139</v>
      </c>
      <c r="R343" s="41" t="s">
        <v>333</v>
      </c>
      <c r="S343" s="41" t="s">
        <v>334</v>
      </c>
      <c r="T343" s="41" t="s">
        <v>1140</v>
      </c>
      <c r="U343" s="41" t="s">
        <v>328</v>
      </c>
      <c r="V343" s="41" t="s">
        <v>139</v>
      </c>
      <c r="W343" s="41" t="s">
        <v>139</v>
      </c>
      <c r="X343" s="41" t="s">
        <v>139</v>
      </c>
      <c r="Y343" s="41" t="s">
        <v>139</v>
      </c>
      <c r="Z343" s="73" t="s">
        <v>117</v>
      </c>
      <c r="AA343" s="54" t="s">
        <v>139</v>
      </c>
      <c r="AB343" s="54" t="s">
        <v>139</v>
      </c>
      <c r="AC343" s="54" t="s">
        <v>139</v>
      </c>
      <c r="AD343" s="54" t="s">
        <v>139</v>
      </c>
      <c r="AE343" s="55"/>
      <c r="AF343" s="56"/>
      <c r="AG343" s="56"/>
      <c r="AH343" s="57"/>
      <c r="AI343" s="56"/>
      <c r="AJ343" s="56"/>
      <c r="AK343" s="56"/>
      <c r="AL343" s="3" t="s">
        <v>1582</v>
      </c>
    </row>
    <row r="344" spans="1:38" ht="40.5">
      <c r="B344" s="144">
        <f t="shared" si="5"/>
        <v>341</v>
      </c>
      <c r="C344" s="148" t="s">
        <v>3731</v>
      </c>
      <c r="D344" s="148"/>
      <c r="E344" s="148"/>
      <c r="F344" s="148"/>
      <c r="G344" s="148"/>
      <c r="H344" s="148"/>
      <c r="I344" s="148"/>
      <c r="J344" s="148"/>
      <c r="K344" s="165" t="s">
        <v>3659</v>
      </c>
      <c r="L344" s="65" t="s">
        <v>3672</v>
      </c>
      <c r="M344" s="65" t="s">
        <v>3683</v>
      </c>
      <c r="N344" s="65" t="s">
        <v>3697</v>
      </c>
      <c r="O344" s="65" t="s">
        <v>303</v>
      </c>
      <c r="P344" s="65" t="s">
        <v>303</v>
      </c>
      <c r="Q344" s="54" t="s">
        <v>139</v>
      </c>
      <c r="R344" s="41" t="s">
        <v>304</v>
      </c>
      <c r="S344" s="41" t="s">
        <v>305</v>
      </c>
      <c r="T344" s="41" t="s">
        <v>192</v>
      </c>
      <c r="U344" s="41" t="s">
        <v>306</v>
      </c>
      <c r="V344" s="41" t="s">
        <v>139</v>
      </c>
      <c r="W344" s="41" t="s">
        <v>139</v>
      </c>
      <c r="X344" s="41" t="s">
        <v>139</v>
      </c>
      <c r="Y344" s="41" t="s">
        <v>139</v>
      </c>
      <c r="Z344" s="73" t="s">
        <v>307</v>
      </c>
      <c r="AA344" s="54" t="s">
        <v>139</v>
      </c>
      <c r="AB344" s="54" t="s">
        <v>139</v>
      </c>
      <c r="AC344" s="54" t="s">
        <v>139</v>
      </c>
      <c r="AD344" s="54" t="s">
        <v>139</v>
      </c>
      <c r="AE344" s="55"/>
      <c r="AF344" s="195"/>
      <c r="AG344" s="56"/>
      <c r="AH344" s="188">
        <v>1</v>
      </c>
      <c r="AI344" s="56" t="s">
        <v>3768</v>
      </c>
      <c r="AJ344" s="56"/>
      <c r="AK344" s="56"/>
      <c r="AL344" s="3" t="s">
        <v>1582</v>
      </c>
    </row>
    <row r="345" spans="1:38" ht="40.5">
      <c r="B345" s="144">
        <f t="shared" si="5"/>
        <v>342</v>
      </c>
      <c r="C345" s="148" t="s">
        <v>3731</v>
      </c>
      <c r="D345" s="148"/>
      <c r="E345" s="148"/>
      <c r="F345" s="148"/>
      <c r="G345" s="148"/>
      <c r="H345" s="148"/>
      <c r="I345" s="148"/>
      <c r="J345" s="148"/>
      <c r="K345" s="165" t="s">
        <v>3659</v>
      </c>
      <c r="L345" s="65" t="s">
        <v>3672</v>
      </c>
      <c r="M345" s="65" t="s">
        <v>3683</v>
      </c>
      <c r="N345" s="65" t="s">
        <v>3697</v>
      </c>
      <c r="O345" s="65" t="s">
        <v>179</v>
      </c>
      <c r="P345" s="65" t="s">
        <v>179</v>
      </c>
      <c r="Q345" s="54" t="s">
        <v>180</v>
      </c>
      <c r="R345" s="41" t="s">
        <v>181</v>
      </c>
      <c r="S345" s="41" t="s">
        <v>182</v>
      </c>
      <c r="T345" s="41" t="s">
        <v>1140</v>
      </c>
      <c r="U345" s="41" t="s">
        <v>183</v>
      </c>
      <c r="V345" s="41" t="s">
        <v>139</v>
      </c>
      <c r="W345" s="41" t="s">
        <v>139</v>
      </c>
      <c r="X345" s="41" t="s">
        <v>139</v>
      </c>
      <c r="Y345" s="41" t="s">
        <v>139</v>
      </c>
      <c r="Z345" s="73" t="s">
        <v>114</v>
      </c>
      <c r="AA345" s="54" t="s">
        <v>139</v>
      </c>
      <c r="AB345" s="54" t="s">
        <v>139</v>
      </c>
      <c r="AC345" s="54" t="s">
        <v>139</v>
      </c>
      <c r="AD345" s="54" t="s">
        <v>139</v>
      </c>
      <c r="AE345" s="55"/>
      <c r="AF345" s="195"/>
      <c r="AG345" s="56"/>
      <c r="AH345" s="188"/>
      <c r="AI345" s="56"/>
      <c r="AJ345" s="56"/>
      <c r="AK345" s="56"/>
      <c r="AL345" s="3" t="s">
        <v>1582</v>
      </c>
    </row>
    <row r="346" spans="1:38" ht="40.5" hidden="1">
      <c r="B346" s="144">
        <f t="shared" si="5"/>
        <v>343</v>
      </c>
      <c r="C346" s="148" t="s">
        <v>3732</v>
      </c>
      <c r="D346" s="148"/>
      <c r="E346" s="148"/>
      <c r="F346" s="148"/>
      <c r="G346" s="148"/>
      <c r="H346" s="148"/>
      <c r="I346" s="148"/>
      <c r="J346" s="148"/>
      <c r="K346" s="165" t="s">
        <v>3659</v>
      </c>
      <c r="L346" s="165" t="s">
        <v>3672</v>
      </c>
      <c r="M346" s="65" t="s">
        <v>3683</v>
      </c>
      <c r="N346" s="65" t="s">
        <v>3695</v>
      </c>
      <c r="O346" s="65" t="s">
        <v>3614</v>
      </c>
      <c r="P346" s="65" t="s">
        <v>1667</v>
      </c>
      <c r="Q346" s="126" t="s">
        <v>139</v>
      </c>
      <c r="R346" s="40" t="s">
        <v>1670</v>
      </c>
      <c r="S346" s="63"/>
      <c r="T346" s="40" t="s">
        <v>1645</v>
      </c>
      <c r="U346" s="41" t="s">
        <v>139</v>
      </c>
      <c r="V346" s="41" t="s">
        <v>139</v>
      </c>
      <c r="W346" s="41" t="s">
        <v>139</v>
      </c>
      <c r="X346" s="41" t="s">
        <v>139</v>
      </c>
      <c r="Y346" s="41" t="s">
        <v>302</v>
      </c>
      <c r="Z346" s="74" t="s">
        <v>139</v>
      </c>
      <c r="AA346" s="41" t="s">
        <v>139</v>
      </c>
      <c r="AB346" s="41" t="s">
        <v>139</v>
      </c>
      <c r="AC346" s="41" t="s">
        <v>139</v>
      </c>
      <c r="AD346" s="41" t="s">
        <v>302</v>
      </c>
      <c r="AE346" s="44" t="s">
        <v>1668</v>
      </c>
      <c r="AF346" s="45"/>
      <c r="AG346" s="45"/>
      <c r="AH346" s="46"/>
      <c r="AI346" s="45"/>
      <c r="AJ346" s="45"/>
      <c r="AK346" s="45"/>
      <c r="AL346" s="3" t="s">
        <v>1582</v>
      </c>
    </row>
    <row r="347" spans="1:38" ht="40.5" hidden="1">
      <c r="B347" s="144">
        <f t="shared" si="5"/>
        <v>344</v>
      </c>
      <c r="C347" s="148" t="s">
        <v>3732</v>
      </c>
      <c r="D347" s="148"/>
      <c r="E347" s="148"/>
      <c r="F347" s="148"/>
      <c r="G347" s="148"/>
      <c r="H347" s="148"/>
      <c r="I347" s="148"/>
      <c r="J347" s="148"/>
      <c r="K347" s="165" t="s">
        <v>3659</v>
      </c>
      <c r="L347" s="165" t="s">
        <v>3672</v>
      </c>
      <c r="M347" s="65" t="s">
        <v>3683</v>
      </c>
      <c r="N347" s="65" t="s">
        <v>3695</v>
      </c>
      <c r="O347" s="65" t="s">
        <v>3358</v>
      </c>
      <c r="P347" s="65" t="s">
        <v>1669</v>
      </c>
      <c r="Q347" s="126" t="s">
        <v>139</v>
      </c>
      <c r="R347" s="40" t="s">
        <v>1671</v>
      </c>
      <c r="S347" s="63"/>
      <c r="T347" s="40" t="s">
        <v>1645</v>
      </c>
      <c r="U347" s="41" t="s">
        <v>139</v>
      </c>
      <c r="V347" s="41" t="s">
        <v>139</v>
      </c>
      <c r="W347" s="41" t="s">
        <v>139</v>
      </c>
      <c r="X347" s="41" t="s">
        <v>139</v>
      </c>
      <c r="Y347" s="41" t="s">
        <v>302</v>
      </c>
      <c r="Z347" s="74" t="s">
        <v>139</v>
      </c>
      <c r="AA347" s="41" t="s">
        <v>139</v>
      </c>
      <c r="AB347" s="41" t="s">
        <v>139</v>
      </c>
      <c r="AC347" s="41" t="s">
        <v>139</v>
      </c>
      <c r="AD347" s="41" t="s">
        <v>302</v>
      </c>
      <c r="AE347" s="44" t="s">
        <v>1668</v>
      </c>
      <c r="AF347" s="45"/>
      <c r="AG347" s="45"/>
      <c r="AH347" s="46"/>
      <c r="AI347" s="45"/>
      <c r="AJ347" s="45"/>
      <c r="AK347" s="45"/>
      <c r="AL347" s="3" t="s">
        <v>1582</v>
      </c>
    </row>
    <row r="348" spans="1:38" ht="40.5" hidden="1">
      <c r="B348" s="144">
        <f t="shared" si="5"/>
        <v>345</v>
      </c>
      <c r="C348" s="148" t="s">
        <v>3732</v>
      </c>
      <c r="D348" s="148"/>
      <c r="E348" s="148"/>
      <c r="F348" s="148"/>
      <c r="G348" s="148"/>
      <c r="H348" s="148"/>
      <c r="I348" s="148"/>
      <c r="J348" s="148"/>
      <c r="K348" s="165" t="s">
        <v>3659</v>
      </c>
      <c r="L348" s="165" t="s">
        <v>3672</v>
      </c>
      <c r="M348" s="165" t="s">
        <v>3683</v>
      </c>
      <c r="N348" s="65" t="s">
        <v>3698</v>
      </c>
      <c r="O348" s="65" t="s">
        <v>3503</v>
      </c>
      <c r="P348" s="65" t="s">
        <v>2087</v>
      </c>
      <c r="Q348" s="54" t="s">
        <v>1637</v>
      </c>
      <c r="R348" s="70" t="s">
        <v>3221</v>
      </c>
      <c r="S348" s="72"/>
      <c r="T348" s="72"/>
      <c r="U348" s="41" t="s">
        <v>139</v>
      </c>
      <c r="V348" s="41" t="s">
        <v>139</v>
      </c>
      <c r="W348" s="41" t="s">
        <v>139</v>
      </c>
      <c r="X348" s="41" t="s">
        <v>139</v>
      </c>
      <c r="Y348" s="41" t="s">
        <v>139</v>
      </c>
      <c r="Z348" s="74" t="s">
        <v>139</v>
      </c>
      <c r="AA348" s="41" t="s">
        <v>139</v>
      </c>
      <c r="AB348" s="41" t="s">
        <v>139</v>
      </c>
      <c r="AC348" s="41" t="s">
        <v>139</v>
      </c>
      <c r="AD348" s="41" t="s">
        <v>139</v>
      </c>
      <c r="AE348" s="44"/>
      <c r="AF348" s="45"/>
      <c r="AG348" s="45"/>
      <c r="AH348" s="46"/>
      <c r="AI348" s="45"/>
      <c r="AJ348" s="45"/>
      <c r="AK348" s="45"/>
      <c r="AL348" s="3" t="s">
        <v>1582</v>
      </c>
    </row>
    <row r="349" spans="1:38" ht="40.5" hidden="1">
      <c r="B349" s="144">
        <f t="shared" si="5"/>
        <v>346</v>
      </c>
      <c r="C349" s="148" t="s">
        <v>3732</v>
      </c>
      <c r="D349" s="148"/>
      <c r="E349" s="148"/>
      <c r="F349" s="148"/>
      <c r="G349" s="148"/>
      <c r="H349" s="148"/>
      <c r="I349" s="148"/>
      <c r="J349" s="148"/>
      <c r="K349" s="165" t="s">
        <v>3659</v>
      </c>
      <c r="L349" s="165" t="s">
        <v>3672</v>
      </c>
      <c r="M349" s="165" t="s">
        <v>3683</v>
      </c>
      <c r="N349" s="165" t="s">
        <v>3698</v>
      </c>
      <c r="O349" s="165" t="s">
        <v>3504</v>
      </c>
      <c r="P349" s="165" t="s">
        <v>2088</v>
      </c>
      <c r="Q349" s="126" t="s">
        <v>2092</v>
      </c>
      <c r="R349" s="40" t="s">
        <v>1042</v>
      </c>
      <c r="S349" s="40" t="s">
        <v>1043</v>
      </c>
      <c r="T349" s="40" t="s">
        <v>1044</v>
      </c>
      <c r="U349" s="41" t="s">
        <v>139</v>
      </c>
      <c r="V349" s="41" t="s">
        <v>139</v>
      </c>
      <c r="W349" s="41" t="s">
        <v>139</v>
      </c>
      <c r="X349" s="41" t="s">
        <v>139</v>
      </c>
      <c r="Y349" s="41" t="s">
        <v>1045</v>
      </c>
      <c r="Z349" s="74" t="s">
        <v>139</v>
      </c>
      <c r="AA349" s="41" t="s">
        <v>139</v>
      </c>
      <c r="AB349" s="41" t="s">
        <v>139</v>
      </c>
      <c r="AC349" s="41" t="s">
        <v>139</v>
      </c>
      <c r="AD349" s="41" t="s">
        <v>614</v>
      </c>
      <c r="AE349" s="44"/>
      <c r="AF349" s="45"/>
      <c r="AG349" s="45"/>
      <c r="AH349" s="46"/>
      <c r="AI349" s="45"/>
      <c r="AJ349" s="45"/>
      <c r="AK349" s="45"/>
      <c r="AL349" s="3" t="s">
        <v>1582</v>
      </c>
    </row>
    <row r="350" spans="1:38" hidden="1">
      <c r="A350" s="176" t="s">
        <v>1582</v>
      </c>
      <c r="B350" s="177" t="s">
        <v>1582</v>
      </c>
      <c r="C350" s="177" t="s">
        <v>1582</v>
      </c>
      <c r="D350" s="177" t="s">
        <v>1582</v>
      </c>
      <c r="E350" s="177" t="s">
        <v>1582</v>
      </c>
      <c r="F350" s="177" t="s">
        <v>1582</v>
      </c>
      <c r="G350" s="177" t="s">
        <v>1582</v>
      </c>
      <c r="H350" s="177" t="s">
        <v>1582</v>
      </c>
      <c r="I350" s="177" t="s">
        <v>1582</v>
      </c>
      <c r="J350" s="177" t="s">
        <v>1582</v>
      </c>
      <c r="K350" s="178" t="s">
        <v>1582</v>
      </c>
      <c r="L350" s="178" t="s">
        <v>1582</v>
      </c>
      <c r="M350" s="178" t="s">
        <v>1582</v>
      </c>
      <c r="N350" s="178" t="s">
        <v>1582</v>
      </c>
      <c r="O350" s="178" t="s">
        <v>1582</v>
      </c>
      <c r="P350" s="178" t="s">
        <v>1582</v>
      </c>
      <c r="Q350" s="177" t="s">
        <v>1582</v>
      </c>
      <c r="R350" s="176" t="s">
        <v>1582</v>
      </c>
      <c r="S350" s="176" t="s">
        <v>1582</v>
      </c>
      <c r="T350" s="176" t="s">
        <v>1582</v>
      </c>
      <c r="U350" s="176" t="s">
        <v>1582</v>
      </c>
      <c r="V350" s="176" t="s">
        <v>1582</v>
      </c>
      <c r="W350" s="176" t="s">
        <v>1582</v>
      </c>
      <c r="X350" s="176" t="s">
        <v>1582</v>
      </c>
      <c r="Y350" s="176" t="s">
        <v>1582</v>
      </c>
      <c r="Z350" s="176" t="s">
        <v>1582</v>
      </c>
      <c r="AA350" s="176" t="s">
        <v>1582</v>
      </c>
      <c r="AB350" s="176" t="s">
        <v>1582</v>
      </c>
      <c r="AC350" s="176" t="s">
        <v>1582</v>
      </c>
      <c r="AD350" s="176" t="s">
        <v>1582</v>
      </c>
      <c r="AE350" s="176" t="s">
        <v>1582</v>
      </c>
      <c r="AF350" s="176" t="s">
        <v>1582</v>
      </c>
      <c r="AG350" s="176" t="s">
        <v>1582</v>
      </c>
      <c r="AH350" s="176" t="s">
        <v>1582</v>
      </c>
      <c r="AI350" s="176" t="s">
        <v>1582</v>
      </c>
      <c r="AJ350" s="176" t="s">
        <v>1582</v>
      </c>
      <c r="AK350" s="176" t="s">
        <v>1582</v>
      </c>
      <c r="AL350" s="176" t="s">
        <v>1582</v>
      </c>
    </row>
  </sheetData>
  <autoFilter ref="B3:AL350" xr:uid="{00000000-0001-0000-0100-000000000000}">
    <filterColumn colId="1">
      <filters>
        <filter val="○"/>
      </filters>
    </filterColumn>
  </autoFilter>
  <sortState xmlns:xlrd2="http://schemas.microsoft.com/office/spreadsheetml/2017/richdata2" ref="K16:AL349">
    <sortCondition ref="K16:K349"/>
    <sortCondition ref="L16:L349"/>
    <sortCondition ref="M16:M349"/>
    <sortCondition ref="N16:N349"/>
  </sortState>
  <phoneticPr fontId="7"/>
  <conditionalFormatting sqref="O4:O349">
    <cfRule type="expression" dxfId="6" priority="3">
      <formula>O4&lt;&gt;P4</formula>
    </cfRule>
  </conditionalFormatting>
  <conditionalFormatting sqref="P265:P266">
    <cfRule type="expression" dxfId="5" priority="1">
      <formula>P265&lt;&gt;Q265</formula>
    </cfRule>
  </conditionalFormatting>
  <pageMargins left="0.75" right="0.75" top="1" bottom="1"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55E7A-EAB3-4014-B136-1DA869590BA8}">
  <sheetPr filterMode="1">
    <tabColor theme="1"/>
  </sheetPr>
  <dimension ref="A2:AL192"/>
  <sheetViews>
    <sheetView zoomScale="60" zoomScaleNormal="60" workbookViewId="0">
      <pane xSplit="16" ySplit="3" topLeftCell="Q38" activePane="bottomRight" state="frozen"/>
      <selection pane="topRight" activeCell="F1" sqref="F1"/>
      <selection pane="bottomLeft" activeCell="A4" sqref="A4"/>
      <selection pane="bottomRight" activeCell="L187" sqref="L187"/>
    </sheetView>
  </sheetViews>
  <sheetFormatPr defaultColWidth="8.5703125" defaultRowHeight="13.5" outlineLevelCol="1"/>
  <cols>
    <col min="1" max="1" width="3.42578125" style="4" customWidth="1"/>
    <col min="2" max="2" width="5.42578125" style="124" customWidth="1"/>
    <col min="3" max="4" width="8.5703125" style="124" customWidth="1" outlineLevel="1"/>
    <col min="5" max="10" width="6.42578125" style="124" customWidth="1" outlineLevel="1"/>
    <col min="11" max="11" width="10.35546875" style="96" customWidth="1"/>
    <col min="12" max="12" width="21.78515625" style="96" customWidth="1"/>
    <col min="13" max="13" width="24" style="96" hidden="1" customWidth="1" outlineLevel="1"/>
    <col min="14" max="14" width="22" style="96" hidden="1" customWidth="1" outlineLevel="1"/>
    <col min="15" max="15" width="22" style="96" customWidth="1" collapsed="1"/>
    <col min="16" max="16" width="22" style="96" customWidth="1"/>
    <col min="17" max="17" width="18" style="124" customWidth="1"/>
    <col min="18" max="18" width="50" style="4" customWidth="1"/>
    <col min="19" max="19" width="30" style="4" customWidth="1"/>
    <col min="20" max="20" width="12" style="4" customWidth="1"/>
    <col min="21" max="25" width="13.640625" style="4" customWidth="1"/>
    <col min="26" max="26" width="13.640625" style="4" customWidth="1" collapsed="1"/>
    <col min="27" max="30" width="13.640625" style="4" customWidth="1"/>
    <col min="31" max="37" width="32" style="4" customWidth="1"/>
    <col min="38" max="38" width="8.5703125" style="4" customWidth="1"/>
    <col min="39" max="16384" width="8.5703125" style="4"/>
  </cols>
  <sheetData>
    <row r="2" spans="2:38" ht="27">
      <c r="B2" s="5" t="s">
        <v>96</v>
      </c>
      <c r="C2" s="5" t="s">
        <v>3337</v>
      </c>
      <c r="D2" s="5" t="s">
        <v>3338</v>
      </c>
      <c r="E2" s="5" t="s">
        <v>3339</v>
      </c>
      <c r="F2" s="5" t="s">
        <v>3340</v>
      </c>
      <c r="G2" s="5" t="s">
        <v>3341</v>
      </c>
      <c r="H2" s="5" t="s">
        <v>3342</v>
      </c>
      <c r="I2" s="5" t="s">
        <v>3343</v>
      </c>
      <c r="J2" s="5" t="s">
        <v>3344</v>
      </c>
      <c r="K2" s="5" t="s">
        <v>2107</v>
      </c>
      <c r="L2" s="5" t="s">
        <v>3345</v>
      </c>
      <c r="M2" s="5" t="s">
        <v>3346</v>
      </c>
      <c r="N2" s="5" t="s">
        <v>3617</v>
      </c>
      <c r="O2" s="5" t="s">
        <v>3347</v>
      </c>
      <c r="P2" s="5" t="s">
        <v>3643</v>
      </c>
      <c r="Q2" s="5" t="s">
        <v>100</v>
      </c>
      <c r="R2" s="5" t="s">
        <v>101</v>
      </c>
      <c r="S2" s="5" t="s">
        <v>102</v>
      </c>
      <c r="T2" s="5" t="s">
        <v>103</v>
      </c>
      <c r="U2" s="6" t="s">
        <v>104</v>
      </c>
      <c r="V2" s="6"/>
      <c r="W2" s="6"/>
      <c r="X2" s="6"/>
      <c r="Y2" s="7"/>
      <c r="Z2" s="8" t="s">
        <v>105</v>
      </c>
      <c r="AA2" s="6"/>
      <c r="AB2" s="6"/>
      <c r="AC2" s="6"/>
      <c r="AD2" s="6"/>
      <c r="AE2" s="24"/>
      <c r="AF2" s="31"/>
      <c r="AG2" s="29"/>
      <c r="AH2" s="26" t="s">
        <v>2975</v>
      </c>
      <c r="AI2" s="22" t="s">
        <v>2083</v>
      </c>
      <c r="AJ2" s="22"/>
      <c r="AK2" s="23"/>
      <c r="AL2" s="3" t="s">
        <v>1583</v>
      </c>
    </row>
    <row r="3" spans="2:38" ht="27">
      <c r="B3" s="9"/>
      <c r="C3" s="9"/>
      <c r="D3" s="9"/>
      <c r="E3" s="9"/>
      <c r="F3" s="9"/>
      <c r="G3" s="9"/>
      <c r="H3" s="9"/>
      <c r="I3" s="9"/>
      <c r="J3" s="9"/>
      <c r="K3" s="9"/>
      <c r="L3" s="9"/>
      <c r="M3" s="9"/>
      <c r="N3" s="9"/>
      <c r="O3" s="9"/>
      <c r="P3" s="9"/>
      <c r="Q3" s="9"/>
      <c r="R3" s="9"/>
      <c r="S3" s="9"/>
      <c r="T3" s="9"/>
      <c r="U3" s="10" t="s">
        <v>106</v>
      </c>
      <c r="V3" s="10" t="s">
        <v>107</v>
      </c>
      <c r="W3" s="10" t="s">
        <v>108</v>
      </c>
      <c r="X3" s="10" t="s">
        <v>2460</v>
      </c>
      <c r="Y3" s="11" t="s">
        <v>110</v>
      </c>
      <c r="Z3" s="12" t="s">
        <v>106</v>
      </c>
      <c r="AA3" s="10" t="s">
        <v>107</v>
      </c>
      <c r="AB3" s="10" t="s">
        <v>108</v>
      </c>
      <c r="AC3" s="10" t="s">
        <v>109</v>
      </c>
      <c r="AD3" s="10" t="s">
        <v>110</v>
      </c>
      <c r="AE3" s="25" t="s">
        <v>1584</v>
      </c>
      <c r="AF3" s="32" t="s">
        <v>2978</v>
      </c>
      <c r="AG3" s="30" t="s">
        <v>2979</v>
      </c>
      <c r="AH3" s="27" t="s">
        <v>2976</v>
      </c>
      <c r="AI3" s="28" t="s">
        <v>2977</v>
      </c>
      <c r="AJ3" s="28" t="s">
        <v>102</v>
      </c>
      <c r="AK3" s="28" t="s">
        <v>103</v>
      </c>
      <c r="AL3" s="3" t="s">
        <v>1583</v>
      </c>
    </row>
    <row r="4" spans="2:38" ht="40.5" hidden="1">
      <c r="B4" s="144">
        <f>ROW()-3</f>
        <v>1</v>
      </c>
      <c r="C4" s="148" t="s">
        <v>3732</v>
      </c>
      <c r="D4" s="148"/>
      <c r="E4" s="148"/>
      <c r="F4" s="148"/>
      <c r="G4" s="148"/>
      <c r="H4" s="148"/>
      <c r="I4" s="148"/>
      <c r="J4" s="148"/>
      <c r="K4" s="165" t="s">
        <v>3679</v>
      </c>
      <c r="L4" s="65" t="s">
        <v>3650</v>
      </c>
      <c r="M4" s="65"/>
      <c r="N4" s="65"/>
      <c r="O4" s="65" t="s">
        <v>2412</v>
      </c>
      <c r="P4" s="65" t="s">
        <v>2412</v>
      </c>
      <c r="Q4" s="54" t="s">
        <v>1637</v>
      </c>
      <c r="R4" s="41" t="s">
        <v>3132</v>
      </c>
      <c r="S4" s="41" t="s">
        <v>2537</v>
      </c>
      <c r="T4" s="41"/>
      <c r="U4" s="41" t="s">
        <v>139</v>
      </c>
      <c r="V4" s="41" t="s">
        <v>139</v>
      </c>
      <c r="W4" s="41" t="s">
        <v>139</v>
      </c>
      <c r="X4" s="41" t="s">
        <v>2670</v>
      </c>
      <c r="Y4" s="41" t="s">
        <v>139</v>
      </c>
      <c r="Z4" s="73" t="s">
        <v>139</v>
      </c>
      <c r="AA4" s="54" t="s">
        <v>139</v>
      </c>
      <c r="AB4" s="54" t="s">
        <v>139</v>
      </c>
      <c r="AC4" s="54" t="s">
        <v>2667</v>
      </c>
      <c r="AD4" s="54" t="s">
        <v>139</v>
      </c>
      <c r="AE4" s="55"/>
      <c r="AF4" s="56"/>
      <c r="AG4" s="56"/>
      <c r="AH4" s="57"/>
      <c r="AI4" s="56"/>
      <c r="AJ4" s="56"/>
      <c r="AK4" s="56"/>
      <c r="AL4" s="3" t="s">
        <v>1582</v>
      </c>
    </row>
    <row r="5" spans="2:38" ht="40.5" hidden="1">
      <c r="B5" s="144">
        <f t="shared" ref="B5:B68" si="0">ROW()-3</f>
        <v>2</v>
      </c>
      <c r="C5" s="148" t="s">
        <v>3732</v>
      </c>
      <c r="D5" s="148"/>
      <c r="E5" s="148"/>
      <c r="F5" s="148"/>
      <c r="G5" s="148"/>
      <c r="H5" s="148"/>
      <c r="I5" s="148"/>
      <c r="J5" s="148"/>
      <c r="K5" s="165" t="s">
        <v>3679</v>
      </c>
      <c r="L5" s="65" t="s">
        <v>3650</v>
      </c>
      <c r="M5" s="65"/>
      <c r="N5" s="65"/>
      <c r="O5" s="65" t="s">
        <v>2436</v>
      </c>
      <c r="P5" s="65" t="s">
        <v>2436</v>
      </c>
      <c r="Q5" s="54" t="s">
        <v>1637</v>
      </c>
      <c r="R5" s="41" t="s">
        <v>3133</v>
      </c>
      <c r="S5" s="41" t="s">
        <v>2538</v>
      </c>
      <c r="T5" s="41"/>
      <c r="U5" s="41" t="s">
        <v>139</v>
      </c>
      <c r="V5" s="41" t="s">
        <v>139</v>
      </c>
      <c r="W5" s="41" t="s">
        <v>139</v>
      </c>
      <c r="X5" s="41" t="s">
        <v>2670</v>
      </c>
      <c r="Y5" s="41" t="s">
        <v>139</v>
      </c>
      <c r="Z5" s="73" t="s">
        <v>139</v>
      </c>
      <c r="AA5" s="54" t="s">
        <v>139</v>
      </c>
      <c r="AB5" s="54" t="s">
        <v>139</v>
      </c>
      <c r="AC5" s="54" t="s">
        <v>2667</v>
      </c>
      <c r="AD5" s="54" t="s">
        <v>139</v>
      </c>
      <c r="AE5" s="55"/>
      <c r="AF5" s="56"/>
      <c r="AG5" s="56"/>
      <c r="AH5" s="57"/>
      <c r="AI5" s="56"/>
      <c r="AJ5" s="56"/>
      <c r="AK5" s="56"/>
      <c r="AL5" s="3" t="s">
        <v>1582</v>
      </c>
    </row>
    <row r="6" spans="2:38" ht="40.5" hidden="1">
      <c r="B6" s="144">
        <f t="shared" si="0"/>
        <v>3</v>
      </c>
      <c r="C6" s="148" t="s">
        <v>3732</v>
      </c>
      <c r="D6" s="148"/>
      <c r="E6" s="148"/>
      <c r="F6" s="148"/>
      <c r="G6" s="148"/>
      <c r="H6" s="148"/>
      <c r="I6" s="148"/>
      <c r="J6" s="148"/>
      <c r="K6" s="165" t="s">
        <v>3679</v>
      </c>
      <c r="L6" s="65" t="s">
        <v>3650</v>
      </c>
      <c r="M6" s="65"/>
      <c r="N6" s="65"/>
      <c r="O6" s="65" t="s">
        <v>2466</v>
      </c>
      <c r="P6" s="65" t="s">
        <v>2466</v>
      </c>
      <c r="Q6" s="54" t="s">
        <v>1637</v>
      </c>
      <c r="R6" s="41" t="s">
        <v>3134</v>
      </c>
      <c r="S6" s="41" t="s">
        <v>2466</v>
      </c>
      <c r="T6" s="41"/>
      <c r="U6" s="41" t="s">
        <v>139</v>
      </c>
      <c r="V6" s="41" t="s">
        <v>139</v>
      </c>
      <c r="W6" s="41" t="s">
        <v>139</v>
      </c>
      <c r="X6" s="41" t="s">
        <v>2670</v>
      </c>
      <c r="Y6" s="41" t="s">
        <v>139</v>
      </c>
      <c r="Z6" s="73" t="s">
        <v>139</v>
      </c>
      <c r="AA6" s="54" t="s">
        <v>139</v>
      </c>
      <c r="AB6" s="54" t="s">
        <v>139</v>
      </c>
      <c r="AC6" s="54" t="s">
        <v>2667</v>
      </c>
      <c r="AD6" s="54" t="s">
        <v>139</v>
      </c>
      <c r="AE6" s="55"/>
      <c r="AF6" s="56"/>
      <c r="AG6" s="56"/>
      <c r="AH6" s="57"/>
      <c r="AI6" s="56"/>
      <c r="AJ6" s="56"/>
      <c r="AK6" s="56"/>
      <c r="AL6" s="3" t="s">
        <v>1582</v>
      </c>
    </row>
    <row r="7" spans="2:38" ht="40.5">
      <c r="B7" s="144">
        <f t="shared" si="0"/>
        <v>4</v>
      </c>
      <c r="C7" s="148" t="s">
        <v>3731</v>
      </c>
      <c r="D7" s="148"/>
      <c r="E7" s="148"/>
      <c r="F7" s="148"/>
      <c r="G7" s="148"/>
      <c r="H7" s="148"/>
      <c r="I7" s="148"/>
      <c r="J7" s="148"/>
      <c r="K7" s="165" t="s">
        <v>3679</v>
      </c>
      <c r="L7" s="65" t="s">
        <v>3650</v>
      </c>
      <c r="M7" s="65"/>
      <c r="N7" s="65"/>
      <c r="O7" s="65" t="s">
        <v>2469</v>
      </c>
      <c r="P7" s="65" t="s">
        <v>2469</v>
      </c>
      <c r="Q7" s="54" t="s">
        <v>1637</v>
      </c>
      <c r="R7" s="41" t="s">
        <v>3135</v>
      </c>
      <c r="S7" s="41" t="s">
        <v>2546</v>
      </c>
      <c r="T7" s="41"/>
      <c r="U7" s="41" t="s">
        <v>139</v>
      </c>
      <c r="V7" s="41" t="s">
        <v>139</v>
      </c>
      <c r="W7" s="41" t="s">
        <v>139</v>
      </c>
      <c r="X7" s="41" t="s">
        <v>2670</v>
      </c>
      <c r="Y7" s="41" t="s">
        <v>139</v>
      </c>
      <c r="Z7" s="73" t="s">
        <v>139</v>
      </c>
      <c r="AA7" s="54" t="s">
        <v>139</v>
      </c>
      <c r="AB7" s="54" t="s">
        <v>139</v>
      </c>
      <c r="AC7" s="54" t="s">
        <v>2667</v>
      </c>
      <c r="AD7" s="54" t="s">
        <v>139</v>
      </c>
      <c r="AE7" s="55"/>
      <c r="AF7" s="56"/>
      <c r="AG7" s="56"/>
      <c r="AH7" s="57"/>
      <c r="AI7" s="56"/>
      <c r="AJ7" s="56"/>
      <c r="AK7" s="56"/>
      <c r="AL7" s="3" t="s">
        <v>1582</v>
      </c>
    </row>
    <row r="8" spans="2:38" ht="40.5">
      <c r="B8" s="144">
        <f t="shared" si="0"/>
        <v>5</v>
      </c>
      <c r="C8" s="148" t="s">
        <v>3731</v>
      </c>
      <c r="D8" s="148"/>
      <c r="E8" s="148"/>
      <c r="F8" s="148"/>
      <c r="G8" s="148"/>
      <c r="H8" s="148"/>
      <c r="I8" s="148"/>
      <c r="J8" s="148"/>
      <c r="K8" s="165" t="s">
        <v>3679</v>
      </c>
      <c r="L8" s="65" t="s">
        <v>3650</v>
      </c>
      <c r="M8" s="65"/>
      <c r="N8" s="65"/>
      <c r="O8" s="65" t="s">
        <v>3350</v>
      </c>
      <c r="P8" s="65" t="s">
        <v>2470</v>
      </c>
      <c r="Q8" s="54" t="s">
        <v>1637</v>
      </c>
      <c r="R8" s="41" t="s">
        <v>3136</v>
      </c>
      <c r="S8" s="41" t="s">
        <v>2547</v>
      </c>
      <c r="T8" s="41"/>
      <c r="U8" s="41" t="s">
        <v>139</v>
      </c>
      <c r="V8" s="41" t="s">
        <v>139</v>
      </c>
      <c r="W8" s="41" t="s">
        <v>139</v>
      </c>
      <c r="X8" s="41" t="s">
        <v>2670</v>
      </c>
      <c r="Y8" s="41" t="s">
        <v>139</v>
      </c>
      <c r="Z8" s="73" t="s">
        <v>139</v>
      </c>
      <c r="AA8" s="54" t="s">
        <v>139</v>
      </c>
      <c r="AB8" s="54" t="s">
        <v>139</v>
      </c>
      <c r="AC8" s="54" t="s">
        <v>2667</v>
      </c>
      <c r="AD8" s="54" t="s">
        <v>139</v>
      </c>
      <c r="AE8" s="55"/>
      <c r="AF8" s="56"/>
      <c r="AG8" s="56"/>
      <c r="AH8" s="57"/>
      <c r="AI8" s="56"/>
      <c r="AJ8" s="56"/>
      <c r="AK8" s="56"/>
      <c r="AL8" s="3" t="s">
        <v>1582</v>
      </c>
    </row>
    <row r="9" spans="2:38" ht="27">
      <c r="B9" s="144">
        <f t="shared" si="0"/>
        <v>6</v>
      </c>
      <c r="C9" s="148" t="s">
        <v>3731</v>
      </c>
      <c r="D9" s="148"/>
      <c r="E9" s="148"/>
      <c r="F9" s="148"/>
      <c r="G9" s="148"/>
      <c r="H9" s="148"/>
      <c r="I9" s="148"/>
      <c r="J9" s="148"/>
      <c r="K9" s="165" t="s">
        <v>3679</v>
      </c>
      <c r="L9" s="65" t="s">
        <v>3650</v>
      </c>
      <c r="M9" s="65"/>
      <c r="N9" s="165"/>
      <c r="O9" s="165" t="s">
        <v>2470</v>
      </c>
      <c r="P9" s="165" t="s">
        <v>3245</v>
      </c>
      <c r="Q9" s="126" t="s">
        <v>1315</v>
      </c>
      <c r="R9" s="40" t="s">
        <v>1316</v>
      </c>
      <c r="S9" s="40"/>
      <c r="T9" s="40" t="s">
        <v>192</v>
      </c>
      <c r="U9" s="41" t="s">
        <v>1317</v>
      </c>
      <c r="V9" s="41" t="s">
        <v>139</v>
      </c>
      <c r="W9" s="41" t="s">
        <v>139</v>
      </c>
      <c r="X9" s="41" t="s">
        <v>139</v>
      </c>
      <c r="Y9" s="41" t="s">
        <v>139</v>
      </c>
      <c r="Z9" s="74" t="s">
        <v>117</v>
      </c>
      <c r="AA9" s="41" t="s">
        <v>139</v>
      </c>
      <c r="AB9" s="41" t="s">
        <v>139</v>
      </c>
      <c r="AC9" s="41" t="s">
        <v>139</v>
      </c>
      <c r="AD9" s="41" t="s">
        <v>139</v>
      </c>
      <c r="AE9" s="44"/>
      <c r="AF9" s="45"/>
      <c r="AG9" s="45"/>
      <c r="AH9" s="46"/>
      <c r="AI9" s="45"/>
      <c r="AJ9" s="45"/>
      <c r="AK9" s="45"/>
      <c r="AL9" s="3" t="s">
        <v>1582</v>
      </c>
    </row>
    <row r="10" spans="2:38" ht="40.5">
      <c r="B10" s="144">
        <f t="shared" si="0"/>
        <v>7</v>
      </c>
      <c r="C10" s="148" t="s">
        <v>3731</v>
      </c>
      <c r="D10" s="148"/>
      <c r="E10" s="148"/>
      <c r="F10" s="148"/>
      <c r="G10" s="148"/>
      <c r="H10" s="148"/>
      <c r="I10" s="148"/>
      <c r="J10" s="148"/>
      <c r="K10" s="165" t="s">
        <v>3679</v>
      </c>
      <c r="L10" s="65" t="s">
        <v>3650</v>
      </c>
      <c r="M10" s="65"/>
      <c r="N10" s="65"/>
      <c r="O10" s="65" t="s">
        <v>2434</v>
      </c>
      <c r="P10" s="65" t="s">
        <v>2434</v>
      </c>
      <c r="Q10" s="54" t="s">
        <v>1637</v>
      </c>
      <c r="R10" s="41" t="s">
        <v>2567</v>
      </c>
      <c r="S10" s="41" t="s">
        <v>2568</v>
      </c>
      <c r="T10" s="41"/>
      <c r="U10" s="41" t="s">
        <v>139</v>
      </c>
      <c r="V10" s="41" t="s">
        <v>139</v>
      </c>
      <c r="W10" s="41" t="s">
        <v>139</v>
      </c>
      <c r="X10" s="41" t="s">
        <v>2670</v>
      </c>
      <c r="Y10" s="41" t="s">
        <v>139</v>
      </c>
      <c r="Z10" s="73" t="s">
        <v>139</v>
      </c>
      <c r="AA10" s="54" t="s">
        <v>139</v>
      </c>
      <c r="AB10" s="54" t="s">
        <v>139</v>
      </c>
      <c r="AC10" s="54" t="s">
        <v>2667</v>
      </c>
      <c r="AD10" s="54" t="s">
        <v>139</v>
      </c>
      <c r="AE10" s="55"/>
      <c r="AF10" s="56"/>
      <c r="AG10" s="56"/>
      <c r="AH10" s="57"/>
      <c r="AI10" s="56"/>
      <c r="AJ10" s="56"/>
      <c r="AK10" s="56"/>
      <c r="AL10" s="3" t="s">
        <v>1582</v>
      </c>
    </row>
    <row r="11" spans="2:38" ht="40.5">
      <c r="B11" s="144">
        <f t="shared" si="0"/>
        <v>8</v>
      </c>
      <c r="C11" s="148" t="s">
        <v>3731</v>
      </c>
      <c r="D11" s="148"/>
      <c r="E11" s="148"/>
      <c r="F11" s="148"/>
      <c r="G11" s="148"/>
      <c r="H11" s="148"/>
      <c r="I11" s="148"/>
      <c r="J11" s="148"/>
      <c r="K11" s="165" t="s">
        <v>3679</v>
      </c>
      <c r="L11" s="65" t="s">
        <v>3650</v>
      </c>
      <c r="M11" s="65"/>
      <c r="N11" s="65"/>
      <c r="O11" s="65" t="s">
        <v>2473</v>
      </c>
      <c r="P11" s="65" t="s">
        <v>2473</v>
      </c>
      <c r="Q11" s="54" t="s">
        <v>1637</v>
      </c>
      <c r="R11" s="41" t="s">
        <v>3152</v>
      </c>
      <c r="S11" s="41" t="s">
        <v>2569</v>
      </c>
      <c r="T11" s="41"/>
      <c r="U11" s="41" t="s">
        <v>139</v>
      </c>
      <c r="V11" s="41" t="s">
        <v>139</v>
      </c>
      <c r="W11" s="41" t="s">
        <v>139</v>
      </c>
      <c r="X11" s="41" t="s">
        <v>2670</v>
      </c>
      <c r="Y11" s="41" t="s">
        <v>139</v>
      </c>
      <c r="Z11" s="73" t="s">
        <v>139</v>
      </c>
      <c r="AA11" s="54" t="s">
        <v>139</v>
      </c>
      <c r="AB11" s="54" t="s">
        <v>139</v>
      </c>
      <c r="AC11" s="54" t="s">
        <v>2667</v>
      </c>
      <c r="AD11" s="54" t="s">
        <v>139</v>
      </c>
      <c r="AE11" s="55"/>
      <c r="AF11" s="56"/>
      <c r="AG11" s="56"/>
      <c r="AH11" s="57"/>
      <c r="AI11" s="56"/>
      <c r="AJ11" s="56"/>
      <c r="AK11" s="56"/>
      <c r="AL11" s="3" t="s">
        <v>1582</v>
      </c>
    </row>
    <row r="12" spans="2:38" ht="40.5">
      <c r="B12" s="144">
        <f t="shared" si="0"/>
        <v>9</v>
      </c>
      <c r="C12" s="148" t="s">
        <v>3731</v>
      </c>
      <c r="D12" s="148"/>
      <c r="E12" s="148"/>
      <c r="F12" s="148"/>
      <c r="G12" s="148"/>
      <c r="H12" s="148"/>
      <c r="I12" s="148"/>
      <c r="J12" s="148"/>
      <c r="K12" s="165" t="s">
        <v>3679</v>
      </c>
      <c r="L12" s="65" t="s">
        <v>3650</v>
      </c>
      <c r="M12" s="65"/>
      <c r="N12" s="65"/>
      <c r="O12" s="65" t="s">
        <v>2474</v>
      </c>
      <c r="P12" s="65" t="s">
        <v>2474</v>
      </c>
      <c r="Q12" s="54" t="s">
        <v>1637</v>
      </c>
      <c r="R12" s="41" t="s">
        <v>3153</v>
      </c>
      <c r="S12" s="41" t="s">
        <v>2570</v>
      </c>
      <c r="T12" s="41"/>
      <c r="U12" s="41" t="s">
        <v>139</v>
      </c>
      <c r="V12" s="41" t="s">
        <v>139</v>
      </c>
      <c r="W12" s="41" t="s">
        <v>139</v>
      </c>
      <c r="X12" s="41" t="s">
        <v>2670</v>
      </c>
      <c r="Y12" s="41" t="s">
        <v>139</v>
      </c>
      <c r="Z12" s="73" t="s">
        <v>139</v>
      </c>
      <c r="AA12" s="54" t="s">
        <v>139</v>
      </c>
      <c r="AB12" s="54" t="s">
        <v>139</v>
      </c>
      <c r="AC12" s="54" t="s">
        <v>2667</v>
      </c>
      <c r="AD12" s="54" t="s">
        <v>139</v>
      </c>
      <c r="AE12" s="55"/>
      <c r="AF12" s="56"/>
      <c r="AG12" s="56"/>
      <c r="AH12" s="57"/>
      <c r="AI12" s="56"/>
      <c r="AJ12" s="56"/>
      <c r="AK12" s="56"/>
      <c r="AL12" s="3" t="s">
        <v>1582</v>
      </c>
    </row>
    <row r="13" spans="2:38" ht="40.5">
      <c r="B13" s="144">
        <f t="shared" si="0"/>
        <v>10</v>
      </c>
      <c r="C13" s="148" t="s">
        <v>3731</v>
      </c>
      <c r="D13" s="148"/>
      <c r="E13" s="148"/>
      <c r="F13" s="148"/>
      <c r="G13" s="148"/>
      <c r="H13" s="148"/>
      <c r="I13" s="148"/>
      <c r="J13" s="148"/>
      <c r="K13" s="165" t="s">
        <v>3679</v>
      </c>
      <c r="L13" s="65" t="s">
        <v>3650</v>
      </c>
      <c r="M13" s="65"/>
      <c r="N13" s="65"/>
      <c r="O13" s="65" t="s">
        <v>2435</v>
      </c>
      <c r="P13" s="65" t="s">
        <v>2435</v>
      </c>
      <c r="Q13" s="54" t="s">
        <v>1637</v>
      </c>
      <c r="R13" s="41" t="s">
        <v>2571</v>
      </c>
      <c r="S13" s="41" t="s">
        <v>2572</v>
      </c>
      <c r="T13" s="41"/>
      <c r="U13" s="41" t="s">
        <v>139</v>
      </c>
      <c r="V13" s="41" t="s">
        <v>139</v>
      </c>
      <c r="W13" s="41" t="s">
        <v>139</v>
      </c>
      <c r="X13" s="41" t="s">
        <v>2670</v>
      </c>
      <c r="Y13" s="41" t="s">
        <v>139</v>
      </c>
      <c r="Z13" s="73" t="s">
        <v>139</v>
      </c>
      <c r="AA13" s="54" t="s">
        <v>139</v>
      </c>
      <c r="AB13" s="54" t="s">
        <v>139</v>
      </c>
      <c r="AC13" s="54" t="s">
        <v>2667</v>
      </c>
      <c r="AD13" s="54" t="s">
        <v>139</v>
      </c>
      <c r="AE13" s="55"/>
      <c r="AF13" s="56"/>
      <c r="AG13" s="56"/>
      <c r="AH13" s="57"/>
      <c r="AI13" s="56"/>
      <c r="AJ13" s="56"/>
      <c r="AK13" s="56"/>
      <c r="AL13" s="3" t="s">
        <v>1582</v>
      </c>
    </row>
    <row r="14" spans="2:38" ht="54">
      <c r="B14" s="144">
        <f t="shared" si="0"/>
        <v>11</v>
      </c>
      <c r="C14" s="148" t="s">
        <v>3731</v>
      </c>
      <c r="D14" s="148"/>
      <c r="E14" s="148"/>
      <c r="F14" s="148"/>
      <c r="G14" s="148"/>
      <c r="H14" s="148"/>
      <c r="I14" s="148"/>
      <c r="J14" s="148"/>
      <c r="K14" s="165" t="s">
        <v>3679</v>
      </c>
      <c r="L14" s="65" t="s">
        <v>3650</v>
      </c>
      <c r="M14" s="65"/>
      <c r="N14" s="65"/>
      <c r="O14" s="65" t="s">
        <v>2475</v>
      </c>
      <c r="P14" s="65" t="s">
        <v>2475</v>
      </c>
      <c r="Q14" s="54" t="s">
        <v>1637</v>
      </c>
      <c r="R14" s="41" t="s">
        <v>3154</v>
      </c>
      <c r="S14" s="41" t="s">
        <v>2573</v>
      </c>
      <c r="T14" s="41"/>
      <c r="U14" s="41" t="s">
        <v>139</v>
      </c>
      <c r="V14" s="41" t="s">
        <v>139</v>
      </c>
      <c r="W14" s="41" t="s">
        <v>139</v>
      </c>
      <c r="X14" s="41" t="s">
        <v>2670</v>
      </c>
      <c r="Y14" s="41" t="s">
        <v>139</v>
      </c>
      <c r="Z14" s="73" t="s">
        <v>139</v>
      </c>
      <c r="AA14" s="54" t="s">
        <v>139</v>
      </c>
      <c r="AB14" s="54" t="s">
        <v>139</v>
      </c>
      <c r="AC14" s="54" t="s">
        <v>2667</v>
      </c>
      <c r="AD14" s="54" t="s">
        <v>139</v>
      </c>
      <c r="AE14" s="55"/>
      <c r="AF14" s="56"/>
      <c r="AG14" s="56"/>
      <c r="AH14" s="57"/>
      <c r="AI14" s="56"/>
      <c r="AJ14" s="56"/>
      <c r="AK14" s="56"/>
      <c r="AL14" s="3" t="s">
        <v>1582</v>
      </c>
    </row>
    <row r="15" spans="2:38" ht="40.5">
      <c r="B15" s="144">
        <f t="shared" si="0"/>
        <v>12</v>
      </c>
      <c r="C15" s="148" t="s">
        <v>3731</v>
      </c>
      <c r="D15" s="148"/>
      <c r="E15" s="148"/>
      <c r="F15" s="148"/>
      <c r="G15" s="148"/>
      <c r="H15" s="148"/>
      <c r="I15" s="148"/>
      <c r="J15" s="148"/>
      <c r="K15" s="165" t="s">
        <v>3679</v>
      </c>
      <c r="L15" s="65" t="s">
        <v>3650</v>
      </c>
      <c r="M15" s="65"/>
      <c r="N15" s="165"/>
      <c r="O15" s="165" t="s">
        <v>1257</v>
      </c>
      <c r="P15" s="165" t="s">
        <v>1257</v>
      </c>
      <c r="Q15" s="126" t="s">
        <v>1637</v>
      </c>
      <c r="R15" s="40" t="s">
        <v>1258</v>
      </c>
      <c r="S15" s="40"/>
      <c r="T15" s="40" t="s">
        <v>139</v>
      </c>
      <c r="U15" s="41" t="s">
        <v>1259</v>
      </c>
      <c r="V15" s="41" t="s">
        <v>1260</v>
      </c>
      <c r="W15" s="41" t="s">
        <v>139</v>
      </c>
      <c r="X15" s="41" t="s">
        <v>139</v>
      </c>
      <c r="Y15" s="41" t="s">
        <v>139</v>
      </c>
      <c r="Z15" s="74" t="s">
        <v>163</v>
      </c>
      <c r="AA15" s="41" t="s">
        <v>1261</v>
      </c>
      <c r="AB15" s="41" t="s">
        <v>139</v>
      </c>
      <c r="AC15" s="41" t="s">
        <v>139</v>
      </c>
      <c r="AD15" s="41" t="s">
        <v>139</v>
      </c>
      <c r="AE15" s="44"/>
      <c r="AF15" s="45"/>
      <c r="AG15" s="45"/>
      <c r="AH15" s="46"/>
      <c r="AI15" s="45"/>
      <c r="AJ15" s="45"/>
      <c r="AK15" s="45"/>
      <c r="AL15" s="3" t="s">
        <v>1582</v>
      </c>
    </row>
    <row r="16" spans="2:38" ht="27" hidden="1">
      <c r="B16" s="144">
        <f t="shared" si="0"/>
        <v>13</v>
      </c>
      <c r="C16" s="148" t="s">
        <v>3732</v>
      </c>
      <c r="D16" s="148"/>
      <c r="E16" s="148"/>
      <c r="F16" s="148"/>
      <c r="G16" s="148"/>
      <c r="H16" s="148"/>
      <c r="I16" s="148"/>
      <c r="J16" s="148"/>
      <c r="K16" s="165" t="s">
        <v>3679</v>
      </c>
      <c r="L16" s="65" t="s">
        <v>3650</v>
      </c>
      <c r="M16" s="165"/>
      <c r="N16" s="165"/>
      <c r="O16" s="165" t="s">
        <v>3516</v>
      </c>
      <c r="P16" s="165" t="s">
        <v>2675</v>
      </c>
      <c r="Q16" s="126" t="s">
        <v>1637</v>
      </c>
      <c r="R16" s="40" t="s">
        <v>2001</v>
      </c>
      <c r="S16" s="40" t="s">
        <v>2002</v>
      </c>
      <c r="T16" s="40" t="s">
        <v>1895</v>
      </c>
      <c r="U16" s="41" t="s">
        <v>139</v>
      </c>
      <c r="V16" s="41" t="s">
        <v>139</v>
      </c>
      <c r="W16" s="41" t="s">
        <v>139</v>
      </c>
      <c r="X16" s="41" t="s">
        <v>139</v>
      </c>
      <c r="Y16" s="41" t="s">
        <v>1165</v>
      </c>
      <c r="Z16" s="74" t="s">
        <v>139</v>
      </c>
      <c r="AA16" s="41" t="s">
        <v>139</v>
      </c>
      <c r="AB16" s="41" t="s">
        <v>139</v>
      </c>
      <c r="AC16" s="41" t="s">
        <v>139</v>
      </c>
      <c r="AD16" s="41" t="s">
        <v>1166</v>
      </c>
      <c r="AE16" s="44"/>
      <c r="AF16" s="45"/>
      <c r="AG16" s="45"/>
      <c r="AH16" s="46"/>
      <c r="AI16" s="45"/>
      <c r="AJ16" s="45"/>
      <c r="AK16" s="45"/>
      <c r="AL16" s="3" t="s">
        <v>1582</v>
      </c>
    </row>
    <row r="17" spans="2:38" ht="40.5">
      <c r="B17" s="144">
        <f t="shared" si="0"/>
        <v>14</v>
      </c>
      <c r="C17" s="148" t="s">
        <v>3731</v>
      </c>
      <c r="D17" s="148"/>
      <c r="E17" s="148"/>
      <c r="F17" s="148"/>
      <c r="G17" s="148"/>
      <c r="H17" s="148"/>
      <c r="I17" s="148"/>
      <c r="J17" s="148"/>
      <c r="K17" s="165" t="s">
        <v>3679</v>
      </c>
      <c r="L17" s="65" t="s">
        <v>3650</v>
      </c>
      <c r="M17" s="65"/>
      <c r="N17" s="65"/>
      <c r="O17" s="65" t="s">
        <v>2476</v>
      </c>
      <c r="P17" s="65" t="s">
        <v>2476</v>
      </c>
      <c r="Q17" s="54" t="s">
        <v>1637</v>
      </c>
      <c r="R17" s="41" t="s">
        <v>3155</v>
      </c>
      <c r="S17" s="41" t="s">
        <v>2476</v>
      </c>
      <c r="T17" s="41"/>
      <c r="U17" s="41" t="s">
        <v>139</v>
      </c>
      <c r="V17" s="41" t="s">
        <v>139</v>
      </c>
      <c r="W17" s="41" t="s">
        <v>139</v>
      </c>
      <c r="X17" s="41" t="s">
        <v>2670</v>
      </c>
      <c r="Y17" s="41" t="s">
        <v>139</v>
      </c>
      <c r="Z17" s="73" t="s">
        <v>139</v>
      </c>
      <c r="AA17" s="54" t="s">
        <v>139</v>
      </c>
      <c r="AB17" s="54" t="s">
        <v>139</v>
      </c>
      <c r="AC17" s="54" t="s">
        <v>2667</v>
      </c>
      <c r="AD17" s="54" t="s">
        <v>139</v>
      </c>
      <c r="AE17" s="55"/>
      <c r="AF17" s="56"/>
      <c r="AG17" s="56"/>
      <c r="AH17" s="57"/>
      <c r="AI17" s="56"/>
      <c r="AJ17" s="56"/>
      <c r="AK17" s="56"/>
      <c r="AL17" s="3" t="s">
        <v>1582</v>
      </c>
    </row>
    <row r="18" spans="2:38" ht="40.5" hidden="1">
      <c r="B18" s="144">
        <f t="shared" si="0"/>
        <v>15</v>
      </c>
      <c r="C18" s="148" t="s">
        <v>3732</v>
      </c>
      <c r="D18" s="148"/>
      <c r="E18" s="148"/>
      <c r="F18" s="148"/>
      <c r="G18" s="148"/>
      <c r="H18" s="148"/>
      <c r="I18" s="148"/>
      <c r="J18" s="148"/>
      <c r="K18" s="165" t="s">
        <v>3679</v>
      </c>
      <c r="L18" s="65" t="s">
        <v>3650</v>
      </c>
      <c r="M18" s="65"/>
      <c r="N18" s="65"/>
      <c r="O18" s="65" t="s">
        <v>2398</v>
      </c>
      <c r="P18" s="65" t="s">
        <v>2398</v>
      </c>
      <c r="Q18" s="54" t="s">
        <v>1637</v>
      </c>
      <c r="R18" s="41" t="s">
        <v>2442</v>
      </c>
      <c r="S18" s="41" t="s">
        <v>2443</v>
      </c>
      <c r="T18" s="41"/>
      <c r="U18" s="41" t="s">
        <v>139</v>
      </c>
      <c r="V18" s="41" t="s">
        <v>139</v>
      </c>
      <c r="W18" s="41" t="s">
        <v>139</v>
      </c>
      <c r="X18" s="41" t="s">
        <v>2670</v>
      </c>
      <c r="Y18" s="41" t="s">
        <v>139</v>
      </c>
      <c r="Z18" s="73" t="s">
        <v>139</v>
      </c>
      <c r="AA18" s="54" t="s">
        <v>139</v>
      </c>
      <c r="AB18" s="54" t="s">
        <v>139</v>
      </c>
      <c r="AC18" s="54" t="s">
        <v>2667</v>
      </c>
      <c r="AD18" s="54" t="s">
        <v>139</v>
      </c>
      <c r="AE18" s="55"/>
      <c r="AF18" s="56"/>
      <c r="AG18" s="56"/>
      <c r="AH18" s="57"/>
      <c r="AI18" s="56"/>
      <c r="AJ18" s="56"/>
      <c r="AK18" s="56"/>
      <c r="AL18" s="3" t="s">
        <v>1582</v>
      </c>
    </row>
    <row r="19" spans="2:38" ht="40.5">
      <c r="B19" s="144">
        <f t="shared" si="0"/>
        <v>16</v>
      </c>
      <c r="C19" s="148" t="s">
        <v>3731</v>
      </c>
      <c r="D19" s="148"/>
      <c r="E19" s="148"/>
      <c r="F19" s="148"/>
      <c r="G19" s="148"/>
      <c r="H19" s="148"/>
      <c r="I19" s="148"/>
      <c r="J19" s="148"/>
      <c r="K19" s="165" t="s">
        <v>3679</v>
      </c>
      <c r="L19" s="65" t="s">
        <v>3650</v>
      </c>
      <c r="M19" s="65"/>
      <c r="N19" s="65"/>
      <c r="O19" s="65" t="s">
        <v>2423</v>
      </c>
      <c r="P19" s="65" t="s">
        <v>2423</v>
      </c>
      <c r="Q19" s="54" t="s">
        <v>1637</v>
      </c>
      <c r="R19" s="41" t="s">
        <v>3156</v>
      </c>
      <c r="S19" s="41" t="s">
        <v>2574</v>
      </c>
      <c r="T19" s="41" t="s">
        <v>1645</v>
      </c>
      <c r="U19" s="41" t="s">
        <v>139</v>
      </c>
      <c r="V19" s="41" t="s">
        <v>139</v>
      </c>
      <c r="W19" s="41" t="s">
        <v>139</v>
      </c>
      <c r="X19" s="41" t="s">
        <v>2670</v>
      </c>
      <c r="Y19" s="41" t="s">
        <v>139</v>
      </c>
      <c r="Z19" s="73" t="s">
        <v>139</v>
      </c>
      <c r="AA19" s="54" t="s">
        <v>139</v>
      </c>
      <c r="AB19" s="54" t="s">
        <v>139</v>
      </c>
      <c r="AC19" s="54" t="s">
        <v>2667</v>
      </c>
      <c r="AD19" s="54" t="s">
        <v>139</v>
      </c>
      <c r="AE19" s="55"/>
      <c r="AF19" s="56"/>
      <c r="AG19" s="56"/>
      <c r="AH19" s="57"/>
      <c r="AI19" s="56"/>
      <c r="AJ19" s="56"/>
      <c r="AK19" s="56"/>
      <c r="AL19" s="3" t="s">
        <v>1582</v>
      </c>
    </row>
    <row r="20" spans="2:38" ht="40.5">
      <c r="B20" s="144">
        <f t="shared" si="0"/>
        <v>17</v>
      </c>
      <c r="C20" s="148" t="s">
        <v>3731</v>
      </c>
      <c r="D20" s="148"/>
      <c r="E20" s="148"/>
      <c r="F20" s="148"/>
      <c r="G20" s="148"/>
      <c r="H20" s="148"/>
      <c r="I20" s="148"/>
      <c r="J20" s="148"/>
      <c r="K20" s="165" t="s">
        <v>3679</v>
      </c>
      <c r="L20" s="65" t="s">
        <v>3650</v>
      </c>
      <c r="M20" s="65"/>
      <c r="N20" s="65"/>
      <c r="O20" s="65" t="s">
        <v>2477</v>
      </c>
      <c r="P20" s="65" t="s">
        <v>2477</v>
      </c>
      <c r="Q20" s="54" t="s">
        <v>1637</v>
      </c>
      <c r="R20" s="41" t="s">
        <v>3157</v>
      </c>
      <c r="S20" s="41" t="s">
        <v>2575</v>
      </c>
      <c r="T20" s="41" t="s">
        <v>1645</v>
      </c>
      <c r="U20" s="41" t="s">
        <v>139</v>
      </c>
      <c r="V20" s="41" t="s">
        <v>139</v>
      </c>
      <c r="W20" s="41" t="s">
        <v>139</v>
      </c>
      <c r="X20" s="41" t="s">
        <v>2670</v>
      </c>
      <c r="Y20" s="41" t="s">
        <v>139</v>
      </c>
      <c r="Z20" s="73" t="s">
        <v>139</v>
      </c>
      <c r="AA20" s="54" t="s">
        <v>139</v>
      </c>
      <c r="AB20" s="54" t="s">
        <v>139</v>
      </c>
      <c r="AC20" s="54" t="s">
        <v>2667</v>
      </c>
      <c r="AD20" s="54" t="s">
        <v>139</v>
      </c>
      <c r="AE20" s="55"/>
      <c r="AF20" s="56"/>
      <c r="AG20" s="56"/>
      <c r="AH20" s="57"/>
      <c r="AI20" s="56"/>
      <c r="AJ20" s="56"/>
      <c r="AK20" s="56"/>
      <c r="AL20" s="3" t="s">
        <v>1582</v>
      </c>
    </row>
    <row r="21" spans="2:38" ht="40.5">
      <c r="B21" s="144">
        <f t="shared" si="0"/>
        <v>18</v>
      </c>
      <c r="C21" s="148" t="s">
        <v>3731</v>
      </c>
      <c r="D21" s="148"/>
      <c r="E21" s="148"/>
      <c r="F21" s="148"/>
      <c r="G21" s="148"/>
      <c r="H21" s="148"/>
      <c r="I21" s="148"/>
      <c r="J21" s="148"/>
      <c r="K21" s="165" t="s">
        <v>3679</v>
      </c>
      <c r="L21" s="65" t="s">
        <v>3650</v>
      </c>
      <c r="M21" s="65"/>
      <c r="N21" s="65"/>
      <c r="O21" s="65" t="s">
        <v>2478</v>
      </c>
      <c r="P21" s="65" t="s">
        <v>2478</v>
      </c>
      <c r="Q21" s="54" t="s">
        <v>1637</v>
      </c>
      <c r="R21" s="41" t="s">
        <v>3158</v>
      </c>
      <c r="S21" s="41" t="s">
        <v>2576</v>
      </c>
      <c r="T21" s="41" t="s">
        <v>1645</v>
      </c>
      <c r="U21" s="41" t="s">
        <v>139</v>
      </c>
      <c r="V21" s="41" t="s">
        <v>139</v>
      </c>
      <c r="W21" s="41" t="s">
        <v>139</v>
      </c>
      <c r="X21" s="41" t="s">
        <v>2670</v>
      </c>
      <c r="Y21" s="41" t="s">
        <v>139</v>
      </c>
      <c r="Z21" s="73" t="s">
        <v>139</v>
      </c>
      <c r="AA21" s="54" t="s">
        <v>139</v>
      </c>
      <c r="AB21" s="54" t="s">
        <v>139</v>
      </c>
      <c r="AC21" s="54" t="s">
        <v>2667</v>
      </c>
      <c r="AD21" s="54" t="s">
        <v>139</v>
      </c>
      <c r="AE21" s="55"/>
      <c r="AF21" s="56"/>
      <c r="AG21" s="56"/>
      <c r="AH21" s="57"/>
      <c r="AI21" s="56"/>
      <c r="AJ21" s="56"/>
      <c r="AK21" s="56"/>
      <c r="AL21" s="3" t="s">
        <v>1582</v>
      </c>
    </row>
    <row r="22" spans="2:38" ht="40.5">
      <c r="B22" s="144">
        <f t="shared" si="0"/>
        <v>19</v>
      </c>
      <c r="C22" s="148" t="s">
        <v>3731</v>
      </c>
      <c r="D22" s="148"/>
      <c r="E22" s="148"/>
      <c r="F22" s="148"/>
      <c r="G22" s="148"/>
      <c r="H22" s="148"/>
      <c r="I22" s="148"/>
      <c r="J22" s="148"/>
      <c r="K22" s="165" t="s">
        <v>3679</v>
      </c>
      <c r="L22" s="65" t="s">
        <v>3650</v>
      </c>
      <c r="M22" s="65"/>
      <c r="N22" s="65"/>
      <c r="O22" s="65" t="s">
        <v>2479</v>
      </c>
      <c r="P22" s="65" t="s">
        <v>2479</v>
      </c>
      <c r="Q22" s="54" t="s">
        <v>1637</v>
      </c>
      <c r="R22" s="41" t="s">
        <v>3159</v>
      </c>
      <c r="S22" s="41" t="s">
        <v>2577</v>
      </c>
      <c r="T22" s="41" t="s">
        <v>1645</v>
      </c>
      <c r="U22" s="41" t="s">
        <v>139</v>
      </c>
      <c r="V22" s="41" t="s">
        <v>139</v>
      </c>
      <c r="W22" s="41" t="s">
        <v>139</v>
      </c>
      <c r="X22" s="41" t="s">
        <v>2670</v>
      </c>
      <c r="Y22" s="41" t="s">
        <v>139</v>
      </c>
      <c r="Z22" s="73" t="s">
        <v>139</v>
      </c>
      <c r="AA22" s="54" t="s">
        <v>139</v>
      </c>
      <c r="AB22" s="54" t="s">
        <v>139</v>
      </c>
      <c r="AC22" s="54" t="s">
        <v>2667</v>
      </c>
      <c r="AD22" s="54" t="s">
        <v>139</v>
      </c>
      <c r="AE22" s="55"/>
      <c r="AF22" s="56"/>
      <c r="AG22" s="56"/>
      <c r="AH22" s="57"/>
      <c r="AI22" s="56"/>
      <c r="AJ22" s="56"/>
      <c r="AK22" s="56"/>
      <c r="AL22" s="3" t="s">
        <v>1582</v>
      </c>
    </row>
    <row r="23" spans="2:38" ht="40.5">
      <c r="B23" s="144">
        <f t="shared" si="0"/>
        <v>20</v>
      </c>
      <c r="C23" s="148" t="s">
        <v>3731</v>
      </c>
      <c r="D23" s="148"/>
      <c r="E23" s="148"/>
      <c r="F23" s="148"/>
      <c r="G23" s="148"/>
      <c r="H23" s="148"/>
      <c r="I23" s="148"/>
      <c r="J23" s="148"/>
      <c r="K23" s="165" t="s">
        <v>3679</v>
      </c>
      <c r="L23" s="65" t="s">
        <v>3650</v>
      </c>
      <c r="M23" s="65"/>
      <c r="N23" s="65"/>
      <c r="O23" s="65" t="s">
        <v>2381</v>
      </c>
      <c r="P23" s="65" t="s">
        <v>2381</v>
      </c>
      <c r="Q23" s="54" t="s">
        <v>1637</v>
      </c>
      <c r="R23" s="41" t="s">
        <v>3160</v>
      </c>
      <c r="S23" s="41" t="s">
        <v>2578</v>
      </c>
      <c r="T23" s="41" t="s">
        <v>1645</v>
      </c>
      <c r="U23" s="41" t="s">
        <v>139</v>
      </c>
      <c r="V23" s="41" t="s">
        <v>139</v>
      </c>
      <c r="W23" s="41" t="s">
        <v>139</v>
      </c>
      <c r="X23" s="41" t="s">
        <v>2670</v>
      </c>
      <c r="Y23" s="41" t="s">
        <v>139</v>
      </c>
      <c r="Z23" s="73" t="s">
        <v>139</v>
      </c>
      <c r="AA23" s="54" t="s">
        <v>139</v>
      </c>
      <c r="AB23" s="54" t="s">
        <v>139</v>
      </c>
      <c r="AC23" s="54" t="s">
        <v>2667</v>
      </c>
      <c r="AD23" s="54" t="s">
        <v>139</v>
      </c>
      <c r="AE23" s="55"/>
      <c r="AF23" s="56"/>
      <c r="AG23" s="56"/>
      <c r="AH23" s="57"/>
      <c r="AI23" s="56"/>
      <c r="AJ23" s="56"/>
      <c r="AK23" s="56"/>
      <c r="AL23" s="3" t="s">
        <v>1582</v>
      </c>
    </row>
    <row r="24" spans="2:38" ht="40.5">
      <c r="B24" s="144">
        <f t="shared" si="0"/>
        <v>21</v>
      </c>
      <c r="C24" s="148" t="s">
        <v>3731</v>
      </c>
      <c r="D24" s="148"/>
      <c r="E24" s="148"/>
      <c r="F24" s="148"/>
      <c r="G24" s="148"/>
      <c r="H24" s="148"/>
      <c r="I24" s="148"/>
      <c r="J24" s="148"/>
      <c r="K24" s="165" t="s">
        <v>3679</v>
      </c>
      <c r="L24" s="65" t="s">
        <v>3650</v>
      </c>
      <c r="M24" s="65"/>
      <c r="N24" s="65"/>
      <c r="O24" s="65" t="s">
        <v>2374</v>
      </c>
      <c r="P24" s="65" t="s">
        <v>2374</v>
      </c>
      <c r="Q24" s="54" t="s">
        <v>1637</v>
      </c>
      <c r="R24" s="41" t="s">
        <v>3161</v>
      </c>
      <c r="S24" s="41" t="s">
        <v>2579</v>
      </c>
      <c r="T24" s="41" t="s">
        <v>1645</v>
      </c>
      <c r="U24" s="41" t="s">
        <v>139</v>
      </c>
      <c r="V24" s="41" t="s">
        <v>139</v>
      </c>
      <c r="W24" s="41" t="s">
        <v>139</v>
      </c>
      <c r="X24" s="41" t="s">
        <v>2670</v>
      </c>
      <c r="Y24" s="41" t="s">
        <v>139</v>
      </c>
      <c r="Z24" s="73" t="s">
        <v>139</v>
      </c>
      <c r="AA24" s="54" t="s">
        <v>139</v>
      </c>
      <c r="AB24" s="54" t="s">
        <v>139</v>
      </c>
      <c r="AC24" s="54" t="s">
        <v>2667</v>
      </c>
      <c r="AD24" s="54" t="s">
        <v>139</v>
      </c>
      <c r="AE24" s="55"/>
      <c r="AF24" s="56"/>
      <c r="AG24" s="56"/>
      <c r="AH24" s="57"/>
      <c r="AI24" s="56"/>
      <c r="AJ24" s="56"/>
      <c r="AK24" s="56"/>
      <c r="AL24" s="3" t="s">
        <v>1582</v>
      </c>
    </row>
    <row r="25" spans="2:38" ht="40.5">
      <c r="B25" s="144">
        <f t="shared" si="0"/>
        <v>22</v>
      </c>
      <c r="C25" s="148" t="s">
        <v>3731</v>
      </c>
      <c r="D25" s="148"/>
      <c r="E25" s="148"/>
      <c r="F25" s="148"/>
      <c r="G25" s="148"/>
      <c r="H25" s="148"/>
      <c r="I25" s="148"/>
      <c r="J25" s="148"/>
      <c r="K25" s="165" t="s">
        <v>3679</v>
      </c>
      <c r="L25" s="65" t="s">
        <v>3650</v>
      </c>
      <c r="M25" s="65"/>
      <c r="N25" s="65"/>
      <c r="O25" s="65" t="s">
        <v>2396</v>
      </c>
      <c r="P25" s="65" t="s">
        <v>2396</v>
      </c>
      <c r="Q25" s="54" t="s">
        <v>1637</v>
      </c>
      <c r="R25" s="41" t="s">
        <v>3162</v>
      </c>
      <c r="S25" s="41" t="s">
        <v>2580</v>
      </c>
      <c r="T25" s="41" t="s">
        <v>1645</v>
      </c>
      <c r="U25" s="41" t="s">
        <v>139</v>
      </c>
      <c r="V25" s="41" t="s">
        <v>139</v>
      </c>
      <c r="W25" s="41" t="s">
        <v>139</v>
      </c>
      <c r="X25" s="41" t="s">
        <v>2670</v>
      </c>
      <c r="Y25" s="41" t="s">
        <v>139</v>
      </c>
      <c r="Z25" s="73" t="s">
        <v>139</v>
      </c>
      <c r="AA25" s="54" t="s">
        <v>139</v>
      </c>
      <c r="AB25" s="54" t="s">
        <v>139</v>
      </c>
      <c r="AC25" s="54" t="s">
        <v>2667</v>
      </c>
      <c r="AD25" s="54" t="s">
        <v>139</v>
      </c>
      <c r="AE25" s="55"/>
      <c r="AF25" s="56"/>
      <c r="AG25" s="56"/>
      <c r="AH25" s="57"/>
      <c r="AI25" s="56"/>
      <c r="AJ25" s="56"/>
      <c r="AK25" s="56"/>
      <c r="AL25" s="3" t="s">
        <v>1582</v>
      </c>
    </row>
    <row r="26" spans="2:38" ht="40.5">
      <c r="B26" s="144">
        <f t="shared" si="0"/>
        <v>23</v>
      </c>
      <c r="C26" s="148" t="s">
        <v>3731</v>
      </c>
      <c r="D26" s="148"/>
      <c r="E26" s="148"/>
      <c r="F26" s="148"/>
      <c r="G26" s="148"/>
      <c r="H26" s="148"/>
      <c r="I26" s="148"/>
      <c r="J26" s="148"/>
      <c r="K26" s="165" t="s">
        <v>3679</v>
      </c>
      <c r="L26" s="65" t="s">
        <v>3650</v>
      </c>
      <c r="M26" s="65"/>
      <c r="N26" s="65"/>
      <c r="O26" s="65" t="s">
        <v>2377</v>
      </c>
      <c r="P26" s="65" t="s">
        <v>2377</v>
      </c>
      <c r="Q26" s="54" t="s">
        <v>1637</v>
      </c>
      <c r="R26" s="41" t="s">
        <v>3163</v>
      </c>
      <c r="S26" s="41" t="s">
        <v>2581</v>
      </c>
      <c r="T26" s="41" t="s">
        <v>1645</v>
      </c>
      <c r="U26" s="41" t="s">
        <v>139</v>
      </c>
      <c r="V26" s="41" t="s">
        <v>139</v>
      </c>
      <c r="W26" s="41" t="s">
        <v>139</v>
      </c>
      <c r="X26" s="41" t="s">
        <v>2670</v>
      </c>
      <c r="Y26" s="41" t="s">
        <v>139</v>
      </c>
      <c r="Z26" s="73" t="s">
        <v>139</v>
      </c>
      <c r="AA26" s="54" t="s">
        <v>139</v>
      </c>
      <c r="AB26" s="54" t="s">
        <v>139</v>
      </c>
      <c r="AC26" s="54" t="s">
        <v>2667</v>
      </c>
      <c r="AD26" s="54" t="s">
        <v>139</v>
      </c>
      <c r="AE26" s="55"/>
      <c r="AF26" s="56"/>
      <c r="AG26" s="56"/>
      <c r="AH26" s="57"/>
      <c r="AI26" s="56"/>
      <c r="AJ26" s="56"/>
      <c r="AK26" s="56"/>
      <c r="AL26" s="3" t="s">
        <v>1582</v>
      </c>
    </row>
    <row r="27" spans="2:38" ht="40.5">
      <c r="B27" s="144">
        <f t="shared" si="0"/>
        <v>24</v>
      </c>
      <c r="C27" s="148" t="s">
        <v>3731</v>
      </c>
      <c r="D27" s="148"/>
      <c r="E27" s="148"/>
      <c r="F27" s="148"/>
      <c r="G27" s="148"/>
      <c r="H27" s="148"/>
      <c r="I27" s="148"/>
      <c r="J27" s="148"/>
      <c r="K27" s="165" t="s">
        <v>3679</v>
      </c>
      <c r="L27" s="65" t="s">
        <v>3650</v>
      </c>
      <c r="M27" s="65"/>
      <c r="N27" s="65"/>
      <c r="O27" s="65" t="s">
        <v>2373</v>
      </c>
      <c r="P27" s="65" t="s">
        <v>2373</v>
      </c>
      <c r="Q27" s="54" t="s">
        <v>1637</v>
      </c>
      <c r="R27" s="41" t="s">
        <v>3164</v>
      </c>
      <c r="S27" s="41" t="s">
        <v>2437</v>
      </c>
      <c r="T27" s="41" t="s">
        <v>1645</v>
      </c>
      <c r="U27" s="41" t="s">
        <v>139</v>
      </c>
      <c r="V27" s="41" t="s">
        <v>139</v>
      </c>
      <c r="W27" s="41" t="s">
        <v>139</v>
      </c>
      <c r="X27" s="41" t="s">
        <v>2670</v>
      </c>
      <c r="Y27" s="41" t="s">
        <v>139</v>
      </c>
      <c r="Z27" s="73" t="s">
        <v>139</v>
      </c>
      <c r="AA27" s="54" t="s">
        <v>139</v>
      </c>
      <c r="AB27" s="54" t="s">
        <v>139</v>
      </c>
      <c r="AC27" s="54" t="s">
        <v>2667</v>
      </c>
      <c r="AD27" s="54" t="s">
        <v>139</v>
      </c>
      <c r="AE27" s="55"/>
      <c r="AF27" s="56"/>
      <c r="AG27" s="56"/>
      <c r="AH27" s="57"/>
      <c r="AI27" s="56"/>
      <c r="AJ27" s="56"/>
      <c r="AK27" s="56"/>
      <c r="AL27" s="3" t="s">
        <v>1582</v>
      </c>
    </row>
    <row r="28" spans="2:38" ht="40.5">
      <c r="B28" s="144">
        <f t="shared" si="0"/>
        <v>25</v>
      </c>
      <c r="C28" s="148" t="s">
        <v>3731</v>
      </c>
      <c r="D28" s="148"/>
      <c r="E28" s="148"/>
      <c r="F28" s="148"/>
      <c r="G28" s="148"/>
      <c r="H28" s="148"/>
      <c r="I28" s="148"/>
      <c r="J28" s="148"/>
      <c r="K28" s="165" t="s">
        <v>3679</v>
      </c>
      <c r="L28" s="65" t="s">
        <v>3650</v>
      </c>
      <c r="M28" s="65"/>
      <c r="N28" s="65"/>
      <c r="O28" s="65" t="s">
        <v>2394</v>
      </c>
      <c r="P28" s="65" t="s">
        <v>2394</v>
      </c>
      <c r="Q28" s="54" t="s">
        <v>1637</v>
      </c>
      <c r="R28" s="41" t="s">
        <v>3165</v>
      </c>
      <c r="S28" s="41" t="s">
        <v>2582</v>
      </c>
      <c r="T28" s="41" t="s">
        <v>1645</v>
      </c>
      <c r="U28" s="41" t="s">
        <v>139</v>
      </c>
      <c r="V28" s="41" t="s">
        <v>139</v>
      </c>
      <c r="W28" s="41" t="s">
        <v>139</v>
      </c>
      <c r="X28" s="41" t="s">
        <v>2670</v>
      </c>
      <c r="Y28" s="41" t="s">
        <v>139</v>
      </c>
      <c r="Z28" s="73" t="s">
        <v>139</v>
      </c>
      <c r="AA28" s="54" t="s">
        <v>139</v>
      </c>
      <c r="AB28" s="54" t="s">
        <v>139</v>
      </c>
      <c r="AC28" s="54" t="s">
        <v>2667</v>
      </c>
      <c r="AD28" s="54" t="s">
        <v>139</v>
      </c>
      <c r="AE28" s="55"/>
      <c r="AF28" s="56"/>
      <c r="AG28" s="56"/>
      <c r="AH28" s="57"/>
      <c r="AI28" s="56"/>
      <c r="AJ28" s="56"/>
      <c r="AK28" s="56"/>
      <c r="AL28" s="3" t="s">
        <v>1582</v>
      </c>
    </row>
    <row r="29" spans="2:38" ht="40.5">
      <c r="B29" s="144">
        <f t="shared" si="0"/>
        <v>26</v>
      </c>
      <c r="C29" s="148" t="s">
        <v>3731</v>
      </c>
      <c r="D29" s="148"/>
      <c r="E29" s="148"/>
      <c r="F29" s="148"/>
      <c r="G29" s="148"/>
      <c r="H29" s="148"/>
      <c r="I29" s="148"/>
      <c r="J29" s="148"/>
      <c r="K29" s="165" t="s">
        <v>3679</v>
      </c>
      <c r="L29" s="65" t="s">
        <v>3650</v>
      </c>
      <c r="M29" s="65"/>
      <c r="N29" s="65"/>
      <c r="O29" s="65" t="s">
        <v>2480</v>
      </c>
      <c r="P29" s="65" t="s">
        <v>2480</v>
      </c>
      <c r="Q29" s="54" t="s">
        <v>1637</v>
      </c>
      <c r="R29" s="41" t="s">
        <v>3166</v>
      </c>
      <c r="S29" s="41" t="s">
        <v>2583</v>
      </c>
      <c r="T29" s="41" t="s">
        <v>1645</v>
      </c>
      <c r="U29" s="41" t="s">
        <v>139</v>
      </c>
      <c r="V29" s="41" t="s">
        <v>139</v>
      </c>
      <c r="W29" s="41" t="s">
        <v>139</v>
      </c>
      <c r="X29" s="41" t="s">
        <v>2670</v>
      </c>
      <c r="Y29" s="41" t="s">
        <v>139</v>
      </c>
      <c r="Z29" s="73" t="s">
        <v>139</v>
      </c>
      <c r="AA29" s="54" t="s">
        <v>139</v>
      </c>
      <c r="AB29" s="54" t="s">
        <v>139</v>
      </c>
      <c r="AC29" s="54" t="s">
        <v>2667</v>
      </c>
      <c r="AD29" s="54" t="s">
        <v>139</v>
      </c>
      <c r="AE29" s="55"/>
      <c r="AF29" s="56"/>
      <c r="AG29" s="56"/>
      <c r="AH29" s="57"/>
      <c r="AI29" s="56"/>
      <c r="AJ29" s="56"/>
      <c r="AK29" s="56"/>
      <c r="AL29" s="3" t="s">
        <v>1582</v>
      </c>
    </row>
    <row r="30" spans="2:38" ht="40.5">
      <c r="B30" s="144">
        <f t="shared" si="0"/>
        <v>27</v>
      </c>
      <c r="C30" s="148" t="s">
        <v>3731</v>
      </c>
      <c r="D30" s="148"/>
      <c r="E30" s="148"/>
      <c r="F30" s="148"/>
      <c r="G30" s="148"/>
      <c r="H30" s="148"/>
      <c r="I30" s="148"/>
      <c r="J30" s="148"/>
      <c r="K30" s="165" t="s">
        <v>3679</v>
      </c>
      <c r="L30" s="65" t="s">
        <v>3650</v>
      </c>
      <c r="M30" s="65"/>
      <c r="N30" s="65"/>
      <c r="O30" s="65" t="s">
        <v>2481</v>
      </c>
      <c r="P30" s="65" t="s">
        <v>2481</v>
      </c>
      <c r="Q30" s="54" t="s">
        <v>1637</v>
      </c>
      <c r="R30" s="41" t="s">
        <v>3167</v>
      </c>
      <c r="S30" s="41" t="s">
        <v>2481</v>
      </c>
      <c r="T30" s="41" t="s">
        <v>1645</v>
      </c>
      <c r="U30" s="41" t="s">
        <v>139</v>
      </c>
      <c r="V30" s="41" t="s">
        <v>139</v>
      </c>
      <c r="W30" s="41" t="s">
        <v>139</v>
      </c>
      <c r="X30" s="41" t="s">
        <v>2670</v>
      </c>
      <c r="Y30" s="41" t="s">
        <v>139</v>
      </c>
      <c r="Z30" s="73" t="s">
        <v>139</v>
      </c>
      <c r="AA30" s="54" t="s">
        <v>139</v>
      </c>
      <c r="AB30" s="54" t="s">
        <v>139</v>
      </c>
      <c r="AC30" s="54" t="s">
        <v>2667</v>
      </c>
      <c r="AD30" s="54" t="s">
        <v>139</v>
      </c>
      <c r="AE30" s="55"/>
      <c r="AF30" s="56"/>
      <c r="AG30" s="56"/>
      <c r="AH30" s="57"/>
      <c r="AI30" s="56"/>
      <c r="AJ30" s="56"/>
      <c r="AK30" s="56"/>
      <c r="AL30" s="3" t="s">
        <v>1582</v>
      </c>
    </row>
    <row r="31" spans="2:38" ht="40.5">
      <c r="B31" s="144">
        <f t="shared" si="0"/>
        <v>28</v>
      </c>
      <c r="C31" s="148" t="s">
        <v>3731</v>
      </c>
      <c r="D31" s="148"/>
      <c r="E31" s="148"/>
      <c r="F31" s="148"/>
      <c r="G31" s="148"/>
      <c r="H31" s="148"/>
      <c r="I31" s="148"/>
      <c r="J31" s="148"/>
      <c r="K31" s="165" t="s">
        <v>3679</v>
      </c>
      <c r="L31" s="65" t="s">
        <v>3650</v>
      </c>
      <c r="M31" s="65"/>
      <c r="N31" s="65"/>
      <c r="O31" s="65" t="s">
        <v>2482</v>
      </c>
      <c r="P31" s="65" t="s">
        <v>2482</v>
      </c>
      <c r="Q31" s="54" t="s">
        <v>1637</v>
      </c>
      <c r="R31" s="41" t="s">
        <v>3168</v>
      </c>
      <c r="S31" s="41" t="s">
        <v>2584</v>
      </c>
      <c r="T31" s="41" t="s">
        <v>1645</v>
      </c>
      <c r="U31" s="41" t="s">
        <v>139</v>
      </c>
      <c r="V31" s="41" t="s">
        <v>139</v>
      </c>
      <c r="W31" s="41" t="s">
        <v>139</v>
      </c>
      <c r="X31" s="41" t="s">
        <v>2670</v>
      </c>
      <c r="Y31" s="41" t="s">
        <v>139</v>
      </c>
      <c r="Z31" s="73" t="s">
        <v>139</v>
      </c>
      <c r="AA31" s="54" t="s">
        <v>139</v>
      </c>
      <c r="AB31" s="54" t="s">
        <v>139</v>
      </c>
      <c r="AC31" s="54" t="s">
        <v>2667</v>
      </c>
      <c r="AD31" s="54" t="s">
        <v>139</v>
      </c>
      <c r="AE31" s="55"/>
      <c r="AF31" s="56"/>
      <c r="AG31" s="56"/>
      <c r="AH31" s="57"/>
      <c r="AI31" s="56"/>
      <c r="AJ31" s="56"/>
      <c r="AK31" s="56"/>
      <c r="AL31" s="3" t="s">
        <v>1582</v>
      </c>
    </row>
    <row r="32" spans="2:38" ht="40.5">
      <c r="B32" s="144">
        <f t="shared" si="0"/>
        <v>29</v>
      </c>
      <c r="C32" s="148" t="s">
        <v>3731</v>
      </c>
      <c r="D32" s="148"/>
      <c r="E32" s="148"/>
      <c r="F32" s="148"/>
      <c r="G32" s="148"/>
      <c r="H32" s="148"/>
      <c r="I32" s="148"/>
      <c r="J32" s="148"/>
      <c r="K32" s="165" t="s">
        <v>3679</v>
      </c>
      <c r="L32" s="65" t="s">
        <v>3650</v>
      </c>
      <c r="M32" s="65"/>
      <c r="N32" s="65"/>
      <c r="O32" s="65" t="s">
        <v>2410</v>
      </c>
      <c r="P32" s="65" t="s">
        <v>2410</v>
      </c>
      <c r="Q32" s="54" t="s">
        <v>1637</v>
      </c>
      <c r="R32" s="41" t="s">
        <v>3169</v>
      </c>
      <c r="S32" s="41" t="s">
        <v>2585</v>
      </c>
      <c r="T32" s="41" t="s">
        <v>1645</v>
      </c>
      <c r="U32" s="41" t="s">
        <v>139</v>
      </c>
      <c r="V32" s="41" t="s">
        <v>139</v>
      </c>
      <c r="W32" s="41" t="s">
        <v>139</v>
      </c>
      <c r="X32" s="41" t="s">
        <v>2670</v>
      </c>
      <c r="Y32" s="41" t="s">
        <v>139</v>
      </c>
      <c r="Z32" s="73" t="s">
        <v>139</v>
      </c>
      <c r="AA32" s="54" t="s">
        <v>139</v>
      </c>
      <c r="AB32" s="54" t="s">
        <v>139</v>
      </c>
      <c r="AC32" s="54" t="s">
        <v>2667</v>
      </c>
      <c r="AD32" s="54" t="s">
        <v>139</v>
      </c>
      <c r="AE32" s="55"/>
      <c r="AF32" s="56"/>
      <c r="AG32" s="56"/>
      <c r="AH32" s="57"/>
      <c r="AI32" s="56"/>
      <c r="AJ32" s="56"/>
      <c r="AK32" s="56"/>
      <c r="AL32" s="3" t="s">
        <v>1582</v>
      </c>
    </row>
    <row r="33" spans="2:38" ht="40.5">
      <c r="B33" s="144">
        <f t="shared" si="0"/>
        <v>30</v>
      </c>
      <c r="C33" s="148" t="s">
        <v>3731</v>
      </c>
      <c r="D33" s="148"/>
      <c r="E33" s="148"/>
      <c r="F33" s="148"/>
      <c r="G33" s="148"/>
      <c r="H33" s="148"/>
      <c r="I33" s="148"/>
      <c r="J33" s="148"/>
      <c r="K33" s="165" t="s">
        <v>3679</v>
      </c>
      <c r="L33" s="65" t="s">
        <v>3650</v>
      </c>
      <c r="M33" s="65"/>
      <c r="N33" s="65"/>
      <c r="O33" s="65" t="s">
        <v>2375</v>
      </c>
      <c r="P33" s="65" t="s">
        <v>2375</v>
      </c>
      <c r="Q33" s="54" t="s">
        <v>1637</v>
      </c>
      <c r="R33" s="41" t="s">
        <v>3170</v>
      </c>
      <c r="S33" s="41" t="s">
        <v>2586</v>
      </c>
      <c r="T33" s="41" t="s">
        <v>1645</v>
      </c>
      <c r="U33" s="41" t="s">
        <v>139</v>
      </c>
      <c r="V33" s="41" t="s">
        <v>139</v>
      </c>
      <c r="W33" s="41" t="s">
        <v>139</v>
      </c>
      <c r="X33" s="41" t="s">
        <v>2670</v>
      </c>
      <c r="Y33" s="41" t="s">
        <v>139</v>
      </c>
      <c r="Z33" s="73" t="s">
        <v>139</v>
      </c>
      <c r="AA33" s="54" t="s">
        <v>139</v>
      </c>
      <c r="AB33" s="54" t="s">
        <v>139</v>
      </c>
      <c r="AC33" s="54" t="s">
        <v>2667</v>
      </c>
      <c r="AD33" s="54" t="s">
        <v>139</v>
      </c>
      <c r="AE33" s="55"/>
      <c r="AF33" s="56"/>
      <c r="AG33" s="56"/>
      <c r="AH33" s="57"/>
      <c r="AI33" s="56"/>
      <c r="AJ33" s="56"/>
      <c r="AK33" s="56"/>
      <c r="AL33" s="3" t="s">
        <v>1582</v>
      </c>
    </row>
    <row r="34" spans="2:38" ht="40.5">
      <c r="B34" s="144">
        <f t="shared" si="0"/>
        <v>31</v>
      </c>
      <c r="C34" s="148" t="s">
        <v>3731</v>
      </c>
      <c r="D34" s="148"/>
      <c r="E34" s="148"/>
      <c r="F34" s="148"/>
      <c r="G34" s="148"/>
      <c r="H34" s="148"/>
      <c r="I34" s="148"/>
      <c r="J34" s="148"/>
      <c r="K34" s="165" t="s">
        <v>3679</v>
      </c>
      <c r="L34" s="65" t="s">
        <v>3650</v>
      </c>
      <c r="M34" s="65"/>
      <c r="N34" s="65"/>
      <c r="O34" s="65" t="s">
        <v>2395</v>
      </c>
      <c r="P34" s="65" t="s">
        <v>2395</v>
      </c>
      <c r="Q34" s="54" t="s">
        <v>1637</v>
      </c>
      <c r="R34" s="41" t="s">
        <v>3171</v>
      </c>
      <c r="S34" s="41" t="s">
        <v>2587</v>
      </c>
      <c r="T34" s="41" t="s">
        <v>1645</v>
      </c>
      <c r="U34" s="41" t="s">
        <v>139</v>
      </c>
      <c r="V34" s="41" t="s">
        <v>139</v>
      </c>
      <c r="W34" s="41" t="s">
        <v>139</v>
      </c>
      <c r="X34" s="41" t="s">
        <v>2670</v>
      </c>
      <c r="Y34" s="41" t="s">
        <v>139</v>
      </c>
      <c r="Z34" s="73" t="s">
        <v>139</v>
      </c>
      <c r="AA34" s="54" t="s">
        <v>139</v>
      </c>
      <c r="AB34" s="54" t="s">
        <v>139</v>
      </c>
      <c r="AC34" s="54" t="s">
        <v>2667</v>
      </c>
      <c r="AD34" s="54" t="s">
        <v>139</v>
      </c>
      <c r="AE34" s="55"/>
      <c r="AF34" s="56"/>
      <c r="AG34" s="56"/>
      <c r="AH34" s="57"/>
      <c r="AI34" s="56"/>
      <c r="AJ34" s="56"/>
      <c r="AK34" s="56"/>
      <c r="AL34" s="3" t="s">
        <v>1582</v>
      </c>
    </row>
    <row r="35" spans="2:38" ht="40.5">
      <c r="B35" s="144">
        <f t="shared" si="0"/>
        <v>32</v>
      </c>
      <c r="C35" s="148" t="s">
        <v>3731</v>
      </c>
      <c r="D35" s="148"/>
      <c r="E35" s="148"/>
      <c r="F35" s="148"/>
      <c r="G35" s="148"/>
      <c r="H35" s="148"/>
      <c r="I35" s="148"/>
      <c r="J35" s="148"/>
      <c r="K35" s="165" t="s">
        <v>3679</v>
      </c>
      <c r="L35" s="65" t="s">
        <v>3650</v>
      </c>
      <c r="M35" s="65"/>
      <c r="N35" s="65"/>
      <c r="O35" s="65" t="s">
        <v>2433</v>
      </c>
      <c r="P35" s="65" t="s">
        <v>2433</v>
      </c>
      <c r="Q35" s="54" t="s">
        <v>1637</v>
      </c>
      <c r="R35" s="41" t="s">
        <v>3172</v>
      </c>
      <c r="S35" s="41" t="s">
        <v>2588</v>
      </c>
      <c r="T35" s="41" t="s">
        <v>1645</v>
      </c>
      <c r="U35" s="41" t="s">
        <v>139</v>
      </c>
      <c r="V35" s="41" t="s">
        <v>139</v>
      </c>
      <c r="W35" s="41" t="s">
        <v>139</v>
      </c>
      <c r="X35" s="41" t="s">
        <v>2670</v>
      </c>
      <c r="Y35" s="41" t="s">
        <v>139</v>
      </c>
      <c r="Z35" s="73" t="s">
        <v>139</v>
      </c>
      <c r="AA35" s="54" t="s">
        <v>139</v>
      </c>
      <c r="AB35" s="54" t="s">
        <v>139</v>
      </c>
      <c r="AC35" s="54" t="s">
        <v>2667</v>
      </c>
      <c r="AD35" s="54" t="s">
        <v>139</v>
      </c>
      <c r="AE35" s="55"/>
      <c r="AF35" s="56"/>
      <c r="AG35" s="56"/>
      <c r="AH35" s="57"/>
      <c r="AI35" s="56"/>
      <c r="AJ35" s="56"/>
      <c r="AK35" s="56"/>
      <c r="AL35" s="3" t="s">
        <v>1582</v>
      </c>
    </row>
    <row r="36" spans="2:38" ht="40.5">
      <c r="B36" s="144">
        <f t="shared" si="0"/>
        <v>33</v>
      </c>
      <c r="C36" s="148" t="s">
        <v>3731</v>
      </c>
      <c r="D36" s="148"/>
      <c r="E36" s="148"/>
      <c r="F36" s="148"/>
      <c r="G36" s="148"/>
      <c r="H36" s="148"/>
      <c r="I36" s="148"/>
      <c r="J36" s="148"/>
      <c r="K36" s="165" t="s">
        <v>3679</v>
      </c>
      <c r="L36" s="65" t="s">
        <v>3650</v>
      </c>
      <c r="M36" s="65"/>
      <c r="N36" s="65"/>
      <c r="O36" s="65" t="s">
        <v>2378</v>
      </c>
      <c r="P36" s="65" t="s">
        <v>2378</v>
      </c>
      <c r="Q36" s="54" t="s">
        <v>1637</v>
      </c>
      <c r="R36" s="41" t="s">
        <v>3173</v>
      </c>
      <c r="S36" s="41" t="s">
        <v>2589</v>
      </c>
      <c r="T36" s="41" t="s">
        <v>1645</v>
      </c>
      <c r="U36" s="41" t="s">
        <v>139</v>
      </c>
      <c r="V36" s="41" t="s">
        <v>139</v>
      </c>
      <c r="W36" s="41" t="s">
        <v>139</v>
      </c>
      <c r="X36" s="41" t="s">
        <v>2670</v>
      </c>
      <c r="Y36" s="41" t="s">
        <v>139</v>
      </c>
      <c r="Z36" s="73" t="s">
        <v>139</v>
      </c>
      <c r="AA36" s="54" t="s">
        <v>139</v>
      </c>
      <c r="AB36" s="54" t="s">
        <v>139</v>
      </c>
      <c r="AC36" s="54" t="s">
        <v>2667</v>
      </c>
      <c r="AD36" s="54" t="s">
        <v>139</v>
      </c>
      <c r="AE36" s="55"/>
      <c r="AF36" s="56"/>
      <c r="AG36" s="56"/>
      <c r="AH36" s="57"/>
      <c r="AI36" s="56"/>
      <c r="AJ36" s="56"/>
      <c r="AK36" s="56"/>
      <c r="AL36" s="3" t="s">
        <v>1582</v>
      </c>
    </row>
    <row r="37" spans="2:38" ht="40.5">
      <c r="B37" s="144">
        <f t="shared" si="0"/>
        <v>34</v>
      </c>
      <c r="C37" s="148" t="s">
        <v>3731</v>
      </c>
      <c r="D37" s="148"/>
      <c r="E37" s="148"/>
      <c r="F37" s="148"/>
      <c r="G37" s="148"/>
      <c r="H37" s="148"/>
      <c r="I37" s="148"/>
      <c r="J37" s="148"/>
      <c r="K37" s="165" t="s">
        <v>3679</v>
      </c>
      <c r="L37" s="65" t="s">
        <v>3650</v>
      </c>
      <c r="M37" s="65"/>
      <c r="N37" s="65"/>
      <c r="O37" s="65" t="s">
        <v>2483</v>
      </c>
      <c r="P37" s="65" t="s">
        <v>2483</v>
      </c>
      <c r="Q37" s="54" t="s">
        <v>1637</v>
      </c>
      <c r="R37" s="41" t="s">
        <v>3174</v>
      </c>
      <c r="S37" s="41" t="s">
        <v>2590</v>
      </c>
      <c r="T37" s="41"/>
      <c r="U37" s="41" t="s">
        <v>139</v>
      </c>
      <c r="V37" s="41" t="s">
        <v>139</v>
      </c>
      <c r="W37" s="41" t="s">
        <v>139</v>
      </c>
      <c r="X37" s="41" t="s">
        <v>2670</v>
      </c>
      <c r="Y37" s="41" t="s">
        <v>139</v>
      </c>
      <c r="Z37" s="73" t="s">
        <v>139</v>
      </c>
      <c r="AA37" s="54" t="s">
        <v>139</v>
      </c>
      <c r="AB37" s="54" t="s">
        <v>139</v>
      </c>
      <c r="AC37" s="54" t="s">
        <v>2667</v>
      </c>
      <c r="AD37" s="54" t="s">
        <v>139</v>
      </c>
      <c r="AE37" s="55"/>
      <c r="AF37" s="56"/>
      <c r="AG37" s="56"/>
      <c r="AH37" s="57"/>
      <c r="AI37" s="56"/>
      <c r="AJ37" s="56"/>
      <c r="AK37" s="56"/>
      <c r="AL37" s="3" t="s">
        <v>1582</v>
      </c>
    </row>
    <row r="38" spans="2:38" ht="40.5">
      <c r="B38" s="144">
        <f t="shared" si="0"/>
        <v>35</v>
      </c>
      <c r="C38" s="148" t="s">
        <v>3731</v>
      </c>
      <c r="D38" s="148"/>
      <c r="E38" s="148"/>
      <c r="F38" s="148"/>
      <c r="G38" s="148"/>
      <c r="H38" s="148"/>
      <c r="I38" s="148"/>
      <c r="J38" s="148"/>
      <c r="K38" s="165" t="s">
        <v>3679</v>
      </c>
      <c r="L38" s="65" t="s">
        <v>3650</v>
      </c>
      <c r="M38" s="65"/>
      <c r="N38" s="65"/>
      <c r="O38" s="65" t="s">
        <v>2484</v>
      </c>
      <c r="P38" s="65" t="s">
        <v>2484</v>
      </c>
      <c r="Q38" s="54" t="s">
        <v>1637</v>
      </c>
      <c r="R38" s="41" t="s">
        <v>3175</v>
      </c>
      <c r="S38" s="41" t="s">
        <v>2591</v>
      </c>
      <c r="T38" s="41"/>
      <c r="U38" s="41" t="s">
        <v>139</v>
      </c>
      <c r="V38" s="41" t="s">
        <v>139</v>
      </c>
      <c r="W38" s="41" t="s">
        <v>139</v>
      </c>
      <c r="X38" s="41" t="s">
        <v>2670</v>
      </c>
      <c r="Y38" s="41" t="s">
        <v>139</v>
      </c>
      <c r="Z38" s="73" t="s">
        <v>139</v>
      </c>
      <c r="AA38" s="54" t="s">
        <v>139</v>
      </c>
      <c r="AB38" s="54" t="s">
        <v>139</v>
      </c>
      <c r="AC38" s="54" t="s">
        <v>2667</v>
      </c>
      <c r="AD38" s="54" t="s">
        <v>139</v>
      </c>
      <c r="AE38" s="55"/>
      <c r="AF38" s="56"/>
      <c r="AG38" s="56"/>
      <c r="AH38" s="57"/>
      <c r="AI38" s="56"/>
      <c r="AJ38" s="56"/>
      <c r="AK38" s="56"/>
      <c r="AL38" s="3" t="s">
        <v>1582</v>
      </c>
    </row>
    <row r="39" spans="2:38" ht="40.5">
      <c r="B39" s="144">
        <f t="shared" si="0"/>
        <v>36</v>
      </c>
      <c r="C39" s="148" t="s">
        <v>3731</v>
      </c>
      <c r="D39" s="148"/>
      <c r="E39" s="148"/>
      <c r="F39" s="148"/>
      <c r="G39" s="148"/>
      <c r="H39" s="148"/>
      <c r="I39" s="148"/>
      <c r="J39" s="148"/>
      <c r="K39" s="165" t="s">
        <v>3679</v>
      </c>
      <c r="L39" s="65" t="s">
        <v>3650</v>
      </c>
      <c r="M39" s="65"/>
      <c r="N39" s="65"/>
      <c r="O39" s="65" t="s">
        <v>2485</v>
      </c>
      <c r="P39" s="65" t="s">
        <v>2485</v>
      </c>
      <c r="Q39" s="54" t="s">
        <v>1637</v>
      </c>
      <c r="R39" s="41" t="s">
        <v>3176</v>
      </c>
      <c r="S39" s="41" t="s">
        <v>2592</v>
      </c>
      <c r="T39" s="41"/>
      <c r="U39" s="41" t="s">
        <v>139</v>
      </c>
      <c r="V39" s="41" t="s">
        <v>139</v>
      </c>
      <c r="W39" s="41" t="s">
        <v>139</v>
      </c>
      <c r="X39" s="41" t="s">
        <v>2670</v>
      </c>
      <c r="Y39" s="41" t="s">
        <v>139</v>
      </c>
      <c r="Z39" s="73" t="s">
        <v>139</v>
      </c>
      <c r="AA39" s="54" t="s">
        <v>139</v>
      </c>
      <c r="AB39" s="54" t="s">
        <v>139</v>
      </c>
      <c r="AC39" s="54" t="s">
        <v>2667</v>
      </c>
      <c r="AD39" s="54" t="s">
        <v>139</v>
      </c>
      <c r="AE39" s="55"/>
      <c r="AF39" s="56"/>
      <c r="AG39" s="56"/>
      <c r="AH39" s="57"/>
      <c r="AI39" s="56"/>
      <c r="AJ39" s="56"/>
      <c r="AK39" s="56"/>
      <c r="AL39" s="3" t="s">
        <v>1582</v>
      </c>
    </row>
    <row r="40" spans="2:38" ht="40.5">
      <c r="B40" s="144">
        <f t="shared" si="0"/>
        <v>37</v>
      </c>
      <c r="C40" s="148" t="s">
        <v>3731</v>
      </c>
      <c r="D40" s="148"/>
      <c r="E40" s="148"/>
      <c r="F40" s="148"/>
      <c r="G40" s="148"/>
      <c r="H40" s="148"/>
      <c r="I40" s="148"/>
      <c r="J40" s="148"/>
      <c r="K40" s="165" t="s">
        <v>3679</v>
      </c>
      <c r="L40" s="65" t="s">
        <v>3650</v>
      </c>
      <c r="M40" s="65"/>
      <c r="N40" s="65"/>
      <c r="O40" s="65" t="s">
        <v>2409</v>
      </c>
      <c r="P40" s="65" t="s">
        <v>2409</v>
      </c>
      <c r="Q40" s="54" t="s">
        <v>1637</v>
      </c>
      <c r="R40" s="41" t="s">
        <v>3177</v>
      </c>
      <c r="S40" s="41" t="s">
        <v>2593</v>
      </c>
      <c r="T40" s="41"/>
      <c r="U40" s="41" t="s">
        <v>139</v>
      </c>
      <c r="V40" s="41" t="s">
        <v>139</v>
      </c>
      <c r="W40" s="41" t="s">
        <v>139</v>
      </c>
      <c r="X40" s="41" t="s">
        <v>2670</v>
      </c>
      <c r="Y40" s="41" t="s">
        <v>139</v>
      </c>
      <c r="Z40" s="73" t="s">
        <v>139</v>
      </c>
      <c r="AA40" s="54" t="s">
        <v>139</v>
      </c>
      <c r="AB40" s="54" t="s">
        <v>139</v>
      </c>
      <c r="AC40" s="54" t="s">
        <v>2667</v>
      </c>
      <c r="AD40" s="54" t="s">
        <v>139</v>
      </c>
      <c r="AE40" s="55"/>
      <c r="AF40" s="56"/>
      <c r="AG40" s="56"/>
      <c r="AH40" s="57"/>
      <c r="AI40" s="56"/>
      <c r="AJ40" s="56"/>
      <c r="AK40" s="56"/>
      <c r="AL40" s="3" t="s">
        <v>1582</v>
      </c>
    </row>
    <row r="41" spans="2:38" ht="40.5">
      <c r="B41" s="144">
        <f t="shared" si="0"/>
        <v>38</v>
      </c>
      <c r="C41" s="148" t="s">
        <v>3731</v>
      </c>
      <c r="D41" s="148"/>
      <c r="E41" s="148"/>
      <c r="F41" s="148"/>
      <c r="G41" s="148"/>
      <c r="H41" s="148"/>
      <c r="I41" s="148"/>
      <c r="J41" s="148"/>
      <c r="K41" s="165" t="s">
        <v>3679</v>
      </c>
      <c r="L41" s="65" t="s">
        <v>3650</v>
      </c>
      <c r="M41" s="65"/>
      <c r="N41" s="165"/>
      <c r="O41" s="165" t="s">
        <v>1208</v>
      </c>
      <c r="P41" s="165" t="s">
        <v>1208</v>
      </c>
      <c r="Q41" s="126" t="s">
        <v>1209</v>
      </c>
      <c r="R41" s="40" t="s">
        <v>1210</v>
      </c>
      <c r="S41" s="40"/>
      <c r="T41" s="40" t="s">
        <v>139</v>
      </c>
      <c r="U41" s="41" t="s">
        <v>1211</v>
      </c>
      <c r="V41" s="41" t="s">
        <v>139</v>
      </c>
      <c r="W41" s="41" t="s">
        <v>139</v>
      </c>
      <c r="X41" s="41" t="s">
        <v>139</v>
      </c>
      <c r="Y41" s="41" t="s">
        <v>139</v>
      </c>
      <c r="Z41" s="74" t="s">
        <v>163</v>
      </c>
      <c r="AA41" s="41" t="s">
        <v>139</v>
      </c>
      <c r="AB41" s="41" t="s">
        <v>139</v>
      </c>
      <c r="AC41" s="41" t="s">
        <v>139</v>
      </c>
      <c r="AD41" s="41" t="s">
        <v>139</v>
      </c>
      <c r="AE41" s="44"/>
      <c r="AF41" s="45"/>
      <c r="AG41" s="45"/>
      <c r="AH41" s="46"/>
      <c r="AI41" s="45"/>
      <c r="AJ41" s="45"/>
      <c r="AK41" s="45"/>
      <c r="AL41" s="3" t="s">
        <v>1582</v>
      </c>
    </row>
    <row r="42" spans="2:38" ht="40.5">
      <c r="B42" s="144">
        <f t="shared" si="0"/>
        <v>39</v>
      </c>
      <c r="C42" s="148" t="s">
        <v>3731</v>
      </c>
      <c r="D42" s="148"/>
      <c r="E42" s="148"/>
      <c r="F42" s="148"/>
      <c r="G42" s="148"/>
      <c r="H42" s="148"/>
      <c r="I42" s="148"/>
      <c r="J42" s="148"/>
      <c r="K42" s="165" t="s">
        <v>3679</v>
      </c>
      <c r="L42" s="65" t="s">
        <v>3650</v>
      </c>
      <c r="M42" s="65"/>
      <c r="N42" s="65"/>
      <c r="O42" s="65" t="s">
        <v>2432</v>
      </c>
      <c r="P42" s="65" t="s">
        <v>2432</v>
      </c>
      <c r="Q42" s="54" t="s">
        <v>1637</v>
      </c>
      <c r="R42" s="41" t="s">
        <v>3178</v>
      </c>
      <c r="S42" s="41" t="s">
        <v>2594</v>
      </c>
      <c r="T42" s="41"/>
      <c r="U42" s="41" t="s">
        <v>139</v>
      </c>
      <c r="V42" s="41" t="s">
        <v>139</v>
      </c>
      <c r="W42" s="41" t="s">
        <v>139</v>
      </c>
      <c r="X42" s="41" t="s">
        <v>2670</v>
      </c>
      <c r="Y42" s="41" t="s">
        <v>139</v>
      </c>
      <c r="Z42" s="73" t="s">
        <v>139</v>
      </c>
      <c r="AA42" s="54" t="s">
        <v>139</v>
      </c>
      <c r="AB42" s="54" t="s">
        <v>139</v>
      </c>
      <c r="AC42" s="54" t="s">
        <v>2667</v>
      </c>
      <c r="AD42" s="54" t="s">
        <v>139</v>
      </c>
      <c r="AE42" s="55"/>
      <c r="AF42" s="56"/>
      <c r="AG42" s="56"/>
      <c r="AH42" s="57"/>
      <c r="AI42" s="56"/>
      <c r="AJ42" s="56"/>
      <c r="AK42" s="56"/>
      <c r="AL42" s="3" t="s">
        <v>1582</v>
      </c>
    </row>
    <row r="43" spans="2:38" ht="40.5">
      <c r="B43" s="144">
        <f t="shared" si="0"/>
        <v>40</v>
      </c>
      <c r="C43" s="148" t="s">
        <v>3731</v>
      </c>
      <c r="D43" s="148"/>
      <c r="E43" s="148"/>
      <c r="F43" s="148"/>
      <c r="G43" s="148"/>
      <c r="H43" s="148"/>
      <c r="I43" s="148"/>
      <c r="J43" s="148"/>
      <c r="K43" s="165" t="s">
        <v>3679</v>
      </c>
      <c r="L43" s="65" t="s">
        <v>3650</v>
      </c>
      <c r="M43" s="65"/>
      <c r="N43" s="65"/>
      <c r="O43" s="65" t="s">
        <v>2486</v>
      </c>
      <c r="P43" s="65" t="s">
        <v>2486</v>
      </c>
      <c r="Q43" s="54" t="s">
        <v>1637</v>
      </c>
      <c r="R43" s="41" t="s">
        <v>3179</v>
      </c>
      <c r="S43" s="41" t="s">
        <v>2595</v>
      </c>
      <c r="T43" s="41"/>
      <c r="U43" s="41" t="s">
        <v>139</v>
      </c>
      <c r="V43" s="41" t="s">
        <v>139</v>
      </c>
      <c r="W43" s="41" t="s">
        <v>139</v>
      </c>
      <c r="X43" s="41" t="s">
        <v>2670</v>
      </c>
      <c r="Y43" s="41" t="s">
        <v>139</v>
      </c>
      <c r="Z43" s="73" t="s">
        <v>139</v>
      </c>
      <c r="AA43" s="54" t="s">
        <v>139</v>
      </c>
      <c r="AB43" s="54" t="s">
        <v>139</v>
      </c>
      <c r="AC43" s="54" t="s">
        <v>2667</v>
      </c>
      <c r="AD43" s="54" t="s">
        <v>139</v>
      </c>
      <c r="AE43" s="55"/>
      <c r="AF43" s="56"/>
      <c r="AG43" s="56"/>
      <c r="AH43" s="57"/>
      <c r="AI43" s="56"/>
      <c r="AJ43" s="56"/>
      <c r="AK43" s="56"/>
      <c r="AL43" s="3" t="s">
        <v>1582</v>
      </c>
    </row>
    <row r="44" spans="2:38" ht="40.5">
      <c r="B44" s="144">
        <f t="shared" si="0"/>
        <v>41</v>
      </c>
      <c r="C44" s="148" t="s">
        <v>3731</v>
      </c>
      <c r="D44" s="148"/>
      <c r="E44" s="148"/>
      <c r="F44" s="148"/>
      <c r="G44" s="148"/>
      <c r="H44" s="148"/>
      <c r="I44" s="148"/>
      <c r="J44" s="148"/>
      <c r="K44" s="165" t="s">
        <v>3679</v>
      </c>
      <c r="L44" s="65" t="s">
        <v>3650</v>
      </c>
      <c r="M44" s="65"/>
      <c r="N44" s="165"/>
      <c r="O44" s="165" t="s">
        <v>1232</v>
      </c>
      <c r="P44" s="165" t="s">
        <v>1232</v>
      </c>
      <c r="Q44" s="126" t="s">
        <v>1233</v>
      </c>
      <c r="R44" s="40" t="s">
        <v>1234</v>
      </c>
      <c r="S44" s="40"/>
      <c r="T44" s="40" t="s">
        <v>139</v>
      </c>
      <c r="U44" s="41" t="s">
        <v>1235</v>
      </c>
      <c r="V44" s="41" t="s">
        <v>139</v>
      </c>
      <c r="W44" s="41" t="s">
        <v>139</v>
      </c>
      <c r="X44" s="41" t="s">
        <v>139</v>
      </c>
      <c r="Y44" s="41" t="s">
        <v>139</v>
      </c>
      <c r="Z44" s="74" t="s">
        <v>163</v>
      </c>
      <c r="AA44" s="41" t="s">
        <v>139</v>
      </c>
      <c r="AB44" s="41" t="s">
        <v>139</v>
      </c>
      <c r="AC44" s="41" t="s">
        <v>139</v>
      </c>
      <c r="AD44" s="41" t="s">
        <v>139</v>
      </c>
      <c r="AE44" s="44"/>
      <c r="AF44" s="45"/>
      <c r="AG44" s="45"/>
      <c r="AH44" s="46"/>
      <c r="AI44" s="45"/>
      <c r="AJ44" s="45"/>
      <c r="AK44" s="45"/>
      <c r="AL44" s="3" t="s">
        <v>1582</v>
      </c>
    </row>
    <row r="45" spans="2:38" ht="40.5">
      <c r="B45" s="144">
        <f t="shared" si="0"/>
        <v>42</v>
      </c>
      <c r="C45" s="148" t="s">
        <v>3731</v>
      </c>
      <c r="D45" s="148"/>
      <c r="E45" s="148"/>
      <c r="F45" s="148"/>
      <c r="G45" s="148"/>
      <c r="H45" s="148"/>
      <c r="I45" s="148"/>
      <c r="J45" s="148"/>
      <c r="K45" s="165" t="s">
        <v>3679</v>
      </c>
      <c r="L45" s="65" t="s">
        <v>3650</v>
      </c>
      <c r="M45" s="65"/>
      <c r="N45" s="65"/>
      <c r="O45" s="65" t="s">
        <v>2380</v>
      </c>
      <c r="P45" s="65" t="s">
        <v>2380</v>
      </c>
      <c r="Q45" s="54" t="s">
        <v>1637</v>
      </c>
      <c r="R45" s="41" t="s">
        <v>3180</v>
      </c>
      <c r="S45" s="41" t="s">
        <v>2596</v>
      </c>
      <c r="T45" s="41"/>
      <c r="U45" s="41" t="s">
        <v>139</v>
      </c>
      <c r="V45" s="41" t="s">
        <v>139</v>
      </c>
      <c r="W45" s="41" t="s">
        <v>139</v>
      </c>
      <c r="X45" s="41" t="s">
        <v>2670</v>
      </c>
      <c r="Y45" s="41" t="s">
        <v>139</v>
      </c>
      <c r="Z45" s="73" t="s">
        <v>139</v>
      </c>
      <c r="AA45" s="54" t="s">
        <v>139</v>
      </c>
      <c r="AB45" s="54" t="s">
        <v>139</v>
      </c>
      <c r="AC45" s="54" t="s">
        <v>2667</v>
      </c>
      <c r="AD45" s="54" t="s">
        <v>139</v>
      </c>
      <c r="AE45" s="55"/>
      <c r="AF45" s="56"/>
      <c r="AG45" s="56"/>
      <c r="AH45" s="57"/>
      <c r="AI45" s="56"/>
      <c r="AJ45" s="56"/>
      <c r="AK45" s="56"/>
      <c r="AL45" s="3" t="s">
        <v>1582</v>
      </c>
    </row>
    <row r="46" spans="2:38" ht="40.5">
      <c r="B46" s="144">
        <f t="shared" si="0"/>
        <v>43</v>
      </c>
      <c r="C46" s="148" t="s">
        <v>3731</v>
      </c>
      <c r="D46" s="148"/>
      <c r="E46" s="148"/>
      <c r="F46" s="148"/>
      <c r="G46" s="148"/>
      <c r="H46" s="148"/>
      <c r="I46" s="148"/>
      <c r="J46" s="148"/>
      <c r="K46" s="165" t="s">
        <v>3679</v>
      </c>
      <c r="L46" s="65" t="s">
        <v>3650</v>
      </c>
      <c r="M46" s="65"/>
      <c r="N46" s="65"/>
      <c r="O46" s="65" t="s">
        <v>2487</v>
      </c>
      <c r="P46" s="65" t="s">
        <v>2487</v>
      </c>
      <c r="Q46" s="54" t="s">
        <v>1637</v>
      </c>
      <c r="R46" s="41" t="s">
        <v>3181</v>
      </c>
      <c r="S46" s="41" t="s">
        <v>2597</v>
      </c>
      <c r="T46" s="41"/>
      <c r="U46" s="41" t="s">
        <v>139</v>
      </c>
      <c r="V46" s="41" t="s">
        <v>139</v>
      </c>
      <c r="W46" s="41" t="s">
        <v>139</v>
      </c>
      <c r="X46" s="41" t="s">
        <v>2670</v>
      </c>
      <c r="Y46" s="41" t="s">
        <v>139</v>
      </c>
      <c r="Z46" s="73" t="s">
        <v>139</v>
      </c>
      <c r="AA46" s="54" t="s">
        <v>139</v>
      </c>
      <c r="AB46" s="54" t="s">
        <v>139</v>
      </c>
      <c r="AC46" s="54" t="s">
        <v>2667</v>
      </c>
      <c r="AD46" s="54" t="s">
        <v>139</v>
      </c>
      <c r="AE46" s="55"/>
      <c r="AF46" s="56"/>
      <c r="AG46" s="56"/>
      <c r="AH46" s="57"/>
      <c r="AI46" s="56"/>
      <c r="AJ46" s="56"/>
      <c r="AK46" s="56"/>
      <c r="AL46" s="3" t="s">
        <v>1582</v>
      </c>
    </row>
    <row r="47" spans="2:38" ht="40.5">
      <c r="B47" s="144">
        <f t="shared" si="0"/>
        <v>44</v>
      </c>
      <c r="C47" s="148" t="s">
        <v>3731</v>
      </c>
      <c r="D47" s="148"/>
      <c r="E47" s="148"/>
      <c r="F47" s="148"/>
      <c r="G47" s="148"/>
      <c r="H47" s="148"/>
      <c r="I47" s="148"/>
      <c r="J47" s="148"/>
      <c r="K47" s="165" t="s">
        <v>3679</v>
      </c>
      <c r="L47" s="65" t="s">
        <v>3650</v>
      </c>
      <c r="M47" s="65"/>
      <c r="N47" s="65"/>
      <c r="O47" s="65" t="s">
        <v>2382</v>
      </c>
      <c r="P47" s="65" t="s">
        <v>2382</v>
      </c>
      <c r="Q47" s="54" t="s">
        <v>1637</v>
      </c>
      <c r="R47" s="41" t="s">
        <v>3182</v>
      </c>
      <c r="S47" s="41" t="s">
        <v>2598</v>
      </c>
      <c r="T47" s="41"/>
      <c r="U47" s="41" t="s">
        <v>139</v>
      </c>
      <c r="V47" s="41" t="s">
        <v>139</v>
      </c>
      <c r="W47" s="41" t="s">
        <v>139</v>
      </c>
      <c r="X47" s="41" t="s">
        <v>2670</v>
      </c>
      <c r="Y47" s="41" t="s">
        <v>139</v>
      </c>
      <c r="Z47" s="73" t="s">
        <v>139</v>
      </c>
      <c r="AA47" s="54" t="s">
        <v>139</v>
      </c>
      <c r="AB47" s="54" t="s">
        <v>139</v>
      </c>
      <c r="AC47" s="54" t="s">
        <v>2667</v>
      </c>
      <c r="AD47" s="54" t="s">
        <v>139</v>
      </c>
      <c r="AE47" s="55"/>
      <c r="AF47" s="56"/>
      <c r="AG47" s="56"/>
      <c r="AH47" s="57"/>
      <c r="AI47" s="56"/>
      <c r="AJ47" s="56"/>
      <c r="AK47" s="56"/>
      <c r="AL47" s="3" t="s">
        <v>1582</v>
      </c>
    </row>
    <row r="48" spans="2:38" ht="40.5">
      <c r="B48" s="144">
        <f t="shared" si="0"/>
        <v>45</v>
      </c>
      <c r="C48" s="148" t="s">
        <v>3731</v>
      </c>
      <c r="D48" s="148"/>
      <c r="E48" s="148"/>
      <c r="F48" s="148"/>
      <c r="G48" s="148"/>
      <c r="H48" s="148"/>
      <c r="I48" s="148"/>
      <c r="J48" s="148"/>
      <c r="K48" s="165" t="s">
        <v>3679</v>
      </c>
      <c r="L48" s="65" t="s">
        <v>3650</v>
      </c>
      <c r="M48" s="65"/>
      <c r="N48" s="65"/>
      <c r="O48" s="65" t="s">
        <v>2383</v>
      </c>
      <c r="P48" s="65" t="s">
        <v>2383</v>
      </c>
      <c r="Q48" s="54" t="s">
        <v>1637</v>
      </c>
      <c r="R48" s="41" t="s">
        <v>3183</v>
      </c>
      <c r="S48" s="41" t="s">
        <v>2599</v>
      </c>
      <c r="T48" s="41"/>
      <c r="U48" s="41" t="s">
        <v>139</v>
      </c>
      <c r="V48" s="41" t="s">
        <v>139</v>
      </c>
      <c r="W48" s="41" t="s">
        <v>139</v>
      </c>
      <c r="X48" s="41" t="s">
        <v>2670</v>
      </c>
      <c r="Y48" s="41" t="s">
        <v>139</v>
      </c>
      <c r="Z48" s="73" t="s">
        <v>139</v>
      </c>
      <c r="AA48" s="54" t="s">
        <v>139</v>
      </c>
      <c r="AB48" s="54" t="s">
        <v>139</v>
      </c>
      <c r="AC48" s="54" t="s">
        <v>2667</v>
      </c>
      <c r="AD48" s="54" t="s">
        <v>139</v>
      </c>
      <c r="AE48" s="55"/>
      <c r="AF48" s="56"/>
      <c r="AG48" s="56"/>
      <c r="AH48" s="57"/>
      <c r="AI48" s="56"/>
      <c r="AJ48" s="56"/>
      <c r="AK48" s="56"/>
      <c r="AL48" s="3" t="s">
        <v>1582</v>
      </c>
    </row>
    <row r="49" spans="2:38" ht="40.5">
      <c r="B49" s="144">
        <f t="shared" si="0"/>
        <v>46</v>
      </c>
      <c r="C49" s="148" t="s">
        <v>3731</v>
      </c>
      <c r="D49" s="148"/>
      <c r="E49" s="148"/>
      <c r="F49" s="148"/>
      <c r="G49" s="148"/>
      <c r="H49" s="148"/>
      <c r="I49" s="148"/>
      <c r="J49" s="148"/>
      <c r="K49" s="165" t="s">
        <v>3679</v>
      </c>
      <c r="L49" s="65" t="s">
        <v>3650</v>
      </c>
      <c r="M49" s="65"/>
      <c r="N49" s="65"/>
      <c r="O49" s="65" t="s">
        <v>2488</v>
      </c>
      <c r="P49" s="65" t="s">
        <v>2488</v>
      </c>
      <c r="Q49" s="54" t="s">
        <v>1637</v>
      </c>
      <c r="R49" s="41" t="s">
        <v>3184</v>
      </c>
      <c r="S49" s="41" t="s">
        <v>2600</v>
      </c>
      <c r="T49" s="41"/>
      <c r="U49" s="41" t="s">
        <v>139</v>
      </c>
      <c r="V49" s="41" t="s">
        <v>139</v>
      </c>
      <c r="W49" s="41" t="s">
        <v>139</v>
      </c>
      <c r="X49" s="41" t="s">
        <v>2670</v>
      </c>
      <c r="Y49" s="41" t="s">
        <v>139</v>
      </c>
      <c r="Z49" s="73" t="s">
        <v>139</v>
      </c>
      <c r="AA49" s="54" t="s">
        <v>139</v>
      </c>
      <c r="AB49" s="54" t="s">
        <v>139</v>
      </c>
      <c r="AC49" s="54" t="s">
        <v>2667</v>
      </c>
      <c r="AD49" s="54" t="s">
        <v>139</v>
      </c>
      <c r="AE49" s="55"/>
      <c r="AF49" s="56"/>
      <c r="AG49" s="56"/>
      <c r="AH49" s="57"/>
      <c r="AI49" s="56"/>
      <c r="AJ49" s="56"/>
      <c r="AK49" s="56"/>
      <c r="AL49" s="3" t="s">
        <v>1582</v>
      </c>
    </row>
    <row r="50" spans="2:38" ht="40.5">
      <c r="B50" s="144">
        <f t="shared" si="0"/>
        <v>47</v>
      </c>
      <c r="C50" s="148" t="s">
        <v>3731</v>
      </c>
      <c r="D50" s="148"/>
      <c r="E50" s="148"/>
      <c r="F50" s="148"/>
      <c r="G50" s="148"/>
      <c r="H50" s="148"/>
      <c r="I50" s="148"/>
      <c r="J50" s="148"/>
      <c r="K50" s="165" t="s">
        <v>3679</v>
      </c>
      <c r="L50" s="65" t="s">
        <v>3650</v>
      </c>
      <c r="M50" s="65"/>
      <c r="N50" s="65"/>
      <c r="O50" s="65" t="s">
        <v>2489</v>
      </c>
      <c r="P50" s="65" t="s">
        <v>2489</v>
      </c>
      <c r="Q50" s="54" t="s">
        <v>1637</v>
      </c>
      <c r="R50" s="41" t="s">
        <v>3185</v>
      </c>
      <c r="S50" s="41" t="s">
        <v>2601</v>
      </c>
      <c r="T50" s="41"/>
      <c r="U50" s="41" t="s">
        <v>139</v>
      </c>
      <c r="V50" s="41" t="s">
        <v>139</v>
      </c>
      <c r="W50" s="41" t="s">
        <v>139</v>
      </c>
      <c r="X50" s="41" t="s">
        <v>2670</v>
      </c>
      <c r="Y50" s="41" t="s">
        <v>139</v>
      </c>
      <c r="Z50" s="73" t="s">
        <v>139</v>
      </c>
      <c r="AA50" s="54" t="s">
        <v>139</v>
      </c>
      <c r="AB50" s="54" t="s">
        <v>139</v>
      </c>
      <c r="AC50" s="54" t="s">
        <v>2667</v>
      </c>
      <c r="AD50" s="54" t="s">
        <v>139</v>
      </c>
      <c r="AE50" s="55"/>
      <c r="AF50" s="56"/>
      <c r="AG50" s="56"/>
      <c r="AH50" s="57"/>
      <c r="AI50" s="56"/>
      <c r="AJ50" s="56"/>
      <c r="AK50" s="56"/>
      <c r="AL50" s="3" t="s">
        <v>1582</v>
      </c>
    </row>
    <row r="51" spans="2:38" ht="40.5">
      <c r="B51" s="144">
        <f t="shared" si="0"/>
        <v>48</v>
      </c>
      <c r="C51" s="148" t="s">
        <v>3731</v>
      </c>
      <c r="D51" s="148"/>
      <c r="E51" s="148"/>
      <c r="F51" s="148"/>
      <c r="G51" s="148"/>
      <c r="H51" s="148"/>
      <c r="I51" s="148"/>
      <c r="J51" s="148"/>
      <c r="K51" s="165" t="s">
        <v>3679</v>
      </c>
      <c r="L51" s="65" t="s">
        <v>3650</v>
      </c>
      <c r="M51" s="65"/>
      <c r="N51" s="65"/>
      <c r="O51" s="65" t="s">
        <v>2490</v>
      </c>
      <c r="P51" s="65" t="s">
        <v>2490</v>
      </c>
      <c r="Q51" s="54" t="s">
        <v>1637</v>
      </c>
      <c r="R51" s="41" t="s">
        <v>3186</v>
      </c>
      <c r="S51" s="41" t="s">
        <v>2602</v>
      </c>
      <c r="T51" s="41"/>
      <c r="U51" s="41" t="s">
        <v>139</v>
      </c>
      <c r="V51" s="41" t="s">
        <v>139</v>
      </c>
      <c r="W51" s="41" t="s">
        <v>139</v>
      </c>
      <c r="X51" s="41" t="s">
        <v>2670</v>
      </c>
      <c r="Y51" s="41" t="s">
        <v>139</v>
      </c>
      <c r="Z51" s="73" t="s">
        <v>139</v>
      </c>
      <c r="AA51" s="54" t="s">
        <v>139</v>
      </c>
      <c r="AB51" s="54" t="s">
        <v>139</v>
      </c>
      <c r="AC51" s="54" t="s">
        <v>2667</v>
      </c>
      <c r="AD51" s="54" t="s">
        <v>139</v>
      </c>
      <c r="AE51" s="55"/>
      <c r="AF51" s="56"/>
      <c r="AG51" s="56"/>
      <c r="AH51" s="57"/>
      <c r="AI51" s="56"/>
      <c r="AJ51" s="56"/>
      <c r="AK51" s="56"/>
      <c r="AL51" s="3" t="s">
        <v>1582</v>
      </c>
    </row>
    <row r="52" spans="2:38" ht="40.5">
      <c r="B52" s="144">
        <f t="shared" si="0"/>
        <v>49</v>
      </c>
      <c r="C52" s="148" t="s">
        <v>3731</v>
      </c>
      <c r="D52" s="148"/>
      <c r="E52" s="148"/>
      <c r="F52" s="148"/>
      <c r="G52" s="148"/>
      <c r="H52" s="148"/>
      <c r="I52" s="148"/>
      <c r="J52" s="148"/>
      <c r="K52" s="165" t="s">
        <v>3679</v>
      </c>
      <c r="L52" s="65" t="s">
        <v>3650</v>
      </c>
      <c r="M52" s="65"/>
      <c r="N52" s="65"/>
      <c r="O52" s="65" t="s">
        <v>2397</v>
      </c>
      <c r="P52" s="65" t="s">
        <v>2397</v>
      </c>
      <c r="Q52" s="54" t="s">
        <v>1637</v>
      </c>
      <c r="R52" s="41" t="s">
        <v>3187</v>
      </c>
      <c r="S52" s="41" t="s">
        <v>2603</v>
      </c>
      <c r="T52" s="41"/>
      <c r="U52" s="41" t="s">
        <v>139</v>
      </c>
      <c r="V52" s="41" t="s">
        <v>139</v>
      </c>
      <c r="W52" s="41" t="s">
        <v>139</v>
      </c>
      <c r="X52" s="41" t="s">
        <v>2670</v>
      </c>
      <c r="Y52" s="41" t="s">
        <v>139</v>
      </c>
      <c r="Z52" s="73" t="s">
        <v>139</v>
      </c>
      <c r="AA52" s="54" t="s">
        <v>139</v>
      </c>
      <c r="AB52" s="54" t="s">
        <v>139</v>
      </c>
      <c r="AC52" s="54" t="s">
        <v>2667</v>
      </c>
      <c r="AD52" s="54" t="s">
        <v>139</v>
      </c>
      <c r="AE52" s="55"/>
      <c r="AF52" s="56"/>
      <c r="AG52" s="56"/>
      <c r="AH52" s="57"/>
      <c r="AI52" s="56"/>
      <c r="AJ52" s="56"/>
      <c r="AK52" s="56"/>
      <c r="AL52" s="3" t="s">
        <v>1582</v>
      </c>
    </row>
    <row r="53" spans="2:38" ht="40.5">
      <c r="B53" s="144">
        <f t="shared" si="0"/>
        <v>50</v>
      </c>
      <c r="C53" s="148" t="s">
        <v>3731</v>
      </c>
      <c r="D53" s="148"/>
      <c r="E53" s="148"/>
      <c r="F53" s="148"/>
      <c r="G53" s="148"/>
      <c r="H53" s="148"/>
      <c r="I53" s="148"/>
      <c r="J53" s="148"/>
      <c r="K53" s="165" t="s">
        <v>3679</v>
      </c>
      <c r="L53" s="65" t="s">
        <v>3650</v>
      </c>
      <c r="M53" s="65"/>
      <c r="N53" s="65"/>
      <c r="O53" s="65" t="s">
        <v>2491</v>
      </c>
      <c r="P53" s="65" t="s">
        <v>2491</v>
      </c>
      <c r="Q53" s="54" t="s">
        <v>1637</v>
      </c>
      <c r="R53" s="41" t="s">
        <v>3188</v>
      </c>
      <c r="S53" s="41" t="s">
        <v>2604</v>
      </c>
      <c r="T53" s="41"/>
      <c r="U53" s="41" t="s">
        <v>139</v>
      </c>
      <c r="V53" s="41" t="s">
        <v>139</v>
      </c>
      <c r="W53" s="41" t="s">
        <v>139</v>
      </c>
      <c r="X53" s="41" t="s">
        <v>2670</v>
      </c>
      <c r="Y53" s="41" t="s">
        <v>139</v>
      </c>
      <c r="Z53" s="73" t="s">
        <v>139</v>
      </c>
      <c r="AA53" s="54" t="s">
        <v>139</v>
      </c>
      <c r="AB53" s="54" t="s">
        <v>139</v>
      </c>
      <c r="AC53" s="54" t="s">
        <v>2667</v>
      </c>
      <c r="AD53" s="54" t="s">
        <v>139</v>
      </c>
      <c r="AE53" s="55"/>
      <c r="AF53" s="56"/>
      <c r="AG53" s="56"/>
      <c r="AH53" s="57"/>
      <c r="AI53" s="56"/>
      <c r="AJ53" s="56"/>
      <c r="AK53" s="56"/>
      <c r="AL53" s="3" t="s">
        <v>1582</v>
      </c>
    </row>
    <row r="54" spans="2:38" ht="40.5">
      <c r="B54" s="144">
        <f t="shared" si="0"/>
        <v>51</v>
      </c>
      <c r="C54" s="148" t="s">
        <v>3731</v>
      </c>
      <c r="D54" s="148"/>
      <c r="E54" s="148"/>
      <c r="F54" s="148"/>
      <c r="G54" s="148"/>
      <c r="H54" s="148"/>
      <c r="I54" s="148"/>
      <c r="J54" s="148"/>
      <c r="K54" s="165" t="s">
        <v>3679</v>
      </c>
      <c r="L54" s="65" t="s">
        <v>3650</v>
      </c>
      <c r="M54" s="65"/>
      <c r="N54" s="65"/>
      <c r="O54" s="65" t="s">
        <v>2492</v>
      </c>
      <c r="P54" s="65" t="s">
        <v>2492</v>
      </c>
      <c r="Q54" s="54" t="s">
        <v>1637</v>
      </c>
      <c r="R54" s="41" t="s">
        <v>3189</v>
      </c>
      <c r="S54" s="41" t="s">
        <v>2605</v>
      </c>
      <c r="T54" s="41"/>
      <c r="U54" s="41" t="s">
        <v>139</v>
      </c>
      <c r="V54" s="41" t="s">
        <v>139</v>
      </c>
      <c r="W54" s="41" t="s">
        <v>139</v>
      </c>
      <c r="X54" s="41" t="s">
        <v>2670</v>
      </c>
      <c r="Y54" s="41" t="s">
        <v>139</v>
      </c>
      <c r="Z54" s="73" t="s">
        <v>139</v>
      </c>
      <c r="AA54" s="54" t="s">
        <v>139</v>
      </c>
      <c r="AB54" s="54" t="s">
        <v>139</v>
      </c>
      <c r="AC54" s="54" t="s">
        <v>2667</v>
      </c>
      <c r="AD54" s="54" t="s">
        <v>139</v>
      </c>
      <c r="AE54" s="55"/>
      <c r="AF54" s="56"/>
      <c r="AG54" s="56"/>
      <c r="AH54" s="57"/>
      <c r="AI54" s="56"/>
      <c r="AJ54" s="56"/>
      <c r="AK54" s="56"/>
      <c r="AL54" s="3" t="s">
        <v>1582</v>
      </c>
    </row>
    <row r="55" spans="2:38" ht="40.5">
      <c r="B55" s="144">
        <f t="shared" si="0"/>
        <v>52</v>
      </c>
      <c r="C55" s="148" t="s">
        <v>3731</v>
      </c>
      <c r="D55" s="148"/>
      <c r="E55" s="148"/>
      <c r="F55" s="148"/>
      <c r="G55" s="148"/>
      <c r="H55" s="148"/>
      <c r="I55" s="148"/>
      <c r="J55" s="148"/>
      <c r="K55" s="165" t="s">
        <v>3679</v>
      </c>
      <c r="L55" s="65" t="s">
        <v>3650</v>
      </c>
      <c r="M55" s="65"/>
      <c r="N55" s="65"/>
      <c r="O55" s="65" t="s">
        <v>2493</v>
      </c>
      <c r="P55" s="65" t="s">
        <v>2493</v>
      </c>
      <c r="Q55" s="54" t="s">
        <v>1637</v>
      </c>
      <c r="R55" s="41" t="s">
        <v>3190</v>
      </c>
      <c r="S55" s="41" t="s">
        <v>2606</v>
      </c>
      <c r="T55" s="41"/>
      <c r="U55" s="41" t="s">
        <v>139</v>
      </c>
      <c r="V55" s="41" t="s">
        <v>139</v>
      </c>
      <c r="W55" s="41" t="s">
        <v>139</v>
      </c>
      <c r="X55" s="41" t="s">
        <v>2670</v>
      </c>
      <c r="Y55" s="41" t="s">
        <v>139</v>
      </c>
      <c r="Z55" s="73" t="s">
        <v>139</v>
      </c>
      <c r="AA55" s="54" t="s">
        <v>139</v>
      </c>
      <c r="AB55" s="54" t="s">
        <v>139</v>
      </c>
      <c r="AC55" s="54" t="s">
        <v>2667</v>
      </c>
      <c r="AD55" s="54" t="s">
        <v>139</v>
      </c>
      <c r="AE55" s="55"/>
      <c r="AF55" s="56"/>
      <c r="AG55" s="56"/>
      <c r="AH55" s="57"/>
      <c r="AI55" s="56"/>
      <c r="AJ55" s="56"/>
      <c r="AK55" s="56"/>
      <c r="AL55" s="3" t="s">
        <v>1582</v>
      </c>
    </row>
    <row r="56" spans="2:38" ht="40.5">
      <c r="B56" s="144">
        <f t="shared" si="0"/>
        <v>53</v>
      </c>
      <c r="C56" s="148" t="s">
        <v>3731</v>
      </c>
      <c r="D56" s="148"/>
      <c r="E56" s="148"/>
      <c r="F56" s="148"/>
      <c r="G56" s="148"/>
      <c r="H56" s="148"/>
      <c r="I56" s="148"/>
      <c r="J56" s="148"/>
      <c r="K56" s="165" t="s">
        <v>3679</v>
      </c>
      <c r="L56" s="65" t="s">
        <v>3650</v>
      </c>
      <c r="M56" s="65"/>
      <c r="N56" s="65"/>
      <c r="O56" s="65" t="s">
        <v>2494</v>
      </c>
      <c r="P56" s="65" t="s">
        <v>2494</v>
      </c>
      <c r="Q56" s="54" t="s">
        <v>1637</v>
      </c>
      <c r="R56" s="41" t="s">
        <v>3191</v>
      </c>
      <c r="S56" s="41" t="s">
        <v>2607</v>
      </c>
      <c r="T56" s="41"/>
      <c r="U56" s="41" t="s">
        <v>139</v>
      </c>
      <c r="V56" s="41" t="s">
        <v>139</v>
      </c>
      <c r="W56" s="41" t="s">
        <v>139</v>
      </c>
      <c r="X56" s="41" t="s">
        <v>2670</v>
      </c>
      <c r="Y56" s="41" t="s">
        <v>139</v>
      </c>
      <c r="Z56" s="73" t="s">
        <v>139</v>
      </c>
      <c r="AA56" s="54" t="s">
        <v>139</v>
      </c>
      <c r="AB56" s="54" t="s">
        <v>139</v>
      </c>
      <c r="AC56" s="54" t="s">
        <v>2667</v>
      </c>
      <c r="AD56" s="54" t="s">
        <v>139</v>
      </c>
      <c r="AE56" s="55"/>
      <c r="AF56" s="56"/>
      <c r="AG56" s="56"/>
      <c r="AH56" s="57"/>
      <c r="AI56" s="56"/>
      <c r="AJ56" s="56"/>
      <c r="AK56" s="56"/>
      <c r="AL56" s="3" t="s">
        <v>1582</v>
      </c>
    </row>
    <row r="57" spans="2:38" ht="40.5">
      <c r="B57" s="144">
        <f t="shared" si="0"/>
        <v>54</v>
      </c>
      <c r="C57" s="148" t="s">
        <v>3731</v>
      </c>
      <c r="D57" s="148"/>
      <c r="E57" s="148"/>
      <c r="F57" s="148"/>
      <c r="G57" s="148"/>
      <c r="H57" s="148"/>
      <c r="I57" s="148"/>
      <c r="J57" s="148"/>
      <c r="K57" s="165" t="s">
        <v>3679</v>
      </c>
      <c r="L57" s="65" t="s">
        <v>3650</v>
      </c>
      <c r="M57" s="65"/>
      <c r="N57" s="65"/>
      <c r="O57" s="65" t="s">
        <v>2495</v>
      </c>
      <c r="P57" s="65" t="s">
        <v>2495</v>
      </c>
      <c r="Q57" s="54" t="s">
        <v>1637</v>
      </c>
      <c r="R57" s="41" t="s">
        <v>3192</v>
      </c>
      <c r="S57" s="41" t="s">
        <v>2608</v>
      </c>
      <c r="T57" s="41"/>
      <c r="U57" s="41" t="s">
        <v>139</v>
      </c>
      <c r="V57" s="41" t="s">
        <v>139</v>
      </c>
      <c r="W57" s="41" t="s">
        <v>139</v>
      </c>
      <c r="X57" s="41" t="s">
        <v>2670</v>
      </c>
      <c r="Y57" s="41" t="s">
        <v>139</v>
      </c>
      <c r="Z57" s="73" t="s">
        <v>139</v>
      </c>
      <c r="AA57" s="54" t="s">
        <v>139</v>
      </c>
      <c r="AB57" s="54" t="s">
        <v>139</v>
      </c>
      <c r="AC57" s="54" t="s">
        <v>2667</v>
      </c>
      <c r="AD57" s="54" t="s">
        <v>139</v>
      </c>
      <c r="AE57" s="55"/>
      <c r="AF57" s="56"/>
      <c r="AG57" s="56"/>
      <c r="AH57" s="57"/>
      <c r="AI57" s="56"/>
      <c r="AJ57" s="56"/>
      <c r="AK57" s="56"/>
      <c r="AL57" s="3" t="s">
        <v>1582</v>
      </c>
    </row>
    <row r="58" spans="2:38" ht="40.5">
      <c r="B58" s="144">
        <f t="shared" si="0"/>
        <v>55</v>
      </c>
      <c r="C58" s="148" t="s">
        <v>3731</v>
      </c>
      <c r="D58" s="148"/>
      <c r="E58" s="148"/>
      <c r="F58" s="148"/>
      <c r="G58" s="148"/>
      <c r="H58" s="148"/>
      <c r="I58" s="148"/>
      <c r="J58" s="148"/>
      <c r="K58" s="165" t="s">
        <v>3679</v>
      </c>
      <c r="L58" s="65" t="s">
        <v>3650</v>
      </c>
      <c r="M58" s="65"/>
      <c r="N58" s="65"/>
      <c r="O58" s="65" t="s">
        <v>2496</v>
      </c>
      <c r="P58" s="65" t="s">
        <v>2496</v>
      </c>
      <c r="Q58" s="54" t="s">
        <v>1637</v>
      </c>
      <c r="R58" s="41" t="s">
        <v>3193</v>
      </c>
      <c r="S58" s="41" t="s">
        <v>2609</v>
      </c>
      <c r="T58" s="41"/>
      <c r="U58" s="41" t="s">
        <v>139</v>
      </c>
      <c r="V58" s="41" t="s">
        <v>139</v>
      </c>
      <c r="W58" s="41" t="s">
        <v>139</v>
      </c>
      <c r="X58" s="41" t="s">
        <v>2670</v>
      </c>
      <c r="Y58" s="41" t="s">
        <v>139</v>
      </c>
      <c r="Z58" s="73" t="s">
        <v>139</v>
      </c>
      <c r="AA58" s="54" t="s">
        <v>139</v>
      </c>
      <c r="AB58" s="54" t="s">
        <v>139</v>
      </c>
      <c r="AC58" s="54" t="s">
        <v>2667</v>
      </c>
      <c r="AD58" s="54" t="s">
        <v>139</v>
      </c>
      <c r="AE58" s="55"/>
      <c r="AF58" s="56"/>
      <c r="AG58" s="56"/>
      <c r="AH58" s="57"/>
      <c r="AI58" s="56"/>
      <c r="AJ58" s="56"/>
      <c r="AK58" s="56"/>
      <c r="AL58" s="3" t="s">
        <v>1582</v>
      </c>
    </row>
    <row r="59" spans="2:38" ht="40.5">
      <c r="B59" s="144">
        <f t="shared" si="0"/>
        <v>56</v>
      </c>
      <c r="C59" s="148" t="s">
        <v>3731</v>
      </c>
      <c r="D59" s="148"/>
      <c r="E59" s="148"/>
      <c r="F59" s="148"/>
      <c r="G59" s="148"/>
      <c r="H59" s="148"/>
      <c r="I59" s="148"/>
      <c r="J59" s="148"/>
      <c r="K59" s="165" t="s">
        <v>3679</v>
      </c>
      <c r="L59" s="65" t="s">
        <v>3650</v>
      </c>
      <c r="M59" s="65"/>
      <c r="N59" s="65"/>
      <c r="O59" s="65" t="s">
        <v>2497</v>
      </c>
      <c r="P59" s="65" t="s">
        <v>2497</v>
      </c>
      <c r="Q59" s="54" t="s">
        <v>1637</v>
      </c>
      <c r="R59" s="41" t="s">
        <v>3194</v>
      </c>
      <c r="S59" s="41" t="s">
        <v>2610</v>
      </c>
      <c r="T59" s="41"/>
      <c r="U59" s="41" t="s">
        <v>139</v>
      </c>
      <c r="V59" s="41" t="s">
        <v>139</v>
      </c>
      <c r="W59" s="41" t="s">
        <v>139</v>
      </c>
      <c r="X59" s="41" t="s">
        <v>2670</v>
      </c>
      <c r="Y59" s="41" t="s">
        <v>139</v>
      </c>
      <c r="Z59" s="73" t="s">
        <v>139</v>
      </c>
      <c r="AA59" s="54" t="s">
        <v>139</v>
      </c>
      <c r="AB59" s="54" t="s">
        <v>139</v>
      </c>
      <c r="AC59" s="54" t="s">
        <v>2667</v>
      </c>
      <c r="AD59" s="54" t="s">
        <v>139</v>
      </c>
      <c r="AE59" s="55"/>
      <c r="AF59" s="56"/>
      <c r="AG59" s="56"/>
      <c r="AH59" s="57"/>
      <c r="AI59" s="56"/>
      <c r="AJ59" s="56"/>
      <c r="AK59" s="56"/>
      <c r="AL59" s="3" t="s">
        <v>1582</v>
      </c>
    </row>
    <row r="60" spans="2:38" ht="40.5" hidden="1">
      <c r="B60" s="144">
        <f t="shared" si="0"/>
        <v>57</v>
      </c>
      <c r="C60" s="148" t="s">
        <v>3732</v>
      </c>
      <c r="D60" s="148"/>
      <c r="E60" s="148"/>
      <c r="F60" s="148"/>
      <c r="G60" s="148"/>
      <c r="H60" s="148"/>
      <c r="I60" s="148"/>
      <c r="J60" s="148"/>
      <c r="K60" s="165" t="s">
        <v>3679</v>
      </c>
      <c r="L60" s="65" t="s">
        <v>3650</v>
      </c>
      <c r="M60" s="65"/>
      <c r="N60" s="65"/>
      <c r="O60" s="65" t="s">
        <v>2498</v>
      </c>
      <c r="P60" s="65" t="s">
        <v>2498</v>
      </c>
      <c r="Q60" s="54" t="s">
        <v>1637</v>
      </c>
      <c r="R60" s="41" t="s">
        <v>3195</v>
      </c>
      <c r="S60" s="41" t="s">
        <v>2611</v>
      </c>
      <c r="T60" s="41"/>
      <c r="U60" s="41" t="s">
        <v>139</v>
      </c>
      <c r="V60" s="41" t="s">
        <v>139</v>
      </c>
      <c r="W60" s="41" t="s">
        <v>139</v>
      </c>
      <c r="X60" s="41" t="s">
        <v>2670</v>
      </c>
      <c r="Y60" s="41" t="s">
        <v>139</v>
      </c>
      <c r="Z60" s="73" t="s">
        <v>139</v>
      </c>
      <c r="AA60" s="54" t="s">
        <v>139</v>
      </c>
      <c r="AB60" s="54" t="s">
        <v>139</v>
      </c>
      <c r="AC60" s="54" t="s">
        <v>2667</v>
      </c>
      <c r="AD60" s="54" t="s">
        <v>139</v>
      </c>
      <c r="AE60" s="55"/>
      <c r="AF60" s="56"/>
      <c r="AG60" s="56"/>
      <c r="AH60" s="57"/>
      <c r="AI60" s="56"/>
      <c r="AJ60" s="56"/>
      <c r="AK60" s="56"/>
      <c r="AL60" s="3" t="s">
        <v>1582</v>
      </c>
    </row>
    <row r="61" spans="2:38" ht="40.5" hidden="1">
      <c r="B61" s="144">
        <f t="shared" si="0"/>
        <v>58</v>
      </c>
      <c r="C61" s="148" t="s">
        <v>3732</v>
      </c>
      <c r="D61" s="148"/>
      <c r="E61" s="148"/>
      <c r="F61" s="148"/>
      <c r="G61" s="148"/>
      <c r="H61" s="148"/>
      <c r="I61" s="148"/>
      <c r="J61" s="148"/>
      <c r="K61" s="165" t="s">
        <v>3679</v>
      </c>
      <c r="L61" s="65" t="s">
        <v>3650</v>
      </c>
      <c r="M61" s="65"/>
      <c r="N61" s="65"/>
      <c r="O61" s="65" t="s">
        <v>2384</v>
      </c>
      <c r="P61" s="65" t="s">
        <v>2384</v>
      </c>
      <c r="Q61" s="54" t="s">
        <v>1637</v>
      </c>
      <c r="R61" s="41" t="s">
        <v>3196</v>
      </c>
      <c r="S61" s="41" t="s">
        <v>2439</v>
      </c>
      <c r="T61" s="41"/>
      <c r="U61" s="41" t="s">
        <v>139</v>
      </c>
      <c r="V61" s="41" t="s">
        <v>139</v>
      </c>
      <c r="W61" s="41" t="s">
        <v>139</v>
      </c>
      <c r="X61" s="41" t="s">
        <v>2670</v>
      </c>
      <c r="Y61" s="41" t="s">
        <v>139</v>
      </c>
      <c r="Z61" s="73" t="s">
        <v>139</v>
      </c>
      <c r="AA61" s="54" t="s">
        <v>139</v>
      </c>
      <c r="AB61" s="54" t="s">
        <v>139</v>
      </c>
      <c r="AC61" s="54" t="s">
        <v>2667</v>
      </c>
      <c r="AD61" s="54" t="s">
        <v>139</v>
      </c>
      <c r="AE61" s="55"/>
      <c r="AF61" s="56"/>
      <c r="AG61" s="56"/>
      <c r="AH61" s="57"/>
      <c r="AI61" s="56"/>
      <c r="AJ61" s="56"/>
      <c r="AK61" s="56"/>
      <c r="AL61" s="3" t="s">
        <v>1582</v>
      </c>
    </row>
    <row r="62" spans="2:38" ht="67.5" hidden="1">
      <c r="B62" s="144">
        <f t="shared" si="0"/>
        <v>59</v>
      </c>
      <c r="C62" s="148" t="s">
        <v>3732</v>
      </c>
      <c r="D62" s="148"/>
      <c r="E62" s="148"/>
      <c r="F62" s="148"/>
      <c r="G62" s="148"/>
      <c r="H62" s="148"/>
      <c r="I62" s="148"/>
      <c r="J62" s="148"/>
      <c r="K62" s="165" t="s">
        <v>3679</v>
      </c>
      <c r="L62" s="65" t="s">
        <v>3650</v>
      </c>
      <c r="M62" s="65"/>
      <c r="N62" s="65"/>
      <c r="O62" s="65" t="s">
        <v>2499</v>
      </c>
      <c r="P62" s="65" t="s">
        <v>2499</v>
      </c>
      <c r="Q62" s="54" t="s">
        <v>1637</v>
      </c>
      <c r="R62" s="41" t="s">
        <v>3197</v>
      </c>
      <c r="S62" s="41" t="s">
        <v>2859</v>
      </c>
      <c r="T62" s="41"/>
      <c r="U62" s="41" t="s">
        <v>139</v>
      </c>
      <c r="V62" s="41" t="s">
        <v>139</v>
      </c>
      <c r="W62" s="41" t="s">
        <v>139</v>
      </c>
      <c r="X62" s="41" t="s">
        <v>2670</v>
      </c>
      <c r="Y62" s="41" t="s">
        <v>139</v>
      </c>
      <c r="Z62" s="73" t="s">
        <v>139</v>
      </c>
      <c r="AA62" s="54" t="s">
        <v>139</v>
      </c>
      <c r="AB62" s="54" t="s">
        <v>139</v>
      </c>
      <c r="AC62" s="54" t="s">
        <v>2667</v>
      </c>
      <c r="AD62" s="54" t="s">
        <v>139</v>
      </c>
      <c r="AE62" s="55"/>
      <c r="AF62" s="56"/>
      <c r="AG62" s="56"/>
      <c r="AH62" s="57"/>
      <c r="AI62" s="56"/>
      <c r="AJ62" s="56"/>
      <c r="AK62" s="56"/>
      <c r="AL62" s="3" t="s">
        <v>1582</v>
      </c>
    </row>
    <row r="63" spans="2:38" ht="40.5" hidden="1">
      <c r="B63" s="144">
        <f t="shared" si="0"/>
        <v>60</v>
      </c>
      <c r="C63" s="148" t="s">
        <v>3732</v>
      </c>
      <c r="D63" s="148"/>
      <c r="E63" s="148"/>
      <c r="F63" s="148"/>
      <c r="G63" s="148"/>
      <c r="H63" s="148"/>
      <c r="I63" s="148"/>
      <c r="J63" s="148"/>
      <c r="K63" s="165" t="s">
        <v>3679</v>
      </c>
      <c r="L63" s="65" t="s">
        <v>3650</v>
      </c>
      <c r="M63" s="65"/>
      <c r="N63" s="65"/>
      <c r="O63" s="65" t="s">
        <v>2403</v>
      </c>
      <c r="P63" s="65" t="s">
        <v>2403</v>
      </c>
      <c r="Q63" s="54" t="s">
        <v>1637</v>
      </c>
      <c r="R63" s="41" t="s">
        <v>3198</v>
      </c>
      <c r="S63" s="41" t="s">
        <v>2612</v>
      </c>
      <c r="T63" s="41"/>
      <c r="U63" s="41" t="s">
        <v>139</v>
      </c>
      <c r="V63" s="41" t="s">
        <v>139</v>
      </c>
      <c r="W63" s="41" t="s">
        <v>139</v>
      </c>
      <c r="X63" s="41" t="s">
        <v>2670</v>
      </c>
      <c r="Y63" s="41" t="s">
        <v>139</v>
      </c>
      <c r="Z63" s="73" t="s">
        <v>139</v>
      </c>
      <c r="AA63" s="54" t="s">
        <v>139</v>
      </c>
      <c r="AB63" s="54" t="s">
        <v>139</v>
      </c>
      <c r="AC63" s="54" t="s">
        <v>2667</v>
      </c>
      <c r="AD63" s="54" t="s">
        <v>139</v>
      </c>
      <c r="AE63" s="55"/>
      <c r="AF63" s="56"/>
      <c r="AG63" s="56"/>
      <c r="AH63" s="57"/>
      <c r="AI63" s="56"/>
      <c r="AJ63" s="56"/>
      <c r="AK63" s="56"/>
      <c r="AL63" s="3" t="s">
        <v>1582</v>
      </c>
    </row>
    <row r="64" spans="2:38" ht="40.5">
      <c r="B64" s="144">
        <f t="shared" si="0"/>
        <v>61</v>
      </c>
      <c r="C64" s="148" t="s">
        <v>3731</v>
      </c>
      <c r="D64" s="148"/>
      <c r="E64" s="148"/>
      <c r="F64" s="148"/>
      <c r="G64" s="148"/>
      <c r="H64" s="148"/>
      <c r="I64" s="148"/>
      <c r="J64" s="148"/>
      <c r="K64" s="165" t="s">
        <v>3679</v>
      </c>
      <c r="L64" s="65" t="s">
        <v>3650</v>
      </c>
      <c r="M64" s="65"/>
      <c r="N64" s="65"/>
      <c r="O64" s="65" t="s">
        <v>2404</v>
      </c>
      <c r="P64" s="65" t="s">
        <v>2404</v>
      </c>
      <c r="Q64" s="54" t="s">
        <v>1637</v>
      </c>
      <c r="R64" s="41" t="s">
        <v>3199</v>
      </c>
      <c r="S64" s="41" t="s">
        <v>2613</v>
      </c>
      <c r="T64" s="41"/>
      <c r="U64" s="41" t="s">
        <v>139</v>
      </c>
      <c r="V64" s="41" t="s">
        <v>139</v>
      </c>
      <c r="W64" s="41" t="s">
        <v>139</v>
      </c>
      <c r="X64" s="41" t="s">
        <v>2670</v>
      </c>
      <c r="Y64" s="41" t="s">
        <v>139</v>
      </c>
      <c r="Z64" s="73" t="s">
        <v>139</v>
      </c>
      <c r="AA64" s="54" t="s">
        <v>139</v>
      </c>
      <c r="AB64" s="54" t="s">
        <v>139</v>
      </c>
      <c r="AC64" s="54" t="s">
        <v>2667</v>
      </c>
      <c r="AD64" s="54" t="s">
        <v>139</v>
      </c>
      <c r="AE64" s="55"/>
      <c r="AF64" s="56"/>
      <c r="AG64" s="56"/>
      <c r="AH64" s="57"/>
      <c r="AI64" s="56"/>
      <c r="AJ64" s="56"/>
      <c r="AK64" s="56"/>
      <c r="AL64" s="3" t="s">
        <v>1582</v>
      </c>
    </row>
    <row r="65" spans="2:38" ht="40.5" hidden="1">
      <c r="B65" s="144">
        <f t="shared" si="0"/>
        <v>62</v>
      </c>
      <c r="C65" s="148" t="s">
        <v>3732</v>
      </c>
      <c r="D65" s="148"/>
      <c r="E65" s="148"/>
      <c r="F65" s="148"/>
      <c r="G65" s="148"/>
      <c r="H65" s="148"/>
      <c r="I65" s="148"/>
      <c r="J65" s="148"/>
      <c r="K65" s="165" t="s">
        <v>3679</v>
      </c>
      <c r="L65" s="65" t="s">
        <v>3650</v>
      </c>
      <c r="M65" s="65"/>
      <c r="N65" s="65"/>
      <c r="O65" s="65" t="s">
        <v>2500</v>
      </c>
      <c r="P65" s="65" t="s">
        <v>2500</v>
      </c>
      <c r="Q65" s="54" t="s">
        <v>1637</v>
      </c>
      <c r="R65" s="41" t="s">
        <v>3200</v>
      </c>
      <c r="S65" s="41" t="s">
        <v>2614</v>
      </c>
      <c r="T65" s="41"/>
      <c r="U65" s="41" t="s">
        <v>139</v>
      </c>
      <c r="V65" s="41" t="s">
        <v>139</v>
      </c>
      <c r="W65" s="41" t="s">
        <v>139</v>
      </c>
      <c r="X65" s="41" t="s">
        <v>2670</v>
      </c>
      <c r="Y65" s="41" t="s">
        <v>139</v>
      </c>
      <c r="Z65" s="73" t="s">
        <v>139</v>
      </c>
      <c r="AA65" s="54" t="s">
        <v>139</v>
      </c>
      <c r="AB65" s="54" t="s">
        <v>139</v>
      </c>
      <c r="AC65" s="54" t="s">
        <v>2667</v>
      </c>
      <c r="AD65" s="54" t="s">
        <v>139</v>
      </c>
      <c r="AE65" s="55"/>
      <c r="AF65" s="56"/>
      <c r="AG65" s="56"/>
      <c r="AH65" s="57"/>
      <c r="AI65" s="56"/>
      <c r="AJ65" s="56"/>
      <c r="AK65" s="56"/>
      <c r="AL65" s="3" t="s">
        <v>1582</v>
      </c>
    </row>
    <row r="66" spans="2:38" ht="40.5">
      <c r="B66" s="144">
        <f t="shared" si="0"/>
        <v>63</v>
      </c>
      <c r="C66" s="148" t="s">
        <v>3731</v>
      </c>
      <c r="D66" s="148"/>
      <c r="E66" s="148"/>
      <c r="F66" s="148"/>
      <c r="G66" s="148"/>
      <c r="H66" s="148"/>
      <c r="I66" s="148"/>
      <c r="J66" s="148"/>
      <c r="K66" s="165" t="s">
        <v>3679</v>
      </c>
      <c r="L66" s="65" t="s">
        <v>3650</v>
      </c>
      <c r="M66" s="65"/>
      <c r="N66" s="65"/>
      <c r="O66" s="65" t="s">
        <v>2501</v>
      </c>
      <c r="P66" s="65" t="s">
        <v>2501</v>
      </c>
      <c r="Q66" s="54" t="s">
        <v>1637</v>
      </c>
      <c r="R66" s="41" t="s">
        <v>3201</v>
      </c>
      <c r="S66" s="41" t="s">
        <v>2615</v>
      </c>
      <c r="T66" s="41"/>
      <c r="U66" s="41" t="s">
        <v>139</v>
      </c>
      <c r="V66" s="41" t="s">
        <v>139</v>
      </c>
      <c r="W66" s="41" t="s">
        <v>139</v>
      </c>
      <c r="X66" s="41" t="s">
        <v>2670</v>
      </c>
      <c r="Y66" s="41" t="s">
        <v>139</v>
      </c>
      <c r="Z66" s="73" t="s">
        <v>139</v>
      </c>
      <c r="AA66" s="54" t="s">
        <v>139</v>
      </c>
      <c r="AB66" s="54" t="s">
        <v>139</v>
      </c>
      <c r="AC66" s="54" t="s">
        <v>2667</v>
      </c>
      <c r="AD66" s="54" t="s">
        <v>139</v>
      </c>
      <c r="AE66" s="55"/>
      <c r="AF66" s="56"/>
      <c r="AG66" s="56"/>
      <c r="AH66" s="57"/>
      <c r="AI66" s="56"/>
      <c r="AJ66" s="56"/>
      <c r="AK66" s="56"/>
      <c r="AL66" s="3" t="s">
        <v>1582</v>
      </c>
    </row>
    <row r="67" spans="2:38" ht="40.5">
      <c r="B67" s="144">
        <f t="shared" si="0"/>
        <v>64</v>
      </c>
      <c r="C67" s="148" t="s">
        <v>3731</v>
      </c>
      <c r="D67" s="148"/>
      <c r="E67" s="148"/>
      <c r="F67" s="148"/>
      <c r="G67" s="148"/>
      <c r="H67" s="148"/>
      <c r="I67" s="148"/>
      <c r="J67" s="148"/>
      <c r="K67" s="165" t="s">
        <v>3679</v>
      </c>
      <c r="L67" s="65" t="s">
        <v>3650</v>
      </c>
      <c r="M67" s="65"/>
      <c r="N67" s="65"/>
      <c r="O67" s="65" t="s">
        <v>2502</v>
      </c>
      <c r="P67" s="65" t="s">
        <v>2502</v>
      </c>
      <c r="Q67" s="54" t="s">
        <v>1637</v>
      </c>
      <c r="R67" s="41" t="s">
        <v>3202</v>
      </c>
      <c r="S67" s="41" t="s">
        <v>2616</v>
      </c>
      <c r="T67" s="41"/>
      <c r="U67" s="41" t="s">
        <v>139</v>
      </c>
      <c r="V67" s="41" t="s">
        <v>139</v>
      </c>
      <c r="W67" s="41" t="s">
        <v>139</v>
      </c>
      <c r="X67" s="41" t="s">
        <v>2670</v>
      </c>
      <c r="Y67" s="41" t="s">
        <v>139</v>
      </c>
      <c r="Z67" s="73" t="s">
        <v>139</v>
      </c>
      <c r="AA67" s="54" t="s">
        <v>139</v>
      </c>
      <c r="AB67" s="54" t="s">
        <v>139</v>
      </c>
      <c r="AC67" s="54" t="s">
        <v>2667</v>
      </c>
      <c r="AD67" s="54" t="s">
        <v>139</v>
      </c>
      <c r="AE67" s="55"/>
      <c r="AF67" s="56"/>
      <c r="AG67" s="56"/>
      <c r="AH67" s="57"/>
      <c r="AI67" s="56"/>
      <c r="AJ67" s="56"/>
      <c r="AK67" s="56"/>
      <c r="AL67" s="3" t="s">
        <v>1582</v>
      </c>
    </row>
    <row r="68" spans="2:38" ht="40.5" hidden="1">
      <c r="B68" s="144">
        <f t="shared" si="0"/>
        <v>65</v>
      </c>
      <c r="C68" s="148" t="s">
        <v>3732</v>
      </c>
      <c r="D68" s="148"/>
      <c r="E68" s="148"/>
      <c r="F68" s="148"/>
      <c r="G68" s="148"/>
      <c r="H68" s="148"/>
      <c r="I68" s="148"/>
      <c r="J68" s="148"/>
      <c r="K68" s="165" t="s">
        <v>3679</v>
      </c>
      <c r="L68" s="65" t="s">
        <v>3650</v>
      </c>
      <c r="M68" s="65"/>
      <c r="N68" s="65"/>
      <c r="O68" s="65" t="s">
        <v>2503</v>
      </c>
      <c r="P68" s="65" t="s">
        <v>2503</v>
      </c>
      <c r="Q68" s="54" t="s">
        <v>1637</v>
      </c>
      <c r="R68" s="41" t="s">
        <v>3203</v>
      </c>
      <c r="S68" s="41" t="s">
        <v>2617</v>
      </c>
      <c r="T68" s="41"/>
      <c r="U68" s="41" t="s">
        <v>139</v>
      </c>
      <c r="V68" s="41" t="s">
        <v>139</v>
      </c>
      <c r="W68" s="41" t="s">
        <v>139</v>
      </c>
      <c r="X68" s="41" t="s">
        <v>2670</v>
      </c>
      <c r="Y68" s="41" t="s">
        <v>139</v>
      </c>
      <c r="Z68" s="73" t="s">
        <v>139</v>
      </c>
      <c r="AA68" s="54" t="s">
        <v>139</v>
      </c>
      <c r="AB68" s="54" t="s">
        <v>139</v>
      </c>
      <c r="AC68" s="54" t="s">
        <v>2667</v>
      </c>
      <c r="AD68" s="54" t="s">
        <v>139</v>
      </c>
      <c r="AE68" s="55"/>
      <c r="AF68" s="56"/>
      <c r="AG68" s="56"/>
      <c r="AH68" s="57"/>
      <c r="AI68" s="56"/>
      <c r="AJ68" s="56"/>
      <c r="AK68" s="56"/>
      <c r="AL68" s="3" t="s">
        <v>1582</v>
      </c>
    </row>
    <row r="69" spans="2:38" ht="40.5">
      <c r="B69" s="144">
        <f t="shared" ref="B69:B132" si="1">ROW()-3</f>
        <v>66</v>
      </c>
      <c r="C69" s="148" t="s">
        <v>3731</v>
      </c>
      <c r="D69" s="148"/>
      <c r="E69" s="148"/>
      <c r="F69" s="148"/>
      <c r="G69" s="148"/>
      <c r="H69" s="148"/>
      <c r="I69" s="148"/>
      <c r="J69" s="148"/>
      <c r="K69" s="165" t="s">
        <v>3679</v>
      </c>
      <c r="L69" s="65" t="s">
        <v>3650</v>
      </c>
      <c r="M69" s="65"/>
      <c r="N69" s="65"/>
      <c r="O69" s="65" t="s">
        <v>3517</v>
      </c>
      <c r="P69" s="65" t="s">
        <v>2290</v>
      </c>
      <c r="Q69" s="54" t="s">
        <v>139</v>
      </c>
      <c r="R69" s="41" t="s">
        <v>2291</v>
      </c>
      <c r="S69" s="41" t="s">
        <v>2292</v>
      </c>
      <c r="T69" s="41" t="s">
        <v>2137</v>
      </c>
      <c r="U69" s="41" t="s">
        <v>139</v>
      </c>
      <c r="V69" s="41" t="s">
        <v>139</v>
      </c>
      <c r="W69" s="41" t="s">
        <v>139</v>
      </c>
      <c r="X69" s="41" t="s">
        <v>2271</v>
      </c>
      <c r="Y69" s="41" t="s">
        <v>139</v>
      </c>
      <c r="Z69" s="73" t="s">
        <v>139</v>
      </c>
      <c r="AA69" s="54" t="s">
        <v>139</v>
      </c>
      <c r="AB69" s="54" t="s">
        <v>139</v>
      </c>
      <c r="AC69" s="54" t="s">
        <v>2289</v>
      </c>
      <c r="AD69" s="54" t="s">
        <v>139</v>
      </c>
      <c r="AE69" s="55"/>
      <c r="AF69" s="56"/>
      <c r="AG69" s="56"/>
      <c r="AH69" s="57"/>
      <c r="AI69" s="56"/>
      <c r="AJ69" s="56"/>
      <c r="AK69" s="56"/>
      <c r="AL69" s="3" t="s">
        <v>1582</v>
      </c>
    </row>
    <row r="70" spans="2:38" ht="27">
      <c r="B70" s="144">
        <f t="shared" si="1"/>
        <v>67</v>
      </c>
      <c r="C70" s="148" t="s">
        <v>3731</v>
      </c>
      <c r="D70" s="148"/>
      <c r="E70" s="148"/>
      <c r="F70" s="148"/>
      <c r="G70" s="148"/>
      <c r="H70" s="148"/>
      <c r="I70" s="148"/>
      <c r="J70" s="148"/>
      <c r="K70" s="165" t="s">
        <v>3679</v>
      </c>
      <c r="L70" s="65" t="s">
        <v>3650</v>
      </c>
      <c r="M70" s="165"/>
      <c r="N70" s="165"/>
      <c r="O70" s="165" t="s">
        <v>3518</v>
      </c>
      <c r="P70" s="165" t="s">
        <v>2680</v>
      </c>
      <c r="Q70" s="126" t="s">
        <v>1637</v>
      </c>
      <c r="R70" s="40" t="s">
        <v>2000</v>
      </c>
      <c r="S70" s="40" t="s">
        <v>1999</v>
      </c>
      <c r="T70" s="40" t="s">
        <v>1895</v>
      </c>
      <c r="U70" s="41" t="s">
        <v>139</v>
      </c>
      <c r="V70" s="41" t="s">
        <v>139</v>
      </c>
      <c r="W70" s="41" t="s">
        <v>139</v>
      </c>
      <c r="X70" s="41" t="s">
        <v>139</v>
      </c>
      <c r="Y70" s="41" t="s">
        <v>1165</v>
      </c>
      <c r="Z70" s="74" t="s">
        <v>139</v>
      </c>
      <c r="AA70" s="41" t="s">
        <v>139</v>
      </c>
      <c r="AB70" s="41" t="s">
        <v>139</v>
      </c>
      <c r="AC70" s="41" t="s">
        <v>139</v>
      </c>
      <c r="AD70" s="41" t="s">
        <v>1166</v>
      </c>
      <c r="AE70" s="44"/>
      <c r="AF70" s="45"/>
      <c r="AG70" s="45"/>
      <c r="AH70" s="46"/>
      <c r="AI70" s="45"/>
      <c r="AJ70" s="45"/>
      <c r="AK70" s="45"/>
      <c r="AL70" s="3" t="s">
        <v>1582</v>
      </c>
    </row>
    <row r="71" spans="2:38" ht="40.5">
      <c r="B71" s="144">
        <f t="shared" si="1"/>
        <v>68</v>
      </c>
      <c r="C71" s="148" t="s">
        <v>3731</v>
      </c>
      <c r="D71" s="148"/>
      <c r="E71" s="148"/>
      <c r="F71" s="148"/>
      <c r="G71" s="148"/>
      <c r="H71" s="148"/>
      <c r="I71" s="148"/>
      <c r="J71" s="148"/>
      <c r="K71" s="165" t="s">
        <v>3679</v>
      </c>
      <c r="L71" s="65" t="s">
        <v>3650</v>
      </c>
      <c r="M71" s="165"/>
      <c r="N71" s="165"/>
      <c r="O71" s="165" t="s">
        <v>3519</v>
      </c>
      <c r="P71" s="165" t="s">
        <v>2681</v>
      </c>
      <c r="Q71" s="126" t="s">
        <v>1637</v>
      </c>
      <c r="R71" s="40" t="s">
        <v>2003</v>
      </c>
      <c r="S71" s="40" t="s">
        <v>2004</v>
      </c>
      <c r="T71" s="40" t="s">
        <v>1645</v>
      </c>
      <c r="U71" s="41" t="s">
        <v>139</v>
      </c>
      <c r="V71" s="41" t="s">
        <v>139</v>
      </c>
      <c r="W71" s="41" t="s">
        <v>139</v>
      </c>
      <c r="X71" s="41" t="s">
        <v>139</v>
      </c>
      <c r="Y71" s="41" t="s">
        <v>1165</v>
      </c>
      <c r="Z71" s="74" t="s">
        <v>139</v>
      </c>
      <c r="AA71" s="41" t="s">
        <v>139</v>
      </c>
      <c r="AB71" s="41" t="s">
        <v>139</v>
      </c>
      <c r="AC71" s="41" t="s">
        <v>139</v>
      </c>
      <c r="AD71" s="41" t="s">
        <v>1166</v>
      </c>
      <c r="AE71" s="44"/>
      <c r="AF71" s="45"/>
      <c r="AG71" s="45"/>
      <c r="AH71" s="46"/>
      <c r="AI71" s="45"/>
      <c r="AJ71" s="45"/>
      <c r="AK71" s="45"/>
      <c r="AL71" s="3" t="s">
        <v>1582</v>
      </c>
    </row>
    <row r="72" spans="2:38" ht="27" hidden="1">
      <c r="B72" s="144">
        <f t="shared" si="1"/>
        <v>69</v>
      </c>
      <c r="C72" s="148" t="s">
        <v>3732</v>
      </c>
      <c r="D72" s="148"/>
      <c r="E72" s="148"/>
      <c r="F72" s="148"/>
      <c r="G72" s="148"/>
      <c r="H72" s="148"/>
      <c r="I72" s="148"/>
      <c r="J72" s="148"/>
      <c r="K72" s="165" t="s">
        <v>3679</v>
      </c>
      <c r="L72" s="65" t="s">
        <v>3650</v>
      </c>
      <c r="M72" s="65"/>
      <c r="N72" s="65"/>
      <c r="O72" s="65" t="s">
        <v>2807</v>
      </c>
      <c r="P72" s="65" t="s">
        <v>2807</v>
      </c>
      <c r="Q72" s="54" t="s">
        <v>1637</v>
      </c>
      <c r="R72" s="41" t="s">
        <v>2813</v>
      </c>
      <c r="S72" s="41"/>
      <c r="T72" s="41" t="s">
        <v>1637</v>
      </c>
      <c r="U72" s="41" t="s">
        <v>2814</v>
      </c>
      <c r="V72" s="41" t="s">
        <v>139</v>
      </c>
      <c r="W72" s="41" t="s">
        <v>139</v>
      </c>
      <c r="X72" s="41" t="s">
        <v>139</v>
      </c>
      <c r="Y72" s="41" t="s">
        <v>139</v>
      </c>
      <c r="Z72" s="73" t="s">
        <v>218</v>
      </c>
      <c r="AA72" s="54" t="s">
        <v>139</v>
      </c>
      <c r="AB72" s="54" t="s">
        <v>139</v>
      </c>
      <c r="AC72" s="54" t="s">
        <v>139</v>
      </c>
      <c r="AD72" s="54" t="s">
        <v>139</v>
      </c>
      <c r="AE72" s="55"/>
      <c r="AF72" s="56"/>
      <c r="AG72" s="56"/>
      <c r="AH72" s="57"/>
      <c r="AI72" s="56"/>
      <c r="AJ72" s="56"/>
      <c r="AK72" s="56"/>
      <c r="AL72" s="3" t="s">
        <v>1582</v>
      </c>
    </row>
    <row r="73" spans="2:38">
      <c r="B73" s="144">
        <f t="shared" si="1"/>
        <v>70</v>
      </c>
      <c r="C73" s="148" t="s">
        <v>3731</v>
      </c>
      <c r="D73" s="148"/>
      <c r="E73" s="148"/>
      <c r="F73" s="148"/>
      <c r="G73" s="148"/>
      <c r="H73" s="148"/>
      <c r="I73" s="148"/>
      <c r="J73" s="148"/>
      <c r="K73" s="165" t="s">
        <v>3679</v>
      </c>
      <c r="L73" s="65" t="s">
        <v>3650</v>
      </c>
      <c r="M73" s="65"/>
      <c r="N73" s="65"/>
      <c r="O73" s="65" t="s">
        <v>459</v>
      </c>
      <c r="P73" s="65" t="s">
        <v>459</v>
      </c>
      <c r="Q73" s="54" t="s">
        <v>139</v>
      </c>
      <c r="R73" s="41" t="s">
        <v>460</v>
      </c>
      <c r="S73" s="41"/>
      <c r="T73" s="41" t="s">
        <v>139</v>
      </c>
      <c r="U73" s="41" t="s">
        <v>458</v>
      </c>
      <c r="V73" s="41" t="s">
        <v>139</v>
      </c>
      <c r="W73" s="41" t="s">
        <v>139</v>
      </c>
      <c r="X73" s="41" t="s">
        <v>139</v>
      </c>
      <c r="Y73" s="41" t="s">
        <v>139</v>
      </c>
      <c r="Z73" s="73" t="s">
        <v>228</v>
      </c>
      <c r="AA73" s="54" t="s">
        <v>139</v>
      </c>
      <c r="AB73" s="54" t="s">
        <v>139</v>
      </c>
      <c r="AC73" s="54" t="s">
        <v>139</v>
      </c>
      <c r="AD73" s="54" t="s">
        <v>139</v>
      </c>
      <c r="AE73" s="55"/>
      <c r="AF73" s="56"/>
      <c r="AG73" s="56"/>
      <c r="AH73" s="57"/>
      <c r="AI73" s="56"/>
      <c r="AJ73" s="56"/>
      <c r="AK73" s="56"/>
      <c r="AL73" s="3" t="s">
        <v>1582</v>
      </c>
    </row>
    <row r="74" spans="2:38" ht="27" hidden="1">
      <c r="B74" s="144">
        <f t="shared" si="1"/>
        <v>71</v>
      </c>
      <c r="C74" s="148" t="s">
        <v>3732</v>
      </c>
      <c r="D74" s="148"/>
      <c r="E74" s="148"/>
      <c r="F74" s="148"/>
      <c r="G74" s="148"/>
      <c r="H74" s="148"/>
      <c r="I74" s="148"/>
      <c r="J74" s="148"/>
      <c r="K74" s="165" t="s">
        <v>3679</v>
      </c>
      <c r="L74" s="65" t="s">
        <v>3650</v>
      </c>
      <c r="M74" s="165"/>
      <c r="N74" s="165"/>
      <c r="O74" s="165" t="s">
        <v>3520</v>
      </c>
      <c r="P74" s="165" t="s">
        <v>2186</v>
      </c>
      <c r="Q74" s="126" t="s">
        <v>1637</v>
      </c>
      <c r="R74" s="40" t="s">
        <v>2189</v>
      </c>
      <c r="S74" s="40"/>
      <c r="T74" s="40" t="s">
        <v>139</v>
      </c>
      <c r="U74" s="41" t="s">
        <v>139</v>
      </c>
      <c r="V74" s="41" t="s">
        <v>139</v>
      </c>
      <c r="W74" s="41" t="s">
        <v>139</v>
      </c>
      <c r="X74" s="41" t="s">
        <v>2190</v>
      </c>
      <c r="Y74" s="41" t="s">
        <v>139</v>
      </c>
      <c r="Z74" s="74" t="s">
        <v>139</v>
      </c>
      <c r="AA74" s="41" t="s">
        <v>139</v>
      </c>
      <c r="AB74" s="41" t="s">
        <v>139</v>
      </c>
      <c r="AC74" s="41" t="s">
        <v>1542</v>
      </c>
      <c r="AD74" s="41" t="s">
        <v>139</v>
      </c>
      <c r="AE74" s="44"/>
      <c r="AF74" s="45"/>
      <c r="AG74" s="45"/>
      <c r="AH74" s="46"/>
      <c r="AI74" s="45"/>
      <c r="AJ74" s="45"/>
      <c r="AK74" s="45"/>
      <c r="AL74" s="3" t="s">
        <v>1582</v>
      </c>
    </row>
    <row r="75" spans="2:38" ht="40.5">
      <c r="B75" s="144">
        <f t="shared" si="1"/>
        <v>72</v>
      </c>
      <c r="C75" s="148" t="s">
        <v>3731</v>
      </c>
      <c r="D75" s="148"/>
      <c r="E75" s="148"/>
      <c r="F75" s="148"/>
      <c r="G75" s="148"/>
      <c r="H75" s="148"/>
      <c r="I75" s="148"/>
      <c r="J75" s="148"/>
      <c r="K75" s="165" t="s">
        <v>3679</v>
      </c>
      <c r="L75" s="65" t="s">
        <v>3650</v>
      </c>
      <c r="M75" s="65"/>
      <c r="N75" s="65"/>
      <c r="O75" s="65" t="s">
        <v>2504</v>
      </c>
      <c r="P75" s="65" t="s">
        <v>2504</v>
      </c>
      <c r="Q75" s="54" t="s">
        <v>1637</v>
      </c>
      <c r="R75" s="41" t="s">
        <v>2987</v>
      </c>
      <c r="S75" s="80" t="s">
        <v>2620</v>
      </c>
      <c r="T75" s="40" t="s">
        <v>139</v>
      </c>
      <c r="U75" s="41" t="s">
        <v>139</v>
      </c>
      <c r="V75" s="41" t="s">
        <v>139</v>
      </c>
      <c r="W75" s="41" t="s">
        <v>139</v>
      </c>
      <c r="X75" s="41" t="s">
        <v>2670</v>
      </c>
      <c r="Y75" s="41" t="s">
        <v>139</v>
      </c>
      <c r="Z75" s="73" t="s">
        <v>139</v>
      </c>
      <c r="AA75" s="54" t="s">
        <v>139</v>
      </c>
      <c r="AB75" s="54" t="s">
        <v>139</v>
      </c>
      <c r="AC75" s="54" t="s">
        <v>2667</v>
      </c>
      <c r="AD75" s="54" t="s">
        <v>139</v>
      </c>
      <c r="AE75" s="55"/>
      <c r="AF75" s="56"/>
      <c r="AG75" s="56"/>
      <c r="AH75" s="57"/>
      <c r="AI75" s="56"/>
      <c r="AJ75" s="56"/>
      <c r="AK75" s="56"/>
      <c r="AL75" s="3" t="s">
        <v>1582</v>
      </c>
    </row>
    <row r="76" spans="2:38" ht="40.5">
      <c r="B76" s="144">
        <f t="shared" si="1"/>
        <v>73</v>
      </c>
      <c r="C76" s="148" t="s">
        <v>3731</v>
      </c>
      <c r="D76" s="148"/>
      <c r="E76" s="148"/>
      <c r="F76" s="148"/>
      <c r="G76" s="148"/>
      <c r="H76" s="148"/>
      <c r="I76" s="148"/>
      <c r="J76" s="148"/>
      <c r="K76" s="165" t="s">
        <v>3679</v>
      </c>
      <c r="L76" s="65" t="s">
        <v>3650</v>
      </c>
      <c r="M76" s="65"/>
      <c r="N76" s="65"/>
      <c r="O76" s="65" t="s">
        <v>2505</v>
      </c>
      <c r="P76" s="65" t="s">
        <v>2505</v>
      </c>
      <c r="Q76" s="54" t="s">
        <v>1637</v>
      </c>
      <c r="R76" s="41" t="s">
        <v>2988</v>
      </c>
      <c r="S76" s="80" t="s">
        <v>2621</v>
      </c>
      <c r="T76" s="40" t="s">
        <v>139</v>
      </c>
      <c r="U76" s="41" t="s">
        <v>139</v>
      </c>
      <c r="V76" s="41" t="s">
        <v>139</v>
      </c>
      <c r="W76" s="41" t="s">
        <v>139</v>
      </c>
      <c r="X76" s="41" t="s">
        <v>2670</v>
      </c>
      <c r="Y76" s="41" t="s">
        <v>139</v>
      </c>
      <c r="Z76" s="73" t="s">
        <v>139</v>
      </c>
      <c r="AA76" s="54" t="s">
        <v>139</v>
      </c>
      <c r="AB76" s="54" t="s">
        <v>139</v>
      </c>
      <c r="AC76" s="54" t="s">
        <v>2667</v>
      </c>
      <c r="AD76" s="54" t="s">
        <v>139</v>
      </c>
      <c r="AE76" s="55"/>
      <c r="AF76" s="56"/>
      <c r="AG76" s="56"/>
      <c r="AH76" s="57"/>
      <c r="AI76" s="56"/>
      <c r="AJ76" s="56"/>
      <c r="AK76" s="56"/>
      <c r="AL76" s="3" t="s">
        <v>1582</v>
      </c>
    </row>
    <row r="77" spans="2:38" ht="40.5">
      <c r="B77" s="144">
        <f t="shared" si="1"/>
        <v>74</v>
      </c>
      <c r="C77" s="148" t="s">
        <v>3731</v>
      </c>
      <c r="D77" s="148"/>
      <c r="E77" s="148"/>
      <c r="F77" s="148"/>
      <c r="G77" s="148"/>
      <c r="H77" s="148"/>
      <c r="I77" s="148"/>
      <c r="J77" s="148"/>
      <c r="K77" s="165" t="s">
        <v>3679</v>
      </c>
      <c r="L77" s="65" t="s">
        <v>3650</v>
      </c>
      <c r="M77" s="65"/>
      <c r="N77" s="65"/>
      <c r="O77" s="65" t="s">
        <v>2506</v>
      </c>
      <c r="P77" s="65" t="s">
        <v>2506</v>
      </c>
      <c r="Q77" s="54" t="s">
        <v>1637</v>
      </c>
      <c r="R77" s="41" t="s">
        <v>2989</v>
      </c>
      <c r="S77" s="80" t="s">
        <v>2622</v>
      </c>
      <c r="T77" s="40" t="s">
        <v>139</v>
      </c>
      <c r="U77" s="41" t="s">
        <v>139</v>
      </c>
      <c r="V77" s="41" t="s">
        <v>139</v>
      </c>
      <c r="W77" s="41" t="s">
        <v>139</v>
      </c>
      <c r="X77" s="41" t="s">
        <v>2670</v>
      </c>
      <c r="Y77" s="41" t="s">
        <v>139</v>
      </c>
      <c r="Z77" s="73" t="s">
        <v>139</v>
      </c>
      <c r="AA77" s="54" t="s">
        <v>139</v>
      </c>
      <c r="AB77" s="54" t="s">
        <v>139</v>
      </c>
      <c r="AC77" s="54" t="s">
        <v>2667</v>
      </c>
      <c r="AD77" s="54" t="s">
        <v>139</v>
      </c>
      <c r="AE77" s="55"/>
      <c r="AF77" s="56"/>
      <c r="AG77" s="56"/>
      <c r="AH77" s="57"/>
      <c r="AI77" s="56"/>
      <c r="AJ77" s="56"/>
      <c r="AK77" s="56"/>
      <c r="AL77" s="3" t="s">
        <v>1582</v>
      </c>
    </row>
    <row r="78" spans="2:38" ht="40.5">
      <c r="B78" s="144">
        <f t="shared" si="1"/>
        <v>75</v>
      </c>
      <c r="C78" s="148" t="s">
        <v>3731</v>
      </c>
      <c r="D78" s="148"/>
      <c r="E78" s="148"/>
      <c r="F78" s="148"/>
      <c r="G78" s="148"/>
      <c r="H78" s="148"/>
      <c r="I78" s="148"/>
      <c r="J78" s="148"/>
      <c r="K78" s="165" t="s">
        <v>3679</v>
      </c>
      <c r="L78" s="65" t="s">
        <v>3650</v>
      </c>
      <c r="M78" s="65"/>
      <c r="N78" s="65"/>
      <c r="O78" s="65" t="s">
        <v>2507</v>
      </c>
      <c r="P78" s="65" t="s">
        <v>2507</v>
      </c>
      <c r="Q78" s="54" t="s">
        <v>1637</v>
      </c>
      <c r="R78" s="41" t="s">
        <v>2990</v>
      </c>
      <c r="S78" s="80" t="s">
        <v>2623</v>
      </c>
      <c r="T78" s="40" t="s">
        <v>139</v>
      </c>
      <c r="U78" s="41" t="s">
        <v>139</v>
      </c>
      <c r="V78" s="41" t="s">
        <v>139</v>
      </c>
      <c r="W78" s="41" t="s">
        <v>139</v>
      </c>
      <c r="X78" s="41" t="s">
        <v>2670</v>
      </c>
      <c r="Y78" s="41" t="s">
        <v>139</v>
      </c>
      <c r="Z78" s="73" t="s">
        <v>139</v>
      </c>
      <c r="AA78" s="54" t="s">
        <v>139</v>
      </c>
      <c r="AB78" s="54" t="s">
        <v>139</v>
      </c>
      <c r="AC78" s="54" t="s">
        <v>2667</v>
      </c>
      <c r="AD78" s="54" t="s">
        <v>139</v>
      </c>
      <c r="AE78" s="55"/>
      <c r="AF78" s="56"/>
      <c r="AG78" s="56"/>
      <c r="AH78" s="57"/>
      <c r="AI78" s="56"/>
      <c r="AJ78" s="56"/>
      <c r="AK78" s="56"/>
      <c r="AL78" s="3" t="s">
        <v>1582</v>
      </c>
    </row>
    <row r="79" spans="2:38" ht="40.5">
      <c r="B79" s="144">
        <f t="shared" si="1"/>
        <v>76</v>
      </c>
      <c r="C79" s="148" t="s">
        <v>3731</v>
      </c>
      <c r="D79" s="148"/>
      <c r="E79" s="148"/>
      <c r="F79" s="148"/>
      <c r="G79" s="148"/>
      <c r="H79" s="148"/>
      <c r="I79" s="148"/>
      <c r="J79" s="148"/>
      <c r="K79" s="165" t="s">
        <v>3679</v>
      </c>
      <c r="L79" s="65" t="s">
        <v>3650</v>
      </c>
      <c r="M79" s="65"/>
      <c r="N79" s="65"/>
      <c r="O79" s="65" t="s">
        <v>2508</v>
      </c>
      <c r="P79" s="65" t="s">
        <v>2508</v>
      </c>
      <c r="Q79" s="54" t="s">
        <v>1637</v>
      </c>
      <c r="R79" s="41" t="s">
        <v>2991</v>
      </c>
      <c r="S79" s="80" t="s">
        <v>2624</v>
      </c>
      <c r="T79" s="40" t="s">
        <v>139</v>
      </c>
      <c r="U79" s="41" t="s">
        <v>139</v>
      </c>
      <c r="V79" s="41" t="s">
        <v>139</v>
      </c>
      <c r="W79" s="41" t="s">
        <v>139</v>
      </c>
      <c r="X79" s="41" t="s">
        <v>2670</v>
      </c>
      <c r="Y79" s="41" t="s">
        <v>139</v>
      </c>
      <c r="Z79" s="73" t="s">
        <v>139</v>
      </c>
      <c r="AA79" s="54" t="s">
        <v>139</v>
      </c>
      <c r="AB79" s="54" t="s">
        <v>139</v>
      </c>
      <c r="AC79" s="54" t="s">
        <v>2667</v>
      </c>
      <c r="AD79" s="54" t="s">
        <v>139</v>
      </c>
      <c r="AE79" s="55"/>
      <c r="AF79" s="56"/>
      <c r="AG79" s="56"/>
      <c r="AH79" s="57"/>
      <c r="AI79" s="56"/>
      <c r="AJ79" s="56"/>
      <c r="AK79" s="56"/>
      <c r="AL79" s="3" t="s">
        <v>1582</v>
      </c>
    </row>
    <row r="80" spans="2:38" ht="40.5">
      <c r="B80" s="144">
        <f t="shared" si="1"/>
        <v>77</v>
      </c>
      <c r="C80" s="148" t="s">
        <v>3731</v>
      </c>
      <c r="D80" s="148"/>
      <c r="E80" s="148"/>
      <c r="F80" s="148"/>
      <c r="G80" s="148"/>
      <c r="H80" s="148"/>
      <c r="I80" s="148"/>
      <c r="J80" s="148"/>
      <c r="K80" s="165" t="s">
        <v>3679</v>
      </c>
      <c r="L80" s="65" t="s">
        <v>3650</v>
      </c>
      <c r="M80" s="65"/>
      <c r="N80" s="65"/>
      <c r="O80" s="65" t="s">
        <v>2509</v>
      </c>
      <c r="P80" s="65" t="s">
        <v>2509</v>
      </c>
      <c r="Q80" s="54" t="s">
        <v>1637</v>
      </c>
      <c r="R80" s="41" t="s">
        <v>2992</v>
      </c>
      <c r="S80" s="80" t="s">
        <v>2625</v>
      </c>
      <c r="T80" s="40" t="s">
        <v>139</v>
      </c>
      <c r="U80" s="41" t="s">
        <v>139</v>
      </c>
      <c r="V80" s="41" t="s">
        <v>139</v>
      </c>
      <c r="W80" s="41" t="s">
        <v>139</v>
      </c>
      <c r="X80" s="41" t="s">
        <v>2670</v>
      </c>
      <c r="Y80" s="41" t="s">
        <v>139</v>
      </c>
      <c r="Z80" s="73" t="s">
        <v>139</v>
      </c>
      <c r="AA80" s="54" t="s">
        <v>139</v>
      </c>
      <c r="AB80" s="54" t="s">
        <v>139</v>
      </c>
      <c r="AC80" s="54" t="s">
        <v>2667</v>
      </c>
      <c r="AD80" s="54" t="s">
        <v>139</v>
      </c>
      <c r="AE80" s="55"/>
      <c r="AF80" s="56"/>
      <c r="AG80" s="56"/>
      <c r="AH80" s="57"/>
      <c r="AI80" s="56"/>
      <c r="AJ80" s="56"/>
      <c r="AK80" s="56"/>
      <c r="AL80" s="3" t="s">
        <v>1582</v>
      </c>
    </row>
    <row r="81" spans="2:38" ht="40.5">
      <c r="B81" s="144">
        <f t="shared" si="1"/>
        <v>78</v>
      </c>
      <c r="C81" s="148" t="s">
        <v>3731</v>
      </c>
      <c r="D81" s="148"/>
      <c r="E81" s="148"/>
      <c r="F81" s="148"/>
      <c r="G81" s="148"/>
      <c r="H81" s="148"/>
      <c r="I81" s="148"/>
      <c r="J81" s="148"/>
      <c r="K81" s="165" t="s">
        <v>3679</v>
      </c>
      <c r="L81" s="65" t="s">
        <v>3650</v>
      </c>
      <c r="M81" s="65"/>
      <c r="N81" s="65"/>
      <c r="O81" s="65" t="s">
        <v>2510</v>
      </c>
      <c r="P81" s="65" t="s">
        <v>2510</v>
      </c>
      <c r="Q81" s="54" t="s">
        <v>1637</v>
      </c>
      <c r="R81" s="41" t="s">
        <v>2993</v>
      </c>
      <c r="S81" s="80" t="s">
        <v>2626</v>
      </c>
      <c r="T81" s="40" t="s">
        <v>139</v>
      </c>
      <c r="U81" s="41" t="s">
        <v>139</v>
      </c>
      <c r="V81" s="41" t="s">
        <v>139</v>
      </c>
      <c r="W81" s="41" t="s">
        <v>139</v>
      </c>
      <c r="X81" s="41" t="s">
        <v>2670</v>
      </c>
      <c r="Y81" s="41" t="s">
        <v>139</v>
      </c>
      <c r="Z81" s="73" t="s">
        <v>139</v>
      </c>
      <c r="AA81" s="54" t="s">
        <v>139</v>
      </c>
      <c r="AB81" s="54" t="s">
        <v>139</v>
      </c>
      <c r="AC81" s="54" t="s">
        <v>2667</v>
      </c>
      <c r="AD81" s="54" t="s">
        <v>139</v>
      </c>
      <c r="AE81" s="55"/>
      <c r="AF81" s="56"/>
      <c r="AG81" s="56"/>
      <c r="AH81" s="57"/>
      <c r="AI81" s="56"/>
      <c r="AJ81" s="56"/>
      <c r="AK81" s="56"/>
      <c r="AL81" s="3" t="s">
        <v>1582</v>
      </c>
    </row>
    <row r="82" spans="2:38" ht="40.5">
      <c r="B82" s="144">
        <f t="shared" si="1"/>
        <v>79</v>
      </c>
      <c r="C82" s="148" t="s">
        <v>3731</v>
      </c>
      <c r="D82" s="148"/>
      <c r="E82" s="148"/>
      <c r="F82" s="148"/>
      <c r="G82" s="148"/>
      <c r="H82" s="148"/>
      <c r="I82" s="148"/>
      <c r="J82" s="148"/>
      <c r="K82" s="165" t="s">
        <v>3679</v>
      </c>
      <c r="L82" s="65" t="s">
        <v>3650</v>
      </c>
      <c r="M82" s="65"/>
      <c r="N82" s="65"/>
      <c r="O82" s="65" t="s">
        <v>2511</v>
      </c>
      <c r="P82" s="65" t="s">
        <v>2511</v>
      </c>
      <c r="Q82" s="54" t="s">
        <v>1637</v>
      </c>
      <c r="R82" s="41" t="s">
        <v>2994</v>
      </c>
      <c r="S82" s="80" t="s">
        <v>2627</v>
      </c>
      <c r="T82" s="40" t="s">
        <v>139</v>
      </c>
      <c r="U82" s="41" t="s">
        <v>139</v>
      </c>
      <c r="V82" s="41" t="s">
        <v>139</v>
      </c>
      <c r="W82" s="41" t="s">
        <v>139</v>
      </c>
      <c r="X82" s="41" t="s">
        <v>2670</v>
      </c>
      <c r="Y82" s="41" t="s">
        <v>139</v>
      </c>
      <c r="Z82" s="73" t="s">
        <v>139</v>
      </c>
      <c r="AA82" s="54" t="s">
        <v>139</v>
      </c>
      <c r="AB82" s="54" t="s">
        <v>139</v>
      </c>
      <c r="AC82" s="54" t="s">
        <v>2667</v>
      </c>
      <c r="AD82" s="54" t="s">
        <v>139</v>
      </c>
      <c r="AE82" s="55"/>
      <c r="AF82" s="56"/>
      <c r="AG82" s="56"/>
      <c r="AH82" s="57"/>
      <c r="AI82" s="56"/>
      <c r="AJ82" s="56"/>
      <c r="AK82" s="56"/>
      <c r="AL82" s="3" t="s">
        <v>1582</v>
      </c>
    </row>
    <row r="83" spans="2:38" ht="40.5" hidden="1">
      <c r="B83" s="144">
        <f t="shared" si="1"/>
        <v>80</v>
      </c>
      <c r="C83" s="148" t="s">
        <v>3732</v>
      </c>
      <c r="D83" s="148"/>
      <c r="E83" s="148"/>
      <c r="F83" s="148"/>
      <c r="G83" s="148"/>
      <c r="H83" s="148"/>
      <c r="I83" s="148"/>
      <c r="J83" s="148"/>
      <c r="K83" s="165" t="s">
        <v>3679</v>
      </c>
      <c r="L83" s="65" t="s">
        <v>3650</v>
      </c>
      <c r="M83" s="65"/>
      <c r="N83" s="65"/>
      <c r="O83" s="65" t="s">
        <v>2803</v>
      </c>
      <c r="P83" s="65" t="s">
        <v>2803</v>
      </c>
      <c r="Q83" s="54" t="s">
        <v>1637</v>
      </c>
      <c r="R83" s="41" t="s">
        <v>2809</v>
      </c>
      <c r="S83" s="41"/>
      <c r="T83" s="41" t="s">
        <v>1637</v>
      </c>
      <c r="U83" s="41" t="s">
        <v>2814</v>
      </c>
      <c r="V83" s="41" t="s">
        <v>139</v>
      </c>
      <c r="W83" s="41" t="s">
        <v>139</v>
      </c>
      <c r="X83" s="41" t="s">
        <v>139</v>
      </c>
      <c r="Y83" s="41" t="s">
        <v>139</v>
      </c>
      <c r="Z83" s="73" t="s">
        <v>218</v>
      </c>
      <c r="AA83" s="54" t="s">
        <v>139</v>
      </c>
      <c r="AB83" s="54" t="s">
        <v>139</v>
      </c>
      <c r="AC83" s="54" t="s">
        <v>139</v>
      </c>
      <c r="AD83" s="54" t="s">
        <v>139</v>
      </c>
      <c r="AE83" s="55"/>
      <c r="AF83" s="56"/>
      <c r="AG83" s="56"/>
      <c r="AH83" s="57"/>
      <c r="AI83" s="56"/>
      <c r="AJ83" s="56"/>
      <c r="AK83" s="56"/>
      <c r="AL83" s="3" t="s">
        <v>1582</v>
      </c>
    </row>
    <row r="84" spans="2:38" ht="40.5" hidden="1">
      <c r="B84" s="144">
        <f t="shared" si="1"/>
        <v>81</v>
      </c>
      <c r="C84" s="148" t="s">
        <v>3732</v>
      </c>
      <c r="D84" s="148"/>
      <c r="E84" s="148"/>
      <c r="F84" s="148"/>
      <c r="G84" s="148"/>
      <c r="H84" s="148"/>
      <c r="I84" s="148"/>
      <c r="J84" s="148"/>
      <c r="K84" s="165" t="s">
        <v>3679</v>
      </c>
      <c r="L84" s="65" t="s">
        <v>3650</v>
      </c>
      <c r="M84" s="65"/>
      <c r="N84" s="65"/>
      <c r="O84" s="65" t="s">
        <v>2379</v>
      </c>
      <c r="P84" s="65" t="s">
        <v>2379</v>
      </c>
      <c r="Q84" s="54" t="s">
        <v>1637</v>
      </c>
      <c r="R84" s="41" t="s">
        <v>3204</v>
      </c>
      <c r="S84" s="41" t="s">
        <v>2628</v>
      </c>
      <c r="T84" s="41" t="s">
        <v>1637</v>
      </c>
      <c r="U84" s="41" t="s">
        <v>139</v>
      </c>
      <c r="V84" s="41" t="s">
        <v>139</v>
      </c>
      <c r="W84" s="41" t="s">
        <v>139</v>
      </c>
      <c r="X84" s="41" t="s">
        <v>2670</v>
      </c>
      <c r="Y84" s="41" t="s">
        <v>139</v>
      </c>
      <c r="Z84" s="73" t="s">
        <v>139</v>
      </c>
      <c r="AA84" s="54" t="s">
        <v>139</v>
      </c>
      <c r="AB84" s="54" t="s">
        <v>139</v>
      </c>
      <c r="AC84" s="54" t="s">
        <v>2667</v>
      </c>
      <c r="AD84" s="54" t="s">
        <v>139</v>
      </c>
      <c r="AE84" s="55"/>
      <c r="AF84" s="56"/>
      <c r="AG84" s="56"/>
      <c r="AH84" s="57"/>
      <c r="AI84" s="56"/>
      <c r="AJ84" s="56"/>
      <c r="AK84" s="56"/>
      <c r="AL84" s="3" t="s">
        <v>1582</v>
      </c>
    </row>
    <row r="85" spans="2:38" ht="40.5" hidden="1">
      <c r="B85" s="144">
        <f t="shared" si="1"/>
        <v>82</v>
      </c>
      <c r="C85" s="148" t="s">
        <v>3732</v>
      </c>
      <c r="D85" s="148"/>
      <c r="E85" s="148"/>
      <c r="F85" s="148"/>
      <c r="G85" s="148"/>
      <c r="H85" s="148"/>
      <c r="I85" s="148"/>
      <c r="J85" s="148"/>
      <c r="K85" s="165" t="s">
        <v>3679</v>
      </c>
      <c r="L85" s="65" t="s">
        <v>3650</v>
      </c>
      <c r="M85" s="65"/>
      <c r="N85" s="165"/>
      <c r="O85" s="165" t="s">
        <v>1214</v>
      </c>
      <c r="P85" s="165" t="s">
        <v>1214</v>
      </c>
      <c r="Q85" s="126" t="s">
        <v>1215</v>
      </c>
      <c r="R85" s="40" t="s">
        <v>1216</v>
      </c>
      <c r="S85" s="40"/>
      <c r="T85" s="40" t="s">
        <v>139</v>
      </c>
      <c r="U85" s="41" t="s">
        <v>1217</v>
      </c>
      <c r="V85" s="41" t="s">
        <v>139</v>
      </c>
      <c r="W85" s="41" t="s">
        <v>139</v>
      </c>
      <c r="X85" s="41" t="s">
        <v>139</v>
      </c>
      <c r="Y85" s="41" t="s">
        <v>139</v>
      </c>
      <c r="Z85" s="74" t="s">
        <v>163</v>
      </c>
      <c r="AA85" s="41" t="s">
        <v>139</v>
      </c>
      <c r="AB85" s="41" t="s">
        <v>139</v>
      </c>
      <c r="AC85" s="41" t="s">
        <v>139</v>
      </c>
      <c r="AD85" s="41" t="s">
        <v>139</v>
      </c>
      <c r="AE85" s="44"/>
      <c r="AF85" s="45"/>
      <c r="AG85" s="45"/>
      <c r="AH85" s="46"/>
      <c r="AI85" s="45"/>
      <c r="AJ85" s="45"/>
      <c r="AK85" s="45"/>
      <c r="AL85" s="3" t="s">
        <v>1582</v>
      </c>
    </row>
    <row r="86" spans="2:38" ht="27" hidden="1">
      <c r="B86" s="144">
        <f t="shared" si="1"/>
        <v>83</v>
      </c>
      <c r="C86" s="148" t="s">
        <v>3732</v>
      </c>
      <c r="D86" s="148"/>
      <c r="E86" s="148"/>
      <c r="F86" s="148"/>
      <c r="G86" s="148"/>
      <c r="H86" s="148"/>
      <c r="I86" s="148"/>
      <c r="J86" s="148"/>
      <c r="K86" s="165" t="s">
        <v>3679</v>
      </c>
      <c r="L86" s="65" t="s">
        <v>3650</v>
      </c>
      <c r="M86" s="65"/>
      <c r="N86" s="65"/>
      <c r="O86" s="65" t="s">
        <v>2804</v>
      </c>
      <c r="P86" s="65" t="s">
        <v>2804</v>
      </c>
      <c r="Q86" s="54" t="s">
        <v>1637</v>
      </c>
      <c r="R86" s="41" t="s">
        <v>2810</v>
      </c>
      <c r="S86" s="41"/>
      <c r="T86" s="41" t="s">
        <v>1637</v>
      </c>
      <c r="U86" s="41" t="s">
        <v>2814</v>
      </c>
      <c r="V86" s="41" t="s">
        <v>139</v>
      </c>
      <c r="W86" s="41" t="s">
        <v>139</v>
      </c>
      <c r="X86" s="41" t="s">
        <v>139</v>
      </c>
      <c r="Y86" s="41" t="s">
        <v>139</v>
      </c>
      <c r="Z86" s="73" t="s">
        <v>218</v>
      </c>
      <c r="AA86" s="54" t="s">
        <v>139</v>
      </c>
      <c r="AB86" s="54" t="s">
        <v>139</v>
      </c>
      <c r="AC86" s="54" t="s">
        <v>139</v>
      </c>
      <c r="AD86" s="54" t="s">
        <v>139</v>
      </c>
      <c r="AE86" s="55"/>
      <c r="AF86" s="56"/>
      <c r="AG86" s="56"/>
      <c r="AH86" s="57"/>
      <c r="AI86" s="56"/>
      <c r="AJ86" s="56"/>
      <c r="AK86" s="56"/>
      <c r="AL86" s="3" t="s">
        <v>1582</v>
      </c>
    </row>
    <row r="87" spans="2:38" ht="40.5">
      <c r="B87" s="144">
        <f t="shared" si="1"/>
        <v>84</v>
      </c>
      <c r="C87" s="148" t="s">
        <v>3731</v>
      </c>
      <c r="D87" s="148"/>
      <c r="E87" s="148"/>
      <c r="F87" s="148"/>
      <c r="G87" s="148"/>
      <c r="H87" s="148"/>
      <c r="I87" s="148"/>
      <c r="J87" s="148"/>
      <c r="K87" s="165" t="s">
        <v>3679</v>
      </c>
      <c r="L87" s="65" t="s">
        <v>3650</v>
      </c>
      <c r="M87" s="65"/>
      <c r="N87" s="165"/>
      <c r="O87" s="165" t="s">
        <v>1222</v>
      </c>
      <c r="P87" s="165" t="s">
        <v>1222</v>
      </c>
      <c r="Q87" s="126" t="s">
        <v>1223</v>
      </c>
      <c r="R87" s="40" t="s">
        <v>1224</v>
      </c>
      <c r="S87" s="40"/>
      <c r="T87" s="164" t="s">
        <v>192</v>
      </c>
      <c r="U87" s="41" t="s">
        <v>1225</v>
      </c>
      <c r="V87" s="41" t="s">
        <v>139</v>
      </c>
      <c r="W87" s="41" t="s">
        <v>139</v>
      </c>
      <c r="X87" s="41" t="s">
        <v>139</v>
      </c>
      <c r="Y87" s="41" t="s">
        <v>139</v>
      </c>
      <c r="Z87" s="74" t="s">
        <v>163</v>
      </c>
      <c r="AA87" s="41" t="s">
        <v>139</v>
      </c>
      <c r="AB87" s="41" t="s">
        <v>139</v>
      </c>
      <c r="AC87" s="41" t="s">
        <v>139</v>
      </c>
      <c r="AD87" s="41" t="s">
        <v>139</v>
      </c>
      <c r="AE87" s="44"/>
      <c r="AF87" s="45"/>
      <c r="AG87" s="45"/>
      <c r="AH87" s="46"/>
      <c r="AI87" s="45"/>
      <c r="AJ87" s="45"/>
      <c r="AK87" s="45"/>
      <c r="AL87" s="3" t="s">
        <v>1582</v>
      </c>
    </row>
    <row r="88" spans="2:38" ht="40.5" hidden="1">
      <c r="B88" s="144">
        <f t="shared" si="1"/>
        <v>85</v>
      </c>
      <c r="C88" s="148" t="s">
        <v>3732</v>
      </c>
      <c r="D88" s="148"/>
      <c r="E88" s="148"/>
      <c r="F88" s="148"/>
      <c r="G88" s="148"/>
      <c r="H88" s="148"/>
      <c r="I88" s="148"/>
      <c r="J88" s="148"/>
      <c r="K88" s="165" t="s">
        <v>3679</v>
      </c>
      <c r="L88" s="65" t="s">
        <v>3650</v>
      </c>
      <c r="M88" s="65"/>
      <c r="N88" s="165"/>
      <c r="O88" s="165" t="s">
        <v>1173</v>
      </c>
      <c r="P88" s="165" t="s">
        <v>1173</v>
      </c>
      <c r="Q88" s="126" t="s">
        <v>139</v>
      </c>
      <c r="R88" s="40" t="s">
        <v>1174</v>
      </c>
      <c r="S88" s="40"/>
      <c r="T88" s="40" t="s">
        <v>139</v>
      </c>
      <c r="U88" s="41" t="s">
        <v>139</v>
      </c>
      <c r="V88" s="41" t="s">
        <v>139</v>
      </c>
      <c r="W88" s="41" t="s">
        <v>139</v>
      </c>
      <c r="X88" s="41" t="s">
        <v>139</v>
      </c>
      <c r="Y88" s="41" t="s">
        <v>139</v>
      </c>
      <c r="Z88" s="74" t="s">
        <v>163</v>
      </c>
      <c r="AA88" s="41" t="s">
        <v>139</v>
      </c>
      <c r="AB88" s="41" t="s">
        <v>139</v>
      </c>
      <c r="AC88" s="41" t="s">
        <v>139</v>
      </c>
      <c r="AD88" s="41" t="s">
        <v>139</v>
      </c>
      <c r="AE88" s="44"/>
      <c r="AF88" s="45"/>
      <c r="AG88" s="45"/>
      <c r="AH88" s="46"/>
      <c r="AI88" s="45"/>
      <c r="AJ88" s="45"/>
      <c r="AK88" s="45"/>
      <c r="AL88" s="3" t="s">
        <v>1582</v>
      </c>
    </row>
    <row r="89" spans="2:38" ht="40.5" hidden="1">
      <c r="B89" s="144">
        <f t="shared" si="1"/>
        <v>86</v>
      </c>
      <c r="C89" s="148" t="s">
        <v>3732</v>
      </c>
      <c r="D89" s="148"/>
      <c r="E89" s="148"/>
      <c r="F89" s="148"/>
      <c r="G89" s="148"/>
      <c r="H89" s="148"/>
      <c r="I89" s="148"/>
      <c r="J89" s="148"/>
      <c r="K89" s="165" t="s">
        <v>3679</v>
      </c>
      <c r="L89" s="65" t="s">
        <v>3650</v>
      </c>
      <c r="M89" s="65"/>
      <c r="N89" s="65"/>
      <c r="O89" s="65" t="s">
        <v>2818</v>
      </c>
      <c r="P89" s="65" t="s">
        <v>2818</v>
      </c>
      <c r="Q89" s="54" t="s">
        <v>1637</v>
      </c>
      <c r="R89" s="41" t="s">
        <v>2823</v>
      </c>
      <c r="S89" s="41"/>
      <c r="T89" s="41" t="s">
        <v>1637</v>
      </c>
      <c r="U89" s="41" t="s">
        <v>2815</v>
      </c>
      <c r="V89" s="41" t="s">
        <v>139</v>
      </c>
      <c r="W89" s="41" t="s">
        <v>139</v>
      </c>
      <c r="X89" s="41" t="s">
        <v>139</v>
      </c>
      <c r="Y89" s="41" t="s">
        <v>139</v>
      </c>
      <c r="Z89" s="73" t="s">
        <v>218</v>
      </c>
      <c r="AA89" s="54" t="s">
        <v>139</v>
      </c>
      <c r="AB89" s="54" t="s">
        <v>139</v>
      </c>
      <c r="AC89" s="54" t="s">
        <v>139</v>
      </c>
      <c r="AD89" s="54" t="s">
        <v>139</v>
      </c>
      <c r="AE89" s="55"/>
      <c r="AF89" s="56"/>
      <c r="AG89" s="56"/>
      <c r="AH89" s="57"/>
      <c r="AI89" s="56"/>
      <c r="AJ89" s="56"/>
      <c r="AK89" s="56"/>
      <c r="AL89" s="3" t="s">
        <v>1582</v>
      </c>
    </row>
    <row r="90" spans="2:38" ht="40.5">
      <c r="B90" s="144">
        <f t="shared" si="1"/>
        <v>87</v>
      </c>
      <c r="C90" s="148" t="s">
        <v>3731</v>
      </c>
      <c r="D90" s="148"/>
      <c r="E90" s="148"/>
      <c r="F90" s="148"/>
      <c r="G90" s="148"/>
      <c r="H90" s="148"/>
      <c r="I90" s="148"/>
      <c r="J90" s="148"/>
      <c r="K90" s="165" t="s">
        <v>3679</v>
      </c>
      <c r="L90" s="65" t="s">
        <v>3650</v>
      </c>
      <c r="M90" s="65"/>
      <c r="N90" s="65"/>
      <c r="O90" s="65" t="s">
        <v>2416</v>
      </c>
      <c r="P90" s="65" t="s">
        <v>2416</v>
      </c>
      <c r="Q90" s="54" t="s">
        <v>1637</v>
      </c>
      <c r="R90" s="41" t="s">
        <v>3002</v>
      </c>
      <c r="S90" s="41" t="s">
        <v>2629</v>
      </c>
      <c r="T90" s="41" t="s">
        <v>1637</v>
      </c>
      <c r="U90" s="41" t="s">
        <v>139</v>
      </c>
      <c r="V90" s="41" t="s">
        <v>139</v>
      </c>
      <c r="W90" s="41" t="s">
        <v>139</v>
      </c>
      <c r="X90" s="41" t="s">
        <v>2670</v>
      </c>
      <c r="Y90" s="41" t="s">
        <v>139</v>
      </c>
      <c r="Z90" s="73" t="s">
        <v>139</v>
      </c>
      <c r="AA90" s="54" t="s">
        <v>139</v>
      </c>
      <c r="AB90" s="54" t="s">
        <v>139</v>
      </c>
      <c r="AC90" s="54" t="s">
        <v>2667</v>
      </c>
      <c r="AD90" s="54" t="s">
        <v>139</v>
      </c>
      <c r="AE90" s="55"/>
      <c r="AF90" s="56"/>
      <c r="AG90" s="56"/>
      <c r="AH90" s="57"/>
      <c r="AI90" s="56"/>
      <c r="AJ90" s="56"/>
      <c r="AK90" s="56"/>
      <c r="AL90" s="3" t="s">
        <v>1582</v>
      </c>
    </row>
    <row r="91" spans="2:38" ht="40.5" hidden="1">
      <c r="B91" s="144">
        <f t="shared" si="1"/>
        <v>88</v>
      </c>
      <c r="C91" s="148" t="s">
        <v>3732</v>
      </c>
      <c r="D91" s="148"/>
      <c r="E91" s="148"/>
      <c r="F91" s="148"/>
      <c r="G91" s="148"/>
      <c r="H91" s="148"/>
      <c r="I91" s="148"/>
      <c r="J91" s="148"/>
      <c r="K91" s="165" t="s">
        <v>3679</v>
      </c>
      <c r="L91" s="65" t="s">
        <v>3650</v>
      </c>
      <c r="M91" s="65"/>
      <c r="N91" s="65"/>
      <c r="O91" s="65" t="s">
        <v>2512</v>
      </c>
      <c r="P91" s="65" t="s">
        <v>2512</v>
      </c>
      <c r="Q91" s="54" t="s">
        <v>1637</v>
      </c>
      <c r="R91" s="41" t="s">
        <v>3003</v>
      </c>
      <c r="S91" s="41" t="s">
        <v>2630</v>
      </c>
      <c r="T91" s="41" t="s">
        <v>1637</v>
      </c>
      <c r="U91" s="41" t="s">
        <v>139</v>
      </c>
      <c r="V91" s="41" t="s">
        <v>139</v>
      </c>
      <c r="W91" s="41" t="s">
        <v>139</v>
      </c>
      <c r="X91" s="41" t="s">
        <v>2670</v>
      </c>
      <c r="Y91" s="41" t="s">
        <v>139</v>
      </c>
      <c r="Z91" s="73" t="s">
        <v>139</v>
      </c>
      <c r="AA91" s="54" t="s">
        <v>139</v>
      </c>
      <c r="AB91" s="54" t="s">
        <v>139</v>
      </c>
      <c r="AC91" s="54" t="s">
        <v>2667</v>
      </c>
      <c r="AD91" s="54" t="s">
        <v>139</v>
      </c>
      <c r="AE91" s="55"/>
      <c r="AF91" s="56"/>
      <c r="AG91" s="56"/>
      <c r="AH91" s="57"/>
      <c r="AI91" s="56"/>
      <c r="AJ91" s="56"/>
      <c r="AK91" s="56"/>
      <c r="AL91" s="3" t="s">
        <v>1582</v>
      </c>
    </row>
    <row r="92" spans="2:38" ht="40.5">
      <c r="B92" s="144">
        <f t="shared" si="1"/>
        <v>89</v>
      </c>
      <c r="C92" s="148" t="s">
        <v>3731</v>
      </c>
      <c r="D92" s="148"/>
      <c r="E92" s="148"/>
      <c r="F92" s="148"/>
      <c r="G92" s="148"/>
      <c r="H92" s="148"/>
      <c r="I92" s="148"/>
      <c r="J92" s="148"/>
      <c r="K92" s="165" t="s">
        <v>3679</v>
      </c>
      <c r="L92" s="65" t="s">
        <v>3650</v>
      </c>
      <c r="M92" s="65"/>
      <c r="N92" s="65"/>
      <c r="O92" s="65" t="s">
        <v>2513</v>
      </c>
      <c r="P92" s="65" t="s">
        <v>2513</v>
      </c>
      <c r="Q92" s="54" t="s">
        <v>1637</v>
      </c>
      <c r="R92" s="41" t="s">
        <v>3004</v>
      </c>
      <c r="S92" s="41" t="s">
        <v>2631</v>
      </c>
      <c r="T92" s="41" t="s">
        <v>1637</v>
      </c>
      <c r="U92" s="41" t="s">
        <v>139</v>
      </c>
      <c r="V92" s="41" t="s">
        <v>139</v>
      </c>
      <c r="W92" s="41" t="s">
        <v>139</v>
      </c>
      <c r="X92" s="41" t="s">
        <v>2670</v>
      </c>
      <c r="Y92" s="41" t="s">
        <v>139</v>
      </c>
      <c r="Z92" s="73" t="s">
        <v>139</v>
      </c>
      <c r="AA92" s="54" t="s">
        <v>139</v>
      </c>
      <c r="AB92" s="54" t="s">
        <v>139</v>
      </c>
      <c r="AC92" s="54" t="s">
        <v>2667</v>
      </c>
      <c r="AD92" s="54" t="s">
        <v>139</v>
      </c>
      <c r="AE92" s="55"/>
      <c r="AF92" s="56"/>
      <c r="AG92" s="56"/>
      <c r="AH92" s="57"/>
      <c r="AI92" s="56"/>
      <c r="AJ92" s="56"/>
      <c r="AK92" s="56"/>
      <c r="AL92" s="3" t="s">
        <v>1582</v>
      </c>
    </row>
    <row r="93" spans="2:38" ht="40.5" hidden="1">
      <c r="B93" s="144">
        <f t="shared" si="1"/>
        <v>90</v>
      </c>
      <c r="C93" s="148" t="s">
        <v>3732</v>
      </c>
      <c r="D93" s="148"/>
      <c r="E93" s="148"/>
      <c r="F93" s="148"/>
      <c r="G93" s="148"/>
      <c r="H93" s="148"/>
      <c r="I93" s="148"/>
      <c r="J93" s="148"/>
      <c r="K93" s="165" t="s">
        <v>3679</v>
      </c>
      <c r="L93" s="65" t="s">
        <v>3650</v>
      </c>
      <c r="M93" s="65"/>
      <c r="N93" s="65"/>
      <c r="O93" s="65" t="s">
        <v>2413</v>
      </c>
      <c r="P93" s="65" t="s">
        <v>2413</v>
      </c>
      <c r="Q93" s="54" t="s">
        <v>1637</v>
      </c>
      <c r="R93" s="41" t="s">
        <v>3005</v>
      </c>
      <c r="S93" s="41" t="s">
        <v>2632</v>
      </c>
      <c r="T93" s="41" t="s">
        <v>1637</v>
      </c>
      <c r="U93" s="41" t="s">
        <v>139</v>
      </c>
      <c r="V93" s="41" t="s">
        <v>139</v>
      </c>
      <c r="W93" s="41" t="s">
        <v>139</v>
      </c>
      <c r="X93" s="41" t="s">
        <v>2670</v>
      </c>
      <c r="Y93" s="41" t="s">
        <v>139</v>
      </c>
      <c r="Z93" s="73" t="s">
        <v>139</v>
      </c>
      <c r="AA93" s="54" t="s">
        <v>139</v>
      </c>
      <c r="AB93" s="54" t="s">
        <v>139</v>
      </c>
      <c r="AC93" s="54" t="s">
        <v>2667</v>
      </c>
      <c r="AD93" s="54" t="s">
        <v>139</v>
      </c>
      <c r="AE93" s="55"/>
      <c r="AF93" s="56"/>
      <c r="AG93" s="56"/>
      <c r="AH93" s="57"/>
      <c r="AI93" s="56"/>
      <c r="AJ93" s="56"/>
      <c r="AK93" s="56"/>
      <c r="AL93" s="3" t="s">
        <v>1582</v>
      </c>
    </row>
    <row r="94" spans="2:38" ht="40.5" hidden="1">
      <c r="B94" s="144">
        <f t="shared" si="1"/>
        <v>91</v>
      </c>
      <c r="C94" s="148" t="s">
        <v>3732</v>
      </c>
      <c r="D94" s="148"/>
      <c r="E94" s="148"/>
      <c r="F94" s="148"/>
      <c r="G94" s="148"/>
      <c r="H94" s="148"/>
      <c r="I94" s="148"/>
      <c r="J94" s="148"/>
      <c r="K94" s="165" t="s">
        <v>3679</v>
      </c>
      <c r="L94" s="65" t="s">
        <v>3650</v>
      </c>
      <c r="M94" s="65"/>
      <c r="N94" s="65"/>
      <c r="O94" s="65" t="s">
        <v>2414</v>
      </c>
      <c r="P94" s="65" t="s">
        <v>2414</v>
      </c>
      <c r="Q94" s="54" t="s">
        <v>1637</v>
      </c>
      <c r="R94" s="41" t="s">
        <v>3006</v>
      </c>
      <c r="S94" s="41" t="s">
        <v>2633</v>
      </c>
      <c r="T94" s="41" t="s">
        <v>1637</v>
      </c>
      <c r="U94" s="41" t="s">
        <v>139</v>
      </c>
      <c r="V94" s="41" t="s">
        <v>139</v>
      </c>
      <c r="W94" s="41" t="s">
        <v>139</v>
      </c>
      <c r="X94" s="41" t="s">
        <v>2670</v>
      </c>
      <c r="Y94" s="41" t="s">
        <v>139</v>
      </c>
      <c r="Z94" s="73" t="s">
        <v>139</v>
      </c>
      <c r="AA94" s="54" t="s">
        <v>139</v>
      </c>
      <c r="AB94" s="54" t="s">
        <v>139</v>
      </c>
      <c r="AC94" s="54" t="s">
        <v>2667</v>
      </c>
      <c r="AD94" s="54" t="s">
        <v>139</v>
      </c>
      <c r="AE94" s="55"/>
      <c r="AF94" s="56"/>
      <c r="AG94" s="56"/>
      <c r="AH94" s="57"/>
      <c r="AI94" s="56"/>
      <c r="AJ94" s="56"/>
      <c r="AK94" s="56"/>
      <c r="AL94" s="3" t="s">
        <v>1582</v>
      </c>
    </row>
    <row r="95" spans="2:38" ht="67.5" hidden="1">
      <c r="B95" s="144">
        <f t="shared" si="1"/>
        <v>92</v>
      </c>
      <c r="C95" s="148" t="s">
        <v>3732</v>
      </c>
      <c r="D95" s="148"/>
      <c r="E95" s="148"/>
      <c r="F95" s="148"/>
      <c r="G95" s="148"/>
      <c r="H95" s="148"/>
      <c r="I95" s="148"/>
      <c r="J95" s="148"/>
      <c r="K95" s="165" t="s">
        <v>3679</v>
      </c>
      <c r="L95" s="65" t="s">
        <v>3650</v>
      </c>
      <c r="M95" s="65"/>
      <c r="N95" s="65"/>
      <c r="O95" s="65" t="s">
        <v>2514</v>
      </c>
      <c r="P95" s="65" t="s">
        <v>2514</v>
      </c>
      <c r="Q95" s="54" t="s">
        <v>1637</v>
      </c>
      <c r="R95" s="41" t="s">
        <v>3007</v>
      </c>
      <c r="S95" s="41" t="s">
        <v>2634</v>
      </c>
      <c r="T95" s="41" t="s">
        <v>1637</v>
      </c>
      <c r="U95" s="41" t="s">
        <v>139</v>
      </c>
      <c r="V95" s="41" t="s">
        <v>139</v>
      </c>
      <c r="W95" s="41" t="s">
        <v>139</v>
      </c>
      <c r="X95" s="41" t="s">
        <v>2670</v>
      </c>
      <c r="Y95" s="41" t="s">
        <v>139</v>
      </c>
      <c r="Z95" s="73" t="s">
        <v>139</v>
      </c>
      <c r="AA95" s="54" t="s">
        <v>139</v>
      </c>
      <c r="AB95" s="54" t="s">
        <v>139</v>
      </c>
      <c r="AC95" s="54" t="s">
        <v>2667</v>
      </c>
      <c r="AD95" s="54" t="s">
        <v>139</v>
      </c>
      <c r="AE95" s="55"/>
      <c r="AF95" s="56"/>
      <c r="AG95" s="56"/>
      <c r="AH95" s="57"/>
      <c r="AI95" s="56"/>
      <c r="AJ95" s="56"/>
      <c r="AK95" s="56"/>
      <c r="AL95" s="3" t="s">
        <v>1582</v>
      </c>
    </row>
    <row r="96" spans="2:38" ht="27" hidden="1">
      <c r="B96" s="144">
        <f t="shared" si="1"/>
        <v>93</v>
      </c>
      <c r="C96" s="148" t="s">
        <v>3732</v>
      </c>
      <c r="D96" s="148"/>
      <c r="E96" s="148"/>
      <c r="F96" s="148"/>
      <c r="G96" s="148"/>
      <c r="H96" s="148"/>
      <c r="I96" s="148"/>
      <c r="J96" s="148"/>
      <c r="K96" s="165" t="s">
        <v>3679</v>
      </c>
      <c r="L96" s="65" t="s">
        <v>3650</v>
      </c>
      <c r="M96" s="65"/>
      <c r="N96" s="65"/>
      <c r="O96" s="65" t="s">
        <v>2806</v>
      </c>
      <c r="P96" s="65" t="s">
        <v>2806</v>
      </c>
      <c r="Q96" s="54" t="s">
        <v>1637</v>
      </c>
      <c r="R96" s="41" t="s">
        <v>2812</v>
      </c>
      <c r="S96" s="41"/>
      <c r="T96" s="41" t="s">
        <v>1637</v>
      </c>
      <c r="U96" s="41" t="s">
        <v>2814</v>
      </c>
      <c r="V96" s="41" t="s">
        <v>139</v>
      </c>
      <c r="W96" s="41" t="s">
        <v>139</v>
      </c>
      <c r="X96" s="41" t="s">
        <v>139</v>
      </c>
      <c r="Y96" s="41" t="s">
        <v>139</v>
      </c>
      <c r="Z96" s="73" t="s">
        <v>218</v>
      </c>
      <c r="AA96" s="54" t="s">
        <v>139</v>
      </c>
      <c r="AB96" s="54" t="s">
        <v>139</v>
      </c>
      <c r="AC96" s="54" t="s">
        <v>139</v>
      </c>
      <c r="AD96" s="54" t="s">
        <v>139</v>
      </c>
      <c r="AE96" s="55"/>
      <c r="AF96" s="56"/>
      <c r="AG96" s="56"/>
      <c r="AH96" s="57"/>
      <c r="AI96" s="56"/>
      <c r="AJ96" s="56"/>
      <c r="AK96" s="56"/>
      <c r="AL96" s="3" t="s">
        <v>1582</v>
      </c>
    </row>
    <row r="97" spans="2:38" ht="40.5" hidden="1">
      <c r="B97" s="144">
        <f t="shared" si="1"/>
        <v>94</v>
      </c>
      <c r="C97" s="148" t="s">
        <v>3732</v>
      </c>
      <c r="D97" s="148"/>
      <c r="E97" s="148"/>
      <c r="F97" s="148"/>
      <c r="G97" s="148"/>
      <c r="H97" s="148"/>
      <c r="I97" s="148"/>
      <c r="J97" s="148"/>
      <c r="K97" s="165" t="s">
        <v>3679</v>
      </c>
      <c r="L97" s="65" t="s">
        <v>3650</v>
      </c>
      <c r="M97" s="65"/>
      <c r="N97" s="65"/>
      <c r="O97" s="65" t="s">
        <v>2408</v>
      </c>
      <c r="P97" s="65" t="s">
        <v>2408</v>
      </c>
      <c r="Q97" s="54" t="s">
        <v>1637</v>
      </c>
      <c r="R97" s="41" t="s">
        <v>3008</v>
      </c>
      <c r="S97" s="41" t="s">
        <v>2447</v>
      </c>
      <c r="T97" s="41" t="s">
        <v>1637</v>
      </c>
      <c r="U97" s="41" t="s">
        <v>139</v>
      </c>
      <c r="V97" s="41" t="s">
        <v>139</v>
      </c>
      <c r="W97" s="41" t="s">
        <v>139</v>
      </c>
      <c r="X97" s="41" t="s">
        <v>2670</v>
      </c>
      <c r="Y97" s="41" t="s">
        <v>139</v>
      </c>
      <c r="Z97" s="73" t="s">
        <v>139</v>
      </c>
      <c r="AA97" s="54" t="s">
        <v>139</v>
      </c>
      <c r="AB97" s="54" t="s">
        <v>139</v>
      </c>
      <c r="AC97" s="54" t="s">
        <v>2667</v>
      </c>
      <c r="AD97" s="54" t="s">
        <v>139</v>
      </c>
      <c r="AE97" s="55"/>
      <c r="AF97" s="56"/>
      <c r="AG97" s="56"/>
      <c r="AH97" s="57"/>
      <c r="AI97" s="56"/>
      <c r="AJ97" s="56"/>
      <c r="AK97" s="56"/>
      <c r="AL97" s="3" t="s">
        <v>1582</v>
      </c>
    </row>
    <row r="98" spans="2:38" ht="40.5">
      <c r="B98" s="144">
        <f t="shared" si="1"/>
        <v>95</v>
      </c>
      <c r="C98" s="148" t="s">
        <v>3731</v>
      </c>
      <c r="D98" s="148"/>
      <c r="E98" s="148"/>
      <c r="F98" s="148"/>
      <c r="G98" s="148"/>
      <c r="H98" s="148"/>
      <c r="I98" s="148"/>
      <c r="J98" s="148"/>
      <c r="K98" s="165" t="s">
        <v>3679</v>
      </c>
      <c r="L98" s="65" t="s">
        <v>3650</v>
      </c>
      <c r="M98" s="65"/>
      <c r="N98" s="65"/>
      <c r="O98" s="65" t="s">
        <v>2405</v>
      </c>
      <c r="P98" s="65" t="s">
        <v>2405</v>
      </c>
      <c r="Q98" s="54" t="s">
        <v>1637</v>
      </c>
      <c r="R98" s="41" t="s">
        <v>3009</v>
      </c>
      <c r="S98" s="41" t="s">
        <v>2635</v>
      </c>
      <c r="T98" s="41" t="s">
        <v>1637</v>
      </c>
      <c r="U98" s="41" t="s">
        <v>139</v>
      </c>
      <c r="V98" s="41" t="s">
        <v>139</v>
      </c>
      <c r="W98" s="41" t="s">
        <v>139</v>
      </c>
      <c r="X98" s="41" t="s">
        <v>2670</v>
      </c>
      <c r="Y98" s="41" t="s">
        <v>139</v>
      </c>
      <c r="Z98" s="73" t="s">
        <v>139</v>
      </c>
      <c r="AA98" s="54" t="s">
        <v>139</v>
      </c>
      <c r="AB98" s="54" t="s">
        <v>139</v>
      </c>
      <c r="AC98" s="54" t="s">
        <v>2667</v>
      </c>
      <c r="AD98" s="54" t="s">
        <v>139</v>
      </c>
      <c r="AE98" s="55"/>
      <c r="AF98" s="56"/>
      <c r="AG98" s="56"/>
      <c r="AH98" s="57"/>
      <c r="AI98" s="56"/>
      <c r="AJ98" s="56"/>
      <c r="AK98" s="56"/>
      <c r="AL98" s="3" t="s">
        <v>1582</v>
      </c>
    </row>
    <row r="99" spans="2:38" ht="40.5">
      <c r="B99" s="144">
        <f t="shared" si="1"/>
        <v>96</v>
      </c>
      <c r="C99" s="148" t="s">
        <v>3731</v>
      </c>
      <c r="D99" s="148"/>
      <c r="E99" s="148"/>
      <c r="F99" s="148"/>
      <c r="G99" s="148"/>
      <c r="H99" s="148"/>
      <c r="I99" s="148"/>
      <c r="J99" s="148"/>
      <c r="K99" s="165" t="s">
        <v>3679</v>
      </c>
      <c r="L99" s="65" t="s">
        <v>3650</v>
      </c>
      <c r="M99" s="65"/>
      <c r="N99" s="65"/>
      <c r="O99" s="65" t="s">
        <v>2515</v>
      </c>
      <c r="P99" s="65" t="s">
        <v>2515</v>
      </c>
      <c r="Q99" s="54" t="s">
        <v>1637</v>
      </c>
      <c r="R99" s="41" t="s">
        <v>3010</v>
      </c>
      <c r="S99" s="41" t="s">
        <v>2636</v>
      </c>
      <c r="T99" s="41" t="s">
        <v>1637</v>
      </c>
      <c r="U99" s="41" t="s">
        <v>139</v>
      </c>
      <c r="V99" s="41" t="s">
        <v>139</v>
      </c>
      <c r="W99" s="41" t="s">
        <v>139</v>
      </c>
      <c r="X99" s="41" t="s">
        <v>2670</v>
      </c>
      <c r="Y99" s="41" t="s">
        <v>139</v>
      </c>
      <c r="Z99" s="73" t="s">
        <v>139</v>
      </c>
      <c r="AA99" s="54" t="s">
        <v>139</v>
      </c>
      <c r="AB99" s="54" t="s">
        <v>139</v>
      </c>
      <c r="AC99" s="54" t="s">
        <v>2667</v>
      </c>
      <c r="AD99" s="54" t="s">
        <v>139</v>
      </c>
      <c r="AE99" s="55"/>
      <c r="AF99" s="56"/>
      <c r="AG99" s="56"/>
      <c r="AH99" s="57"/>
      <c r="AI99" s="56"/>
      <c r="AJ99" s="56"/>
      <c r="AK99" s="56"/>
      <c r="AL99" s="3" t="s">
        <v>1582</v>
      </c>
    </row>
    <row r="100" spans="2:38" ht="54">
      <c r="B100" s="144">
        <f t="shared" si="1"/>
        <v>97</v>
      </c>
      <c r="C100" s="148" t="s">
        <v>3731</v>
      </c>
      <c r="D100" s="148"/>
      <c r="E100" s="148"/>
      <c r="F100" s="148"/>
      <c r="G100" s="148"/>
      <c r="H100" s="148"/>
      <c r="I100" s="148"/>
      <c r="J100" s="148"/>
      <c r="K100" s="165" t="s">
        <v>3679</v>
      </c>
      <c r="L100" s="65" t="s">
        <v>3650</v>
      </c>
      <c r="M100" s="65"/>
      <c r="N100" s="65"/>
      <c r="O100" s="65" t="s">
        <v>2516</v>
      </c>
      <c r="P100" s="65" t="s">
        <v>2516</v>
      </c>
      <c r="Q100" s="54" t="s">
        <v>1637</v>
      </c>
      <c r="R100" s="41" t="s">
        <v>3011</v>
      </c>
      <c r="S100" s="41" t="s">
        <v>2637</v>
      </c>
      <c r="T100" s="41" t="s">
        <v>1637</v>
      </c>
      <c r="U100" s="41" t="s">
        <v>139</v>
      </c>
      <c r="V100" s="41" t="s">
        <v>139</v>
      </c>
      <c r="W100" s="41" t="s">
        <v>139</v>
      </c>
      <c r="X100" s="41" t="s">
        <v>2670</v>
      </c>
      <c r="Y100" s="41" t="s">
        <v>139</v>
      </c>
      <c r="Z100" s="73" t="s">
        <v>139</v>
      </c>
      <c r="AA100" s="54" t="s">
        <v>139</v>
      </c>
      <c r="AB100" s="54" t="s">
        <v>139</v>
      </c>
      <c r="AC100" s="54" t="s">
        <v>2667</v>
      </c>
      <c r="AD100" s="54" t="s">
        <v>139</v>
      </c>
      <c r="AE100" s="55"/>
      <c r="AF100" s="56"/>
      <c r="AG100" s="56"/>
      <c r="AH100" s="57"/>
      <c r="AI100" s="56"/>
      <c r="AJ100" s="56"/>
      <c r="AK100" s="56"/>
      <c r="AL100" s="3" t="s">
        <v>1582</v>
      </c>
    </row>
    <row r="101" spans="2:38" ht="40.5" hidden="1">
      <c r="B101" s="144">
        <f t="shared" si="1"/>
        <v>98</v>
      </c>
      <c r="C101" s="148" t="s">
        <v>3732</v>
      </c>
      <c r="D101" s="148"/>
      <c r="E101" s="148"/>
      <c r="F101" s="148"/>
      <c r="G101" s="148"/>
      <c r="H101" s="148"/>
      <c r="I101" s="148"/>
      <c r="J101" s="148"/>
      <c r="K101" s="165" t="s">
        <v>3679</v>
      </c>
      <c r="L101" s="65" t="s">
        <v>3650</v>
      </c>
      <c r="M101" s="65"/>
      <c r="N101" s="65"/>
      <c r="O101" s="65" t="s">
        <v>2517</v>
      </c>
      <c r="P101" s="65" t="s">
        <v>2517</v>
      </c>
      <c r="Q101" s="54" t="s">
        <v>1637</v>
      </c>
      <c r="R101" s="41" t="s">
        <v>3012</v>
      </c>
      <c r="S101" s="41" t="s">
        <v>2638</v>
      </c>
      <c r="T101" s="41" t="s">
        <v>1637</v>
      </c>
      <c r="U101" s="41" t="s">
        <v>139</v>
      </c>
      <c r="V101" s="41" t="s">
        <v>139</v>
      </c>
      <c r="W101" s="41" t="s">
        <v>139</v>
      </c>
      <c r="X101" s="41" t="s">
        <v>2670</v>
      </c>
      <c r="Y101" s="41" t="s">
        <v>139</v>
      </c>
      <c r="Z101" s="73" t="s">
        <v>139</v>
      </c>
      <c r="AA101" s="54" t="s">
        <v>139</v>
      </c>
      <c r="AB101" s="54" t="s">
        <v>139</v>
      </c>
      <c r="AC101" s="54" t="s">
        <v>2667</v>
      </c>
      <c r="AD101" s="54" t="s">
        <v>139</v>
      </c>
      <c r="AE101" s="55"/>
      <c r="AF101" s="56"/>
      <c r="AG101" s="56"/>
      <c r="AH101" s="57"/>
      <c r="AI101" s="56"/>
      <c r="AJ101" s="56"/>
      <c r="AK101" s="56"/>
      <c r="AL101" s="3" t="s">
        <v>1582</v>
      </c>
    </row>
    <row r="102" spans="2:38" ht="40.5" hidden="1">
      <c r="B102" s="144">
        <f t="shared" si="1"/>
        <v>99</v>
      </c>
      <c r="C102" s="148" t="s">
        <v>3732</v>
      </c>
      <c r="D102" s="148"/>
      <c r="E102" s="148"/>
      <c r="F102" s="148"/>
      <c r="G102" s="148"/>
      <c r="H102" s="148"/>
      <c r="I102" s="148"/>
      <c r="J102" s="148"/>
      <c r="K102" s="165" t="s">
        <v>3679</v>
      </c>
      <c r="L102" s="65" t="s">
        <v>3650</v>
      </c>
      <c r="M102" s="65"/>
      <c r="N102" s="65"/>
      <c r="O102" s="65" t="s">
        <v>2518</v>
      </c>
      <c r="P102" s="65" t="s">
        <v>2518</v>
      </c>
      <c r="Q102" s="54" t="s">
        <v>1637</v>
      </c>
      <c r="R102" s="41" t="s">
        <v>3013</v>
      </c>
      <c r="S102" s="41" t="s">
        <v>2639</v>
      </c>
      <c r="T102" s="41" t="s">
        <v>1637</v>
      </c>
      <c r="U102" s="41" t="s">
        <v>139</v>
      </c>
      <c r="V102" s="41" t="s">
        <v>139</v>
      </c>
      <c r="W102" s="41" t="s">
        <v>139</v>
      </c>
      <c r="X102" s="41" t="s">
        <v>2670</v>
      </c>
      <c r="Y102" s="41" t="s">
        <v>139</v>
      </c>
      <c r="Z102" s="73" t="s">
        <v>139</v>
      </c>
      <c r="AA102" s="54" t="s">
        <v>139</v>
      </c>
      <c r="AB102" s="54" t="s">
        <v>139</v>
      </c>
      <c r="AC102" s="54" t="s">
        <v>2667</v>
      </c>
      <c r="AD102" s="54" t="s">
        <v>139</v>
      </c>
      <c r="AE102" s="55"/>
      <c r="AF102" s="56"/>
      <c r="AG102" s="56"/>
      <c r="AH102" s="57"/>
      <c r="AI102" s="56"/>
      <c r="AJ102" s="56"/>
      <c r="AK102" s="56"/>
      <c r="AL102" s="3" t="s">
        <v>1582</v>
      </c>
    </row>
    <row r="103" spans="2:38" ht="40.5" hidden="1">
      <c r="B103" s="144">
        <f t="shared" si="1"/>
        <v>100</v>
      </c>
      <c r="C103" s="148" t="s">
        <v>3732</v>
      </c>
      <c r="D103" s="148"/>
      <c r="E103" s="148"/>
      <c r="F103" s="148"/>
      <c r="G103" s="148"/>
      <c r="H103" s="148"/>
      <c r="I103" s="148"/>
      <c r="J103" s="148"/>
      <c r="K103" s="165" t="s">
        <v>3679</v>
      </c>
      <c r="L103" s="65" t="s">
        <v>3650</v>
      </c>
      <c r="M103" s="65"/>
      <c r="N103" s="65"/>
      <c r="O103" s="65" t="s">
        <v>2519</v>
      </c>
      <c r="P103" s="65" t="s">
        <v>2519</v>
      </c>
      <c r="Q103" s="54" t="s">
        <v>1637</v>
      </c>
      <c r="R103" s="41" t="s">
        <v>3014</v>
      </c>
      <c r="S103" s="41" t="s">
        <v>2640</v>
      </c>
      <c r="T103" s="41" t="s">
        <v>1637</v>
      </c>
      <c r="U103" s="41" t="s">
        <v>139</v>
      </c>
      <c r="V103" s="41" t="s">
        <v>139</v>
      </c>
      <c r="W103" s="41" t="s">
        <v>139</v>
      </c>
      <c r="X103" s="41" t="s">
        <v>2670</v>
      </c>
      <c r="Y103" s="41" t="s">
        <v>139</v>
      </c>
      <c r="Z103" s="73" t="s">
        <v>139</v>
      </c>
      <c r="AA103" s="54" t="s">
        <v>139</v>
      </c>
      <c r="AB103" s="54" t="s">
        <v>139</v>
      </c>
      <c r="AC103" s="54" t="s">
        <v>2667</v>
      </c>
      <c r="AD103" s="54" t="s">
        <v>139</v>
      </c>
      <c r="AE103" s="55"/>
      <c r="AF103" s="56"/>
      <c r="AG103" s="56"/>
      <c r="AH103" s="57"/>
      <c r="AI103" s="56"/>
      <c r="AJ103" s="56"/>
      <c r="AK103" s="56"/>
      <c r="AL103" s="3" t="s">
        <v>1582</v>
      </c>
    </row>
    <row r="104" spans="2:38" ht="27">
      <c r="B104" s="144">
        <f t="shared" si="1"/>
        <v>101</v>
      </c>
      <c r="C104" s="148" t="s">
        <v>3731</v>
      </c>
      <c r="D104" s="148"/>
      <c r="E104" s="148"/>
      <c r="F104" s="148"/>
      <c r="G104" s="148"/>
      <c r="H104" s="148"/>
      <c r="I104" s="148"/>
      <c r="J104" s="148"/>
      <c r="K104" s="165" t="s">
        <v>3679</v>
      </c>
      <c r="L104" s="65" t="s">
        <v>3650</v>
      </c>
      <c r="M104" s="65"/>
      <c r="N104" s="65"/>
      <c r="O104" s="65" t="s">
        <v>2881</v>
      </c>
      <c r="P104" s="65" t="s">
        <v>2881</v>
      </c>
      <c r="Q104" s="54" t="s">
        <v>1637</v>
      </c>
      <c r="R104" s="41" t="s">
        <v>2886</v>
      </c>
      <c r="S104" s="41"/>
      <c r="T104" s="41" t="s">
        <v>1637</v>
      </c>
      <c r="U104" s="41" t="s">
        <v>2887</v>
      </c>
      <c r="V104" s="41" t="s">
        <v>139</v>
      </c>
      <c r="W104" s="41" t="s">
        <v>139</v>
      </c>
      <c r="X104" s="41" t="s">
        <v>139</v>
      </c>
      <c r="Y104" s="41" t="s">
        <v>139</v>
      </c>
      <c r="Z104" s="73" t="s">
        <v>235</v>
      </c>
      <c r="AA104" s="54" t="s">
        <v>139</v>
      </c>
      <c r="AB104" s="54" t="s">
        <v>139</v>
      </c>
      <c r="AC104" s="54" t="s">
        <v>139</v>
      </c>
      <c r="AD104" s="54" t="s">
        <v>139</v>
      </c>
      <c r="AE104" s="55"/>
      <c r="AF104" s="56"/>
      <c r="AG104" s="56"/>
      <c r="AH104" s="57"/>
      <c r="AI104" s="56"/>
      <c r="AJ104" s="56"/>
      <c r="AK104" s="56"/>
      <c r="AL104" s="3" t="s">
        <v>1582</v>
      </c>
    </row>
    <row r="105" spans="2:38" ht="40.5" hidden="1">
      <c r="B105" s="144">
        <f t="shared" si="1"/>
        <v>102</v>
      </c>
      <c r="C105" s="148" t="s">
        <v>3732</v>
      </c>
      <c r="D105" s="148"/>
      <c r="E105" s="148"/>
      <c r="F105" s="148"/>
      <c r="G105" s="148"/>
      <c r="H105" s="148"/>
      <c r="I105" s="148"/>
      <c r="J105" s="148"/>
      <c r="K105" s="165" t="s">
        <v>3679</v>
      </c>
      <c r="L105" s="65" t="s">
        <v>3650</v>
      </c>
      <c r="M105" s="65"/>
      <c r="N105" s="65"/>
      <c r="O105" s="65" t="s">
        <v>2417</v>
      </c>
      <c r="P105" s="65" t="s">
        <v>2417</v>
      </c>
      <c r="Q105" s="54" t="s">
        <v>1637</v>
      </c>
      <c r="R105" s="41" t="s">
        <v>3015</v>
      </c>
      <c r="S105" s="41" t="s">
        <v>2641</v>
      </c>
      <c r="T105" s="41" t="s">
        <v>1637</v>
      </c>
      <c r="U105" s="41" t="s">
        <v>139</v>
      </c>
      <c r="V105" s="41" t="s">
        <v>139</v>
      </c>
      <c r="W105" s="41" t="s">
        <v>139</v>
      </c>
      <c r="X105" s="41" t="s">
        <v>2670</v>
      </c>
      <c r="Y105" s="41" t="s">
        <v>139</v>
      </c>
      <c r="Z105" s="73" t="s">
        <v>139</v>
      </c>
      <c r="AA105" s="54" t="s">
        <v>139</v>
      </c>
      <c r="AB105" s="54" t="s">
        <v>139</v>
      </c>
      <c r="AC105" s="54" t="s">
        <v>2667</v>
      </c>
      <c r="AD105" s="54" t="s">
        <v>139</v>
      </c>
      <c r="AE105" s="55"/>
      <c r="AF105" s="56"/>
      <c r="AG105" s="56"/>
      <c r="AH105" s="57"/>
      <c r="AI105" s="56"/>
      <c r="AJ105" s="56"/>
      <c r="AK105" s="56"/>
      <c r="AL105" s="3" t="s">
        <v>1582</v>
      </c>
    </row>
    <row r="106" spans="2:38" ht="40.5">
      <c r="B106" s="144">
        <f t="shared" si="1"/>
        <v>103</v>
      </c>
      <c r="C106" s="148" t="s">
        <v>3731</v>
      </c>
      <c r="D106" s="148"/>
      <c r="E106" s="148"/>
      <c r="F106" s="148"/>
      <c r="G106" s="148"/>
      <c r="H106" s="148"/>
      <c r="I106" s="148"/>
      <c r="J106" s="148"/>
      <c r="K106" s="165" t="s">
        <v>3679</v>
      </c>
      <c r="L106" s="65" t="s">
        <v>3650</v>
      </c>
      <c r="M106" s="65"/>
      <c r="N106" s="65"/>
      <c r="O106" s="65" t="s">
        <v>3521</v>
      </c>
      <c r="P106" s="65" t="s">
        <v>2267</v>
      </c>
      <c r="Q106" s="54" t="s">
        <v>139</v>
      </c>
      <c r="R106" s="41" t="s">
        <v>2269</v>
      </c>
      <c r="S106" s="41" t="s">
        <v>2270</v>
      </c>
      <c r="T106" s="41" t="s">
        <v>2137</v>
      </c>
      <c r="U106" s="41" t="s">
        <v>139</v>
      </c>
      <c r="V106" s="41" t="s">
        <v>139</v>
      </c>
      <c r="W106" s="41" t="s">
        <v>139</v>
      </c>
      <c r="X106" s="41" t="s">
        <v>2272</v>
      </c>
      <c r="Y106" s="41" t="s">
        <v>139</v>
      </c>
      <c r="Z106" s="73" t="s">
        <v>139</v>
      </c>
      <c r="AA106" s="54" t="s">
        <v>139</v>
      </c>
      <c r="AB106" s="54" t="s">
        <v>139</v>
      </c>
      <c r="AC106" s="54" t="s">
        <v>2289</v>
      </c>
      <c r="AD106" s="54" t="s">
        <v>139</v>
      </c>
      <c r="AE106" s="55"/>
      <c r="AF106" s="56"/>
      <c r="AG106" s="56"/>
      <c r="AH106" s="57"/>
      <c r="AI106" s="56"/>
      <c r="AJ106" s="56"/>
      <c r="AK106" s="56"/>
      <c r="AL106" s="3" t="s">
        <v>1582</v>
      </c>
    </row>
    <row r="107" spans="2:38" ht="67.5">
      <c r="B107" s="144">
        <f t="shared" si="1"/>
        <v>104</v>
      </c>
      <c r="C107" s="148" t="s">
        <v>3731</v>
      </c>
      <c r="D107" s="148"/>
      <c r="E107" s="148"/>
      <c r="F107" s="148"/>
      <c r="G107" s="148"/>
      <c r="H107" s="148"/>
      <c r="I107" s="148"/>
      <c r="J107" s="148"/>
      <c r="K107" s="165" t="s">
        <v>3679</v>
      </c>
      <c r="L107" s="65" t="s">
        <v>3650</v>
      </c>
      <c r="M107" s="65"/>
      <c r="N107" s="65"/>
      <c r="O107" s="65" t="s">
        <v>2520</v>
      </c>
      <c r="P107" s="65" t="s">
        <v>2520</v>
      </c>
      <c r="Q107" s="54" t="s">
        <v>1637</v>
      </c>
      <c r="R107" s="41" t="s">
        <v>3017</v>
      </c>
      <c r="S107" s="41" t="s">
        <v>2642</v>
      </c>
      <c r="T107" s="41" t="s">
        <v>1637</v>
      </c>
      <c r="U107" s="41" t="s">
        <v>139</v>
      </c>
      <c r="V107" s="41" t="s">
        <v>139</v>
      </c>
      <c r="W107" s="41" t="s">
        <v>139</v>
      </c>
      <c r="X107" s="41" t="s">
        <v>2670</v>
      </c>
      <c r="Y107" s="41" t="s">
        <v>139</v>
      </c>
      <c r="Z107" s="73" t="s">
        <v>139</v>
      </c>
      <c r="AA107" s="54" t="s">
        <v>139</v>
      </c>
      <c r="AB107" s="54" t="s">
        <v>139</v>
      </c>
      <c r="AC107" s="54" t="s">
        <v>2667</v>
      </c>
      <c r="AD107" s="54" t="s">
        <v>139</v>
      </c>
      <c r="AE107" s="55"/>
      <c r="AF107" s="56"/>
      <c r="AG107" s="56"/>
      <c r="AH107" s="57"/>
      <c r="AI107" s="56"/>
      <c r="AJ107" s="56"/>
      <c r="AK107" s="56"/>
      <c r="AL107" s="3" t="s">
        <v>1582</v>
      </c>
    </row>
    <row r="108" spans="2:38">
      <c r="B108" s="144">
        <f t="shared" si="1"/>
        <v>105</v>
      </c>
      <c r="C108" s="148" t="s">
        <v>3731</v>
      </c>
      <c r="D108" s="148"/>
      <c r="E108" s="148"/>
      <c r="F108" s="148"/>
      <c r="G108" s="148"/>
      <c r="H108" s="148"/>
      <c r="I108" s="148"/>
      <c r="J108" s="148"/>
      <c r="K108" s="165" t="s">
        <v>3679</v>
      </c>
      <c r="L108" s="65" t="s">
        <v>3650</v>
      </c>
      <c r="M108" s="65"/>
      <c r="N108" s="65"/>
      <c r="O108" s="65" t="s">
        <v>448</v>
      </c>
      <c r="P108" s="65" t="s">
        <v>448</v>
      </c>
      <c r="Q108" s="54" t="s">
        <v>139</v>
      </c>
      <c r="R108" s="41" t="s">
        <v>449</v>
      </c>
      <c r="S108" s="41"/>
      <c r="T108" s="41" t="s">
        <v>139</v>
      </c>
      <c r="U108" s="41" t="s">
        <v>183</v>
      </c>
      <c r="V108" s="41" t="s">
        <v>139</v>
      </c>
      <c r="W108" s="41" t="s">
        <v>139</v>
      </c>
      <c r="X108" s="41" t="s">
        <v>139</v>
      </c>
      <c r="Y108" s="41" t="s">
        <v>139</v>
      </c>
      <c r="Z108" s="73" t="s">
        <v>114</v>
      </c>
      <c r="AA108" s="54" t="s">
        <v>139</v>
      </c>
      <c r="AB108" s="54" t="s">
        <v>139</v>
      </c>
      <c r="AC108" s="54" t="s">
        <v>139</v>
      </c>
      <c r="AD108" s="54" t="s">
        <v>139</v>
      </c>
      <c r="AE108" s="55"/>
      <c r="AF108" s="56"/>
      <c r="AG108" s="56"/>
      <c r="AH108" s="57"/>
      <c r="AI108" s="56"/>
      <c r="AJ108" s="56"/>
      <c r="AK108" s="56"/>
      <c r="AL108" s="3" t="s">
        <v>1582</v>
      </c>
    </row>
    <row r="109" spans="2:38" ht="40.5" hidden="1">
      <c r="B109" s="144">
        <f t="shared" si="1"/>
        <v>106</v>
      </c>
      <c r="C109" s="148" t="s">
        <v>3732</v>
      </c>
      <c r="D109" s="148"/>
      <c r="E109" s="148"/>
      <c r="F109" s="148"/>
      <c r="G109" s="148"/>
      <c r="H109" s="148"/>
      <c r="I109" s="148"/>
      <c r="J109" s="148"/>
      <c r="K109" s="165" t="s">
        <v>3679</v>
      </c>
      <c r="L109" s="65" t="s">
        <v>3650</v>
      </c>
      <c r="M109" s="65"/>
      <c r="N109" s="165"/>
      <c r="O109" s="165" t="s">
        <v>3522</v>
      </c>
      <c r="P109" s="165" t="s">
        <v>3039</v>
      </c>
      <c r="Q109" s="126" t="s">
        <v>1352</v>
      </c>
      <c r="R109" s="40" t="s">
        <v>1353</v>
      </c>
      <c r="S109" s="40"/>
      <c r="T109" s="40" t="s">
        <v>139</v>
      </c>
      <c r="U109" s="41" t="s">
        <v>1354</v>
      </c>
      <c r="V109" s="41" t="s">
        <v>139</v>
      </c>
      <c r="W109" s="41" t="s">
        <v>139</v>
      </c>
      <c r="X109" s="41" t="s">
        <v>139</v>
      </c>
      <c r="Y109" s="41" t="s">
        <v>139</v>
      </c>
      <c r="Z109" s="74" t="s">
        <v>438</v>
      </c>
      <c r="AA109" s="41" t="s">
        <v>139</v>
      </c>
      <c r="AB109" s="41" t="s">
        <v>139</v>
      </c>
      <c r="AC109" s="41" t="s">
        <v>139</v>
      </c>
      <c r="AD109" s="41" t="s">
        <v>139</v>
      </c>
      <c r="AE109" s="44"/>
      <c r="AF109" s="45"/>
      <c r="AG109" s="45"/>
      <c r="AH109" s="46"/>
      <c r="AI109" s="45"/>
      <c r="AJ109" s="45"/>
      <c r="AK109" s="45"/>
      <c r="AL109" s="3" t="s">
        <v>1582</v>
      </c>
    </row>
    <row r="110" spans="2:38" ht="40.5" hidden="1">
      <c r="B110" s="144">
        <f t="shared" si="1"/>
        <v>107</v>
      </c>
      <c r="C110" s="148" t="s">
        <v>3732</v>
      </c>
      <c r="D110" s="148"/>
      <c r="E110" s="148"/>
      <c r="F110" s="148"/>
      <c r="G110" s="148"/>
      <c r="H110" s="148"/>
      <c r="I110" s="148"/>
      <c r="J110" s="148"/>
      <c r="K110" s="165" t="s">
        <v>3679</v>
      </c>
      <c r="L110" s="65" t="s">
        <v>3650</v>
      </c>
      <c r="M110" s="65"/>
      <c r="N110" s="165"/>
      <c r="O110" s="165" t="s">
        <v>1218</v>
      </c>
      <c r="P110" s="165" t="s">
        <v>1218</v>
      </c>
      <c r="Q110" s="126" t="s">
        <v>1219</v>
      </c>
      <c r="R110" s="40" t="s">
        <v>1220</v>
      </c>
      <c r="S110" s="40"/>
      <c r="T110" s="40" t="s">
        <v>192</v>
      </c>
      <c r="U110" s="41" t="s">
        <v>1221</v>
      </c>
      <c r="V110" s="41" t="s">
        <v>139</v>
      </c>
      <c r="W110" s="41" t="s">
        <v>139</v>
      </c>
      <c r="X110" s="41" t="s">
        <v>139</v>
      </c>
      <c r="Y110" s="41" t="s">
        <v>139</v>
      </c>
      <c r="Z110" s="74" t="s">
        <v>163</v>
      </c>
      <c r="AA110" s="41" t="s">
        <v>139</v>
      </c>
      <c r="AB110" s="41" t="s">
        <v>139</v>
      </c>
      <c r="AC110" s="41" t="s">
        <v>139</v>
      </c>
      <c r="AD110" s="41" t="s">
        <v>139</v>
      </c>
      <c r="AE110" s="44"/>
      <c r="AF110" s="45"/>
      <c r="AG110" s="45"/>
      <c r="AH110" s="46"/>
      <c r="AI110" s="45"/>
      <c r="AJ110" s="45"/>
      <c r="AK110" s="45"/>
      <c r="AL110" s="3" t="s">
        <v>1582</v>
      </c>
    </row>
    <row r="111" spans="2:38" ht="27">
      <c r="B111" s="144">
        <f t="shared" si="1"/>
        <v>108</v>
      </c>
      <c r="C111" s="148" t="s">
        <v>3731</v>
      </c>
      <c r="D111" s="148"/>
      <c r="E111" s="148"/>
      <c r="F111" s="148"/>
      <c r="G111" s="148"/>
      <c r="H111" s="148"/>
      <c r="I111" s="148"/>
      <c r="J111" s="148"/>
      <c r="K111" s="165" t="s">
        <v>3679</v>
      </c>
      <c r="L111" s="65" t="s">
        <v>3650</v>
      </c>
      <c r="M111" s="65"/>
      <c r="N111" s="165"/>
      <c r="O111" s="165" t="s">
        <v>1212</v>
      </c>
      <c r="P111" s="165" t="s">
        <v>1212</v>
      </c>
      <c r="Q111" s="126" t="s">
        <v>1637</v>
      </c>
      <c r="R111" s="40" t="s">
        <v>1213</v>
      </c>
      <c r="S111" s="40"/>
      <c r="T111" s="40" t="s">
        <v>139</v>
      </c>
      <c r="U111" s="41" t="s">
        <v>1211</v>
      </c>
      <c r="V111" s="41" t="s">
        <v>139</v>
      </c>
      <c r="W111" s="41" t="s">
        <v>139</v>
      </c>
      <c r="X111" s="41" t="s">
        <v>139</v>
      </c>
      <c r="Y111" s="41" t="s">
        <v>139</v>
      </c>
      <c r="Z111" s="74" t="s">
        <v>163</v>
      </c>
      <c r="AA111" s="41" t="s">
        <v>139</v>
      </c>
      <c r="AB111" s="41" t="s">
        <v>139</v>
      </c>
      <c r="AC111" s="41" t="s">
        <v>139</v>
      </c>
      <c r="AD111" s="41" t="s">
        <v>139</v>
      </c>
      <c r="AE111" s="44"/>
      <c r="AF111" s="45"/>
      <c r="AG111" s="45"/>
      <c r="AH111" s="46"/>
      <c r="AI111" s="45"/>
      <c r="AJ111" s="45"/>
      <c r="AK111" s="45"/>
      <c r="AL111" s="3" t="s">
        <v>1582</v>
      </c>
    </row>
    <row r="112" spans="2:38" ht="40.5">
      <c r="B112" s="144">
        <f t="shared" si="1"/>
        <v>109</v>
      </c>
      <c r="C112" s="148" t="s">
        <v>3731</v>
      </c>
      <c r="D112" s="148"/>
      <c r="E112" s="148"/>
      <c r="F112" s="148"/>
      <c r="G112" s="148"/>
      <c r="H112" s="148"/>
      <c r="I112" s="148"/>
      <c r="J112" s="148"/>
      <c r="K112" s="165" t="s">
        <v>3679</v>
      </c>
      <c r="L112" s="65" t="s">
        <v>3650</v>
      </c>
      <c r="M112" s="65"/>
      <c r="N112" s="65"/>
      <c r="O112" s="65" t="s">
        <v>2521</v>
      </c>
      <c r="P112" s="65" t="s">
        <v>2521</v>
      </c>
      <c r="Q112" s="54" t="s">
        <v>1637</v>
      </c>
      <c r="R112" s="41" t="s">
        <v>3018</v>
      </c>
      <c r="S112" s="41" t="s">
        <v>2643</v>
      </c>
      <c r="T112" s="41" t="s">
        <v>1637</v>
      </c>
      <c r="U112" s="41" t="s">
        <v>139</v>
      </c>
      <c r="V112" s="41" t="s">
        <v>139</v>
      </c>
      <c r="W112" s="41" t="s">
        <v>139</v>
      </c>
      <c r="X112" s="41" t="s">
        <v>2670</v>
      </c>
      <c r="Y112" s="41" t="s">
        <v>139</v>
      </c>
      <c r="Z112" s="73" t="s">
        <v>139</v>
      </c>
      <c r="AA112" s="54" t="s">
        <v>139</v>
      </c>
      <c r="AB112" s="54" t="s">
        <v>139</v>
      </c>
      <c r="AC112" s="54" t="s">
        <v>2667</v>
      </c>
      <c r="AD112" s="54" t="s">
        <v>139</v>
      </c>
      <c r="AE112" s="55"/>
      <c r="AF112" s="56"/>
      <c r="AG112" s="56"/>
      <c r="AH112" s="57"/>
      <c r="AI112" s="56"/>
      <c r="AJ112" s="56"/>
      <c r="AK112" s="56"/>
      <c r="AL112" s="3" t="s">
        <v>1582</v>
      </c>
    </row>
    <row r="113" spans="2:38" ht="40.5" hidden="1">
      <c r="B113" s="144">
        <f t="shared" si="1"/>
        <v>110</v>
      </c>
      <c r="C113" s="148" t="s">
        <v>3732</v>
      </c>
      <c r="D113" s="148"/>
      <c r="E113" s="148"/>
      <c r="F113" s="148"/>
      <c r="G113" s="148"/>
      <c r="H113" s="148"/>
      <c r="I113" s="148"/>
      <c r="J113" s="148"/>
      <c r="K113" s="165" t="s">
        <v>3679</v>
      </c>
      <c r="L113" s="65" t="s">
        <v>3650</v>
      </c>
      <c r="M113" s="65"/>
      <c r="N113" s="165"/>
      <c r="O113" s="165" t="s">
        <v>1311</v>
      </c>
      <c r="P113" s="165" t="s">
        <v>1311</v>
      </c>
      <c r="Q113" s="126" t="s">
        <v>1312</v>
      </c>
      <c r="R113" s="40" t="s">
        <v>1313</v>
      </c>
      <c r="S113" s="40"/>
      <c r="T113" s="40" t="s">
        <v>192</v>
      </c>
      <c r="U113" s="41" t="s">
        <v>1314</v>
      </c>
      <c r="V113" s="41" t="s">
        <v>139</v>
      </c>
      <c r="W113" s="41" t="s">
        <v>139</v>
      </c>
      <c r="X113" s="41" t="s">
        <v>139</v>
      </c>
      <c r="Y113" s="41" t="s">
        <v>139</v>
      </c>
      <c r="Z113" s="74" t="s">
        <v>1277</v>
      </c>
      <c r="AA113" s="41" t="s">
        <v>139</v>
      </c>
      <c r="AB113" s="41" t="s">
        <v>139</v>
      </c>
      <c r="AC113" s="41" t="s">
        <v>139</v>
      </c>
      <c r="AD113" s="41" t="s">
        <v>139</v>
      </c>
      <c r="AE113" s="44"/>
      <c r="AF113" s="45"/>
      <c r="AG113" s="45"/>
      <c r="AH113" s="46"/>
      <c r="AI113" s="45"/>
      <c r="AJ113" s="45"/>
      <c r="AK113" s="45"/>
      <c r="AL113" s="3" t="s">
        <v>1582</v>
      </c>
    </row>
    <row r="114" spans="2:38" ht="40.5">
      <c r="B114" s="144">
        <f t="shared" si="1"/>
        <v>111</v>
      </c>
      <c r="C114" s="148" t="s">
        <v>3731</v>
      </c>
      <c r="D114" s="148"/>
      <c r="E114" s="148"/>
      <c r="F114" s="148"/>
      <c r="G114" s="148"/>
      <c r="H114" s="148"/>
      <c r="I114" s="148"/>
      <c r="J114" s="148"/>
      <c r="K114" s="165" t="s">
        <v>3679</v>
      </c>
      <c r="L114" s="65" t="s">
        <v>3650</v>
      </c>
      <c r="M114" s="65"/>
      <c r="N114" s="65"/>
      <c r="O114" s="65" t="s">
        <v>2422</v>
      </c>
      <c r="P114" s="65" t="s">
        <v>2422</v>
      </c>
      <c r="Q114" s="54" t="s">
        <v>1637</v>
      </c>
      <c r="R114" s="41" t="s">
        <v>3019</v>
      </c>
      <c r="S114" s="41" t="s">
        <v>2644</v>
      </c>
      <c r="T114" s="41" t="s">
        <v>1637</v>
      </c>
      <c r="U114" s="41" t="s">
        <v>139</v>
      </c>
      <c r="V114" s="41" t="s">
        <v>139</v>
      </c>
      <c r="W114" s="41" t="s">
        <v>139</v>
      </c>
      <c r="X114" s="41" t="s">
        <v>2670</v>
      </c>
      <c r="Y114" s="41" t="s">
        <v>139</v>
      </c>
      <c r="Z114" s="73" t="s">
        <v>139</v>
      </c>
      <c r="AA114" s="54" t="s">
        <v>139</v>
      </c>
      <c r="AB114" s="54" t="s">
        <v>139</v>
      </c>
      <c r="AC114" s="54" t="s">
        <v>2667</v>
      </c>
      <c r="AD114" s="54" t="s">
        <v>139</v>
      </c>
      <c r="AE114" s="55"/>
      <c r="AF114" s="56"/>
      <c r="AG114" s="56"/>
      <c r="AH114" s="57"/>
      <c r="AI114" s="56"/>
      <c r="AJ114" s="56"/>
      <c r="AK114" s="56"/>
      <c r="AL114" s="3" t="s">
        <v>1582</v>
      </c>
    </row>
    <row r="115" spans="2:38" ht="40.5">
      <c r="B115" s="144">
        <f t="shared" si="1"/>
        <v>112</v>
      </c>
      <c r="C115" s="148" t="s">
        <v>3731</v>
      </c>
      <c r="D115" s="148"/>
      <c r="E115" s="148"/>
      <c r="F115" s="148"/>
      <c r="G115" s="148"/>
      <c r="H115" s="148"/>
      <c r="I115" s="148"/>
      <c r="J115" s="148"/>
      <c r="K115" s="165" t="s">
        <v>3679</v>
      </c>
      <c r="L115" s="65" t="s">
        <v>3650</v>
      </c>
      <c r="M115" s="65"/>
      <c r="N115" s="65"/>
      <c r="O115" s="65" t="s">
        <v>2522</v>
      </c>
      <c r="P115" s="65" t="s">
        <v>2522</v>
      </c>
      <c r="Q115" s="54" t="s">
        <v>1637</v>
      </c>
      <c r="R115" s="41" t="s">
        <v>3020</v>
      </c>
      <c r="S115" s="41" t="s">
        <v>2645</v>
      </c>
      <c r="T115" s="41" t="s">
        <v>1637</v>
      </c>
      <c r="U115" s="41" t="s">
        <v>139</v>
      </c>
      <c r="V115" s="41" t="s">
        <v>139</v>
      </c>
      <c r="W115" s="41" t="s">
        <v>139</v>
      </c>
      <c r="X115" s="41" t="s">
        <v>2670</v>
      </c>
      <c r="Y115" s="41" t="s">
        <v>139</v>
      </c>
      <c r="Z115" s="73" t="s">
        <v>139</v>
      </c>
      <c r="AA115" s="54" t="s">
        <v>139</v>
      </c>
      <c r="AB115" s="54" t="s">
        <v>139</v>
      </c>
      <c r="AC115" s="54" t="s">
        <v>2667</v>
      </c>
      <c r="AD115" s="54" t="s">
        <v>139</v>
      </c>
      <c r="AE115" s="55"/>
      <c r="AF115" s="56"/>
      <c r="AG115" s="56"/>
      <c r="AH115" s="57"/>
      <c r="AI115" s="56"/>
      <c r="AJ115" s="56"/>
      <c r="AK115" s="56"/>
      <c r="AL115" s="3" t="s">
        <v>1582</v>
      </c>
    </row>
    <row r="116" spans="2:38" ht="27">
      <c r="B116" s="144">
        <f t="shared" si="1"/>
        <v>113</v>
      </c>
      <c r="C116" s="148" t="s">
        <v>3731</v>
      </c>
      <c r="D116" s="148"/>
      <c r="E116" s="148"/>
      <c r="F116" s="148"/>
      <c r="G116" s="148"/>
      <c r="H116" s="148"/>
      <c r="I116" s="148"/>
      <c r="J116" s="148"/>
      <c r="K116" s="165" t="s">
        <v>3679</v>
      </c>
      <c r="L116" s="65" t="s">
        <v>3650</v>
      </c>
      <c r="M116" s="65"/>
      <c r="N116" s="65"/>
      <c r="O116" s="65" t="s">
        <v>2878</v>
      </c>
      <c r="P116" s="65" t="s">
        <v>2878</v>
      </c>
      <c r="Q116" s="54" t="s">
        <v>1637</v>
      </c>
      <c r="R116" s="41" t="s">
        <v>2883</v>
      </c>
      <c r="S116" s="41"/>
      <c r="T116" s="41" t="s">
        <v>1637</v>
      </c>
      <c r="U116" s="41" t="s">
        <v>2887</v>
      </c>
      <c r="V116" s="41" t="s">
        <v>139</v>
      </c>
      <c r="W116" s="41" t="s">
        <v>139</v>
      </c>
      <c r="X116" s="41" t="s">
        <v>139</v>
      </c>
      <c r="Y116" s="41" t="s">
        <v>139</v>
      </c>
      <c r="Z116" s="73" t="s">
        <v>235</v>
      </c>
      <c r="AA116" s="54" t="s">
        <v>139</v>
      </c>
      <c r="AB116" s="54" t="s">
        <v>139</v>
      </c>
      <c r="AC116" s="54" t="s">
        <v>139</v>
      </c>
      <c r="AD116" s="54" t="s">
        <v>139</v>
      </c>
      <c r="AE116" s="55"/>
      <c r="AF116" s="56"/>
      <c r="AG116" s="56"/>
      <c r="AH116" s="57"/>
      <c r="AI116" s="56"/>
      <c r="AJ116" s="56"/>
      <c r="AK116" s="56"/>
      <c r="AL116" s="3" t="s">
        <v>1582</v>
      </c>
    </row>
    <row r="117" spans="2:38" ht="27">
      <c r="B117" s="144">
        <f t="shared" si="1"/>
        <v>114</v>
      </c>
      <c r="C117" s="148" t="s">
        <v>3731</v>
      </c>
      <c r="D117" s="148"/>
      <c r="E117" s="148"/>
      <c r="F117" s="148"/>
      <c r="G117" s="148"/>
      <c r="H117" s="148"/>
      <c r="I117" s="148"/>
      <c r="J117" s="148"/>
      <c r="K117" s="165" t="s">
        <v>3679</v>
      </c>
      <c r="L117" s="65" t="s">
        <v>3650</v>
      </c>
      <c r="M117" s="65"/>
      <c r="N117" s="165"/>
      <c r="O117" s="165" t="s">
        <v>3523</v>
      </c>
      <c r="P117" s="165" t="s">
        <v>3042</v>
      </c>
      <c r="Q117" s="54" t="s">
        <v>139</v>
      </c>
      <c r="R117" s="40" t="s">
        <v>3043</v>
      </c>
      <c r="S117" s="40"/>
      <c r="T117" s="40" t="s">
        <v>139</v>
      </c>
      <c r="U117" s="41" t="s">
        <v>1167</v>
      </c>
      <c r="V117" s="41" t="s">
        <v>1168</v>
      </c>
      <c r="W117" s="41" t="s">
        <v>139</v>
      </c>
      <c r="X117" s="41" t="s">
        <v>139</v>
      </c>
      <c r="Y117" s="41" t="s">
        <v>1891</v>
      </c>
      <c r="Z117" s="74" t="s">
        <v>163</v>
      </c>
      <c r="AA117" s="41" t="s">
        <v>758</v>
      </c>
      <c r="AB117" s="41" t="s">
        <v>139</v>
      </c>
      <c r="AC117" s="41" t="s">
        <v>139</v>
      </c>
      <c r="AD117" s="41" t="s">
        <v>614</v>
      </c>
      <c r="AE117" s="44"/>
      <c r="AF117" s="45"/>
      <c r="AG117" s="45"/>
      <c r="AH117" s="46"/>
      <c r="AI117" s="45"/>
      <c r="AJ117" s="45"/>
      <c r="AK117" s="45"/>
      <c r="AL117" s="3" t="s">
        <v>1582</v>
      </c>
    </row>
    <row r="118" spans="2:38" ht="27">
      <c r="B118" s="144">
        <f t="shared" si="1"/>
        <v>115</v>
      </c>
      <c r="C118" s="148" t="s">
        <v>3731</v>
      </c>
      <c r="D118" s="148"/>
      <c r="E118" s="148"/>
      <c r="F118" s="148"/>
      <c r="G118" s="148"/>
      <c r="H118" s="148"/>
      <c r="I118" s="148"/>
      <c r="J118" s="148"/>
      <c r="K118" s="165" t="s">
        <v>3679</v>
      </c>
      <c r="L118" s="65" t="s">
        <v>3650</v>
      </c>
      <c r="M118" s="65"/>
      <c r="N118" s="165"/>
      <c r="O118" s="165" t="s">
        <v>3524</v>
      </c>
      <c r="P118" s="165" t="s">
        <v>3041</v>
      </c>
      <c r="Q118" s="126" t="s">
        <v>1637</v>
      </c>
      <c r="R118" s="40" t="s">
        <v>3044</v>
      </c>
      <c r="S118" s="40"/>
      <c r="T118" s="40" t="s">
        <v>139</v>
      </c>
      <c r="U118" s="41" t="s">
        <v>1167</v>
      </c>
      <c r="V118" s="41" t="s">
        <v>1168</v>
      </c>
      <c r="W118" s="41" t="s">
        <v>139</v>
      </c>
      <c r="X118" s="41" t="s">
        <v>139</v>
      </c>
      <c r="Y118" s="41" t="s">
        <v>1891</v>
      </c>
      <c r="Z118" s="74" t="s">
        <v>163</v>
      </c>
      <c r="AA118" s="41" t="s">
        <v>758</v>
      </c>
      <c r="AB118" s="41" t="s">
        <v>139</v>
      </c>
      <c r="AC118" s="41" t="s">
        <v>139</v>
      </c>
      <c r="AD118" s="41" t="s">
        <v>614</v>
      </c>
      <c r="AE118" s="44"/>
      <c r="AF118" s="45"/>
      <c r="AG118" s="45"/>
      <c r="AH118" s="46"/>
      <c r="AI118" s="45"/>
      <c r="AJ118" s="45"/>
      <c r="AK118" s="45"/>
      <c r="AL118" s="3" t="s">
        <v>1582</v>
      </c>
    </row>
    <row r="119" spans="2:38" ht="40.5" hidden="1">
      <c r="B119" s="144">
        <f t="shared" si="1"/>
        <v>116</v>
      </c>
      <c r="C119" s="148" t="s">
        <v>3732</v>
      </c>
      <c r="D119" s="148"/>
      <c r="E119" s="148"/>
      <c r="F119" s="148"/>
      <c r="G119" s="148"/>
      <c r="H119" s="148"/>
      <c r="I119" s="148"/>
      <c r="J119" s="148"/>
      <c r="K119" s="165" t="s">
        <v>3679</v>
      </c>
      <c r="L119" s="65" t="s">
        <v>3650</v>
      </c>
      <c r="M119" s="65"/>
      <c r="N119" s="65"/>
      <c r="O119" s="65" t="s">
        <v>2419</v>
      </c>
      <c r="P119" s="65" t="s">
        <v>2419</v>
      </c>
      <c r="Q119" s="54" t="s">
        <v>1637</v>
      </c>
      <c r="R119" s="41" t="s">
        <v>3021</v>
      </c>
      <c r="S119" s="41" t="s">
        <v>2646</v>
      </c>
      <c r="T119" s="41" t="s">
        <v>1637</v>
      </c>
      <c r="U119" s="41" t="s">
        <v>139</v>
      </c>
      <c r="V119" s="41" t="s">
        <v>139</v>
      </c>
      <c r="W119" s="41" t="s">
        <v>139</v>
      </c>
      <c r="X119" s="41" t="s">
        <v>2670</v>
      </c>
      <c r="Y119" s="41" t="s">
        <v>139</v>
      </c>
      <c r="Z119" s="73" t="s">
        <v>139</v>
      </c>
      <c r="AA119" s="54" t="s">
        <v>139</v>
      </c>
      <c r="AB119" s="54" t="s">
        <v>139</v>
      </c>
      <c r="AC119" s="54" t="s">
        <v>2667</v>
      </c>
      <c r="AD119" s="54" t="s">
        <v>139</v>
      </c>
      <c r="AE119" s="55"/>
      <c r="AF119" s="56"/>
      <c r="AG119" s="56"/>
      <c r="AH119" s="57"/>
      <c r="AI119" s="56"/>
      <c r="AJ119" s="56"/>
      <c r="AK119" s="56"/>
      <c r="AL119" s="3" t="s">
        <v>1582</v>
      </c>
    </row>
    <row r="120" spans="2:38" ht="40.5">
      <c r="B120" s="144">
        <f t="shared" si="1"/>
        <v>117</v>
      </c>
      <c r="C120" s="148" t="s">
        <v>3731</v>
      </c>
      <c r="D120" s="148"/>
      <c r="E120" s="148"/>
      <c r="F120" s="148"/>
      <c r="G120" s="148"/>
      <c r="H120" s="148"/>
      <c r="I120" s="148"/>
      <c r="J120" s="148"/>
      <c r="K120" s="165" t="s">
        <v>3679</v>
      </c>
      <c r="L120" s="65" t="s">
        <v>3650</v>
      </c>
      <c r="M120" s="65"/>
      <c r="N120" s="65"/>
      <c r="O120" s="65" t="s">
        <v>2420</v>
      </c>
      <c r="P120" s="65" t="s">
        <v>2420</v>
      </c>
      <c r="Q120" s="54" t="s">
        <v>1637</v>
      </c>
      <c r="R120" s="41" t="s">
        <v>3022</v>
      </c>
      <c r="S120" s="41" t="s">
        <v>2647</v>
      </c>
      <c r="T120" s="41" t="s">
        <v>1637</v>
      </c>
      <c r="U120" s="41" t="s">
        <v>139</v>
      </c>
      <c r="V120" s="41" t="s">
        <v>139</v>
      </c>
      <c r="W120" s="41" t="s">
        <v>139</v>
      </c>
      <c r="X120" s="41" t="s">
        <v>2670</v>
      </c>
      <c r="Y120" s="41" t="s">
        <v>139</v>
      </c>
      <c r="Z120" s="73" t="s">
        <v>139</v>
      </c>
      <c r="AA120" s="54" t="s">
        <v>139</v>
      </c>
      <c r="AB120" s="54" t="s">
        <v>139</v>
      </c>
      <c r="AC120" s="54" t="s">
        <v>2667</v>
      </c>
      <c r="AD120" s="54" t="s">
        <v>139</v>
      </c>
      <c r="AE120" s="55"/>
      <c r="AF120" s="56"/>
      <c r="AG120" s="56"/>
      <c r="AH120" s="57"/>
      <c r="AI120" s="56"/>
      <c r="AJ120" s="56"/>
      <c r="AK120" s="56"/>
      <c r="AL120" s="3" t="s">
        <v>1582</v>
      </c>
    </row>
    <row r="121" spans="2:38" ht="40.5">
      <c r="B121" s="144">
        <f t="shared" si="1"/>
        <v>118</v>
      </c>
      <c r="C121" s="148" t="s">
        <v>3731</v>
      </c>
      <c r="D121" s="148"/>
      <c r="E121" s="148"/>
      <c r="F121" s="148"/>
      <c r="G121" s="148"/>
      <c r="H121" s="148"/>
      <c r="I121" s="148"/>
      <c r="J121" s="148"/>
      <c r="K121" s="165" t="s">
        <v>3679</v>
      </c>
      <c r="L121" s="65" t="s">
        <v>3650</v>
      </c>
      <c r="M121" s="65"/>
      <c r="N121" s="65"/>
      <c r="O121" s="65" t="s">
        <v>2523</v>
      </c>
      <c r="P121" s="65" t="s">
        <v>2523</v>
      </c>
      <c r="Q121" s="54" t="s">
        <v>1637</v>
      </c>
      <c r="R121" s="41" t="s">
        <v>3023</v>
      </c>
      <c r="S121" s="41" t="s">
        <v>2648</v>
      </c>
      <c r="T121" s="41" t="s">
        <v>1637</v>
      </c>
      <c r="U121" s="41" t="s">
        <v>139</v>
      </c>
      <c r="V121" s="41" t="s">
        <v>139</v>
      </c>
      <c r="W121" s="41" t="s">
        <v>139</v>
      </c>
      <c r="X121" s="41" t="s">
        <v>2670</v>
      </c>
      <c r="Y121" s="41" t="s">
        <v>139</v>
      </c>
      <c r="Z121" s="73" t="s">
        <v>139</v>
      </c>
      <c r="AA121" s="54" t="s">
        <v>139</v>
      </c>
      <c r="AB121" s="54" t="s">
        <v>139</v>
      </c>
      <c r="AC121" s="54" t="s">
        <v>2667</v>
      </c>
      <c r="AD121" s="54" t="s">
        <v>139</v>
      </c>
      <c r="AE121" s="55"/>
      <c r="AF121" s="56"/>
      <c r="AG121" s="56"/>
      <c r="AH121" s="57"/>
      <c r="AI121" s="56"/>
      <c r="AJ121" s="56"/>
      <c r="AK121" s="56"/>
      <c r="AL121" s="3" t="s">
        <v>1582</v>
      </c>
    </row>
    <row r="122" spans="2:38" ht="40.5">
      <c r="B122" s="144">
        <f t="shared" si="1"/>
        <v>119</v>
      </c>
      <c r="C122" s="148" t="s">
        <v>3731</v>
      </c>
      <c r="D122" s="148"/>
      <c r="E122" s="148"/>
      <c r="F122" s="148"/>
      <c r="G122" s="148"/>
      <c r="H122" s="148"/>
      <c r="I122" s="148"/>
      <c r="J122" s="148"/>
      <c r="K122" s="165" t="s">
        <v>3679</v>
      </c>
      <c r="L122" s="65" t="s">
        <v>3650</v>
      </c>
      <c r="M122" s="65"/>
      <c r="N122" s="65"/>
      <c r="O122" s="65" t="s">
        <v>2524</v>
      </c>
      <c r="P122" s="65" t="s">
        <v>2524</v>
      </c>
      <c r="Q122" s="54" t="s">
        <v>1637</v>
      </c>
      <c r="R122" s="41" t="s">
        <v>3024</v>
      </c>
      <c r="S122" s="41" t="s">
        <v>2649</v>
      </c>
      <c r="T122" s="41" t="s">
        <v>1637</v>
      </c>
      <c r="U122" s="41" t="s">
        <v>139</v>
      </c>
      <c r="V122" s="41" t="s">
        <v>139</v>
      </c>
      <c r="W122" s="41" t="s">
        <v>139</v>
      </c>
      <c r="X122" s="41" t="s">
        <v>2670</v>
      </c>
      <c r="Y122" s="41" t="s">
        <v>139</v>
      </c>
      <c r="Z122" s="73" t="s">
        <v>139</v>
      </c>
      <c r="AA122" s="54" t="s">
        <v>139</v>
      </c>
      <c r="AB122" s="54" t="s">
        <v>139</v>
      </c>
      <c r="AC122" s="54" t="s">
        <v>2667</v>
      </c>
      <c r="AD122" s="54" t="s">
        <v>139</v>
      </c>
      <c r="AE122" s="55"/>
      <c r="AF122" s="56"/>
      <c r="AG122" s="56"/>
      <c r="AH122" s="57"/>
      <c r="AI122" s="56"/>
      <c r="AJ122" s="56"/>
      <c r="AK122" s="56"/>
      <c r="AL122" s="3" t="s">
        <v>1582</v>
      </c>
    </row>
    <row r="123" spans="2:38" ht="40.5" hidden="1">
      <c r="B123" s="144">
        <f t="shared" si="1"/>
        <v>120</v>
      </c>
      <c r="C123" s="148" t="s">
        <v>3732</v>
      </c>
      <c r="D123" s="148"/>
      <c r="E123" s="148"/>
      <c r="F123" s="148"/>
      <c r="G123" s="148"/>
      <c r="H123" s="148"/>
      <c r="I123" s="148"/>
      <c r="J123" s="148"/>
      <c r="K123" s="165" t="s">
        <v>3679</v>
      </c>
      <c r="L123" s="65" t="s">
        <v>3650</v>
      </c>
      <c r="M123" s="65"/>
      <c r="N123" s="65"/>
      <c r="O123" s="65" t="s">
        <v>2276</v>
      </c>
      <c r="P123" s="65" t="s">
        <v>2276</v>
      </c>
      <c r="Q123" s="54" t="s">
        <v>2277</v>
      </c>
      <c r="R123" s="41" t="s">
        <v>2278</v>
      </c>
      <c r="S123" s="41"/>
      <c r="T123" s="41" t="s">
        <v>1637</v>
      </c>
      <c r="U123" s="41" t="s">
        <v>139</v>
      </c>
      <c r="V123" s="41" t="s">
        <v>139</v>
      </c>
      <c r="W123" s="41" t="s">
        <v>139</v>
      </c>
      <c r="X123" s="41" t="s">
        <v>2271</v>
      </c>
      <c r="Y123" s="41" t="s">
        <v>139</v>
      </c>
      <c r="Z123" s="73" t="s">
        <v>139</v>
      </c>
      <c r="AA123" s="54" t="s">
        <v>139</v>
      </c>
      <c r="AB123" s="54" t="s">
        <v>139</v>
      </c>
      <c r="AC123" s="54" t="s">
        <v>2289</v>
      </c>
      <c r="AD123" s="54" t="s">
        <v>139</v>
      </c>
      <c r="AE123" s="55"/>
      <c r="AF123" s="56"/>
      <c r="AG123" s="56"/>
      <c r="AH123" s="57"/>
      <c r="AI123" s="56"/>
      <c r="AJ123" s="56"/>
      <c r="AK123" s="56"/>
      <c r="AL123" s="3" t="s">
        <v>1582</v>
      </c>
    </row>
    <row r="124" spans="2:38" ht="40.5" hidden="1">
      <c r="B124" s="144">
        <f t="shared" si="1"/>
        <v>121</v>
      </c>
      <c r="C124" s="148" t="s">
        <v>3732</v>
      </c>
      <c r="D124" s="148"/>
      <c r="E124" s="148"/>
      <c r="F124" s="148"/>
      <c r="G124" s="148"/>
      <c r="H124" s="148"/>
      <c r="I124" s="148"/>
      <c r="J124" s="148"/>
      <c r="K124" s="165" t="s">
        <v>3679</v>
      </c>
      <c r="L124" s="65" t="s">
        <v>3650</v>
      </c>
      <c r="M124" s="65"/>
      <c r="N124" s="65"/>
      <c r="O124" s="65" t="s">
        <v>2406</v>
      </c>
      <c r="P124" s="65" t="s">
        <v>2406</v>
      </c>
      <c r="Q124" s="54" t="s">
        <v>1637</v>
      </c>
      <c r="R124" s="41" t="s">
        <v>3025</v>
      </c>
      <c r="S124" s="41" t="s">
        <v>2406</v>
      </c>
      <c r="T124" s="41" t="s">
        <v>1637</v>
      </c>
      <c r="U124" s="41" t="s">
        <v>139</v>
      </c>
      <c r="V124" s="41" t="s">
        <v>139</v>
      </c>
      <c r="W124" s="41" t="s">
        <v>139</v>
      </c>
      <c r="X124" s="41" t="s">
        <v>2670</v>
      </c>
      <c r="Y124" s="41" t="s">
        <v>139</v>
      </c>
      <c r="Z124" s="73" t="s">
        <v>139</v>
      </c>
      <c r="AA124" s="54" t="s">
        <v>139</v>
      </c>
      <c r="AB124" s="54" t="s">
        <v>139</v>
      </c>
      <c r="AC124" s="54" t="s">
        <v>2667</v>
      </c>
      <c r="AD124" s="54" t="s">
        <v>139</v>
      </c>
      <c r="AE124" s="55"/>
      <c r="AF124" s="56"/>
      <c r="AG124" s="56"/>
      <c r="AH124" s="57"/>
      <c r="AI124" s="56"/>
      <c r="AJ124" s="56"/>
      <c r="AK124" s="56"/>
      <c r="AL124" s="3" t="s">
        <v>1582</v>
      </c>
    </row>
    <row r="125" spans="2:38" ht="40.5">
      <c r="B125" s="144">
        <f t="shared" si="1"/>
        <v>122</v>
      </c>
      <c r="C125" s="148" t="s">
        <v>3731</v>
      </c>
      <c r="D125" s="148"/>
      <c r="E125" s="148"/>
      <c r="F125" s="148"/>
      <c r="G125" s="148"/>
      <c r="H125" s="148"/>
      <c r="I125" s="148"/>
      <c r="J125" s="148"/>
      <c r="K125" s="165" t="s">
        <v>3679</v>
      </c>
      <c r="L125" s="65" t="s">
        <v>3650</v>
      </c>
      <c r="M125" s="65"/>
      <c r="N125" s="65"/>
      <c r="O125" s="65" t="s">
        <v>395</v>
      </c>
      <c r="P125" s="65" t="s">
        <v>2274</v>
      </c>
      <c r="Q125" s="54" t="s">
        <v>139</v>
      </c>
      <c r="R125" s="41" t="s">
        <v>2273</v>
      </c>
      <c r="S125" s="41" t="s">
        <v>2275</v>
      </c>
      <c r="T125" s="41" t="s">
        <v>2137</v>
      </c>
      <c r="U125" s="41" t="s">
        <v>139</v>
      </c>
      <c r="V125" s="41" t="s">
        <v>139</v>
      </c>
      <c r="W125" s="41" t="s">
        <v>139</v>
      </c>
      <c r="X125" s="41" t="s">
        <v>2271</v>
      </c>
      <c r="Y125" s="41" t="s">
        <v>139</v>
      </c>
      <c r="Z125" s="73" t="s">
        <v>139</v>
      </c>
      <c r="AA125" s="54" t="s">
        <v>139</v>
      </c>
      <c r="AB125" s="54" t="s">
        <v>139</v>
      </c>
      <c r="AC125" s="54" t="s">
        <v>2289</v>
      </c>
      <c r="AD125" s="54" t="s">
        <v>139</v>
      </c>
      <c r="AE125" s="55"/>
      <c r="AF125" s="56"/>
      <c r="AG125" s="56"/>
      <c r="AH125" s="57"/>
      <c r="AI125" s="56"/>
      <c r="AJ125" s="56"/>
      <c r="AK125" s="56"/>
      <c r="AL125" s="3" t="s">
        <v>1582</v>
      </c>
    </row>
    <row r="126" spans="2:38" ht="40.5" hidden="1">
      <c r="B126" s="144">
        <f t="shared" si="1"/>
        <v>123</v>
      </c>
      <c r="C126" s="148" t="s">
        <v>3732</v>
      </c>
      <c r="D126" s="148"/>
      <c r="E126" s="148"/>
      <c r="F126" s="148"/>
      <c r="G126" s="148"/>
      <c r="H126" s="148"/>
      <c r="I126" s="148"/>
      <c r="J126" s="148"/>
      <c r="K126" s="165" t="s">
        <v>3679</v>
      </c>
      <c r="L126" s="65" t="s">
        <v>3650</v>
      </c>
      <c r="M126" s="65"/>
      <c r="N126" s="65"/>
      <c r="O126" s="65" t="s">
        <v>2525</v>
      </c>
      <c r="P126" s="65" t="s">
        <v>2525</v>
      </c>
      <c r="Q126" s="54" t="s">
        <v>1637</v>
      </c>
      <c r="R126" s="41" t="s">
        <v>3026</v>
      </c>
      <c r="S126" s="41" t="s">
        <v>2650</v>
      </c>
      <c r="T126" s="41" t="s">
        <v>1637</v>
      </c>
      <c r="U126" s="41" t="s">
        <v>139</v>
      </c>
      <c r="V126" s="41" t="s">
        <v>139</v>
      </c>
      <c r="W126" s="41" t="s">
        <v>139</v>
      </c>
      <c r="X126" s="41" t="s">
        <v>2670</v>
      </c>
      <c r="Y126" s="41" t="s">
        <v>139</v>
      </c>
      <c r="Z126" s="73" t="s">
        <v>139</v>
      </c>
      <c r="AA126" s="54" t="s">
        <v>139</v>
      </c>
      <c r="AB126" s="54" t="s">
        <v>139</v>
      </c>
      <c r="AC126" s="54" t="s">
        <v>2667</v>
      </c>
      <c r="AD126" s="54" t="s">
        <v>139</v>
      </c>
      <c r="AE126" s="55"/>
      <c r="AF126" s="56"/>
      <c r="AG126" s="56"/>
      <c r="AH126" s="57"/>
      <c r="AI126" s="56"/>
      <c r="AJ126" s="56"/>
      <c r="AK126" s="56"/>
      <c r="AL126" s="3" t="s">
        <v>1582</v>
      </c>
    </row>
    <row r="127" spans="2:38" ht="40.5" hidden="1">
      <c r="B127" s="144">
        <f t="shared" si="1"/>
        <v>124</v>
      </c>
      <c r="C127" s="148" t="s">
        <v>3732</v>
      </c>
      <c r="D127" s="148"/>
      <c r="E127" s="148"/>
      <c r="F127" s="148"/>
      <c r="G127" s="148"/>
      <c r="H127" s="148"/>
      <c r="I127" s="148"/>
      <c r="J127" s="148"/>
      <c r="K127" s="165" t="s">
        <v>3679</v>
      </c>
      <c r="L127" s="65" t="s">
        <v>3650</v>
      </c>
      <c r="M127" s="65"/>
      <c r="N127" s="65"/>
      <c r="O127" s="65" t="s">
        <v>2526</v>
      </c>
      <c r="P127" s="65" t="s">
        <v>2526</v>
      </c>
      <c r="Q127" s="54" t="s">
        <v>1637</v>
      </c>
      <c r="R127" s="41" t="s">
        <v>2651</v>
      </c>
      <c r="S127" s="41" t="s">
        <v>2652</v>
      </c>
      <c r="T127" s="41"/>
      <c r="U127" s="41" t="s">
        <v>139</v>
      </c>
      <c r="V127" s="41" t="s">
        <v>139</v>
      </c>
      <c r="W127" s="41" t="s">
        <v>139</v>
      </c>
      <c r="X127" s="41" t="s">
        <v>2670</v>
      </c>
      <c r="Y127" s="41" t="s">
        <v>139</v>
      </c>
      <c r="Z127" s="73" t="s">
        <v>139</v>
      </c>
      <c r="AA127" s="54" t="s">
        <v>139</v>
      </c>
      <c r="AB127" s="54" t="s">
        <v>139</v>
      </c>
      <c r="AC127" s="54" t="s">
        <v>2667</v>
      </c>
      <c r="AD127" s="54" t="s">
        <v>139</v>
      </c>
      <c r="AE127" s="55"/>
      <c r="AF127" s="56"/>
      <c r="AG127" s="56"/>
      <c r="AH127" s="57"/>
      <c r="AI127" s="56"/>
      <c r="AJ127" s="56"/>
      <c r="AK127" s="56"/>
      <c r="AL127" s="3" t="s">
        <v>1582</v>
      </c>
    </row>
    <row r="128" spans="2:38" ht="40.5">
      <c r="B128" s="144">
        <f t="shared" si="1"/>
        <v>125</v>
      </c>
      <c r="C128" s="148" t="s">
        <v>3731</v>
      </c>
      <c r="D128" s="148"/>
      <c r="E128" s="148"/>
      <c r="F128" s="148"/>
      <c r="G128" s="148"/>
      <c r="H128" s="148"/>
      <c r="I128" s="148"/>
      <c r="J128" s="148"/>
      <c r="K128" s="165" t="s">
        <v>3679</v>
      </c>
      <c r="L128" s="65" t="s">
        <v>3650</v>
      </c>
      <c r="M128" s="65"/>
      <c r="N128" s="65"/>
      <c r="O128" s="65" t="s">
        <v>2399</v>
      </c>
      <c r="P128" s="65" t="s">
        <v>2399</v>
      </c>
      <c r="Q128" s="54" t="s">
        <v>1637</v>
      </c>
      <c r="R128" s="41" t="s">
        <v>3205</v>
      </c>
      <c r="S128" s="41" t="s">
        <v>2653</v>
      </c>
      <c r="T128" s="41"/>
      <c r="U128" s="41" t="s">
        <v>139</v>
      </c>
      <c r="V128" s="41" t="s">
        <v>139</v>
      </c>
      <c r="W128" s="41" t="s">
        <v>139</v>
      </c>
      <c r="X128" s="41" t="s">
        <v>2670</v>
      </c>
      <c r="Y128" s="41" t="s">
        <v>139</v>
      </c>
      <c r="Z128" s="73" t="s">
        <v>139</v>
      </c>
      <c r="AA128" s="54" t="s">
        <v>139</v>
      </c>
      <c r="AB128" s="54" t="s">
        <v>139</v>
      </c>
      <c r="AC128" s="54" t="s">
        <v>2667</v>
      </c>
      <c r="AD128" s="54" t="s">
        <v>139</v>
      </c>
      <c r="AE128" s="55"/>
      <c r="AF128" s="56"/>
      <c r="AG128" s="56"/>
      <c r="AH128" s="57"/>
      <c r="AI128" s="56"/>
      <c r="AJ128" s="56"/>
      <c r="AK128" s="56"/>
      <c r="AL128" s="3" t="s">
        <v>1582</v>
      </c>
    </row>
    <row r="129" spans="2:38" ht="54">
      <c r="B129" s="144">
        <f t="shared" si="1"/>
        <v>126</v>
      </c>
      <c r="C129" s="148" t="s">
        <v>3731</v>
      </c>
      <c r="D129" s="148"/>
      <c r="E129" s="148"/>
      <c r="F129" s="148"/>
      <c r="G129" s="148"/>
      <c r="H129" s="148"/>
      <c r="I129" s="148"/>
      <c r="J129" s="148"/>
      <c r="K129" s="165" t="s">
        <v>3679</v>
      </c>
      <c r="L129" s="65" t="s">
        <v>3650</v>
      </c>
      <c r="M129" s="65"/>
      <c r="N129" s="65"/>
      <c r="O129" s="65" t="s">
        <v>2400</v>
      </c>
      <c r="P129" s="65" t="s">
        <v>2400</v>
      </c>
      <c r="Q129" s="54" t="s">
        <v>1637</v>
      </c>
      <c r="R129" s="41" t="s">
        <v>3206</v>
      </c>
      <c r="S129" s="41" t="s">
        <v>2654</v>
      </c>
      <c r="T129" s="41"/>
      <c r="U129" s="41" t="s">
        <v>139</v>
      </c>
      <c r="V129" s="41" t="s">
        <v>139</v>
      </c>
      <c r="W129" s="41" t="s">
        <v>139</v>
      </c>
      <c r="X129" s="41" t="s">
        <v>2670</v>
      </c>
      <c r="Y129" s="41" t="s">
        <v>139</v>
      </c>
      <c r="Z129" s="73" t="s">
        <v>139</v>
      </c>
      <c r="AA129" s="54" t="s">
        <v>139</v>
      </c>
      <c r="AB129" s="54" t="s">
        <v>139</v>
      </c>
      <c r="AC129" s="54" t="s">
        <v>2667</v>
      </c>
      <c r="AD129" s="54" t="s">
        <v>139</v>
      </c>
      <c r="AE129" s="55"/>
      <c r="AF129" s="56"/>
      <c r="AG129" s="56"/>
      <c r="AH129" s="57"/>
      <c r="AI129" s="56"/>
      <c r="AJ129" s="56"/>
      <c r="AK129" s="56"/>
      <c r="AL129" s="3" t="s">
        <v>1582</v>
      </c>
    </row>
    <row r="130" spans="2:38" ht="40.5" hidden="1">
      <c r="B130" s="144">
        <f t="shared" si="1"/>
        <v>127</v>
      </c>
      <c r="C130" s="148" t="s">
        <v>3732</v>
      </c>
      <c r="D130" s="148"/>
      <c r="E130" s="148"/>
      <c r="F130" s="148"/>
      <c r="G130" s="148"/>
      <c r="H130" s="148"/>
      <c r="I130" s="148"/>
      <c r="J130" s="148"/>
      <c r="K130" s="165" t="s">
        <v>3679</v>
      </c>
      <c r="L130" s="65" t="s">
        <v>3650</v>
      </c>
      <c r="M130" s="65"/>
      <c r="N130" s="65"/>
      <c r="O130" s="65" t="s">
        <v>2401</v>
      </c>
      <c r="P130" s="65" t="s">
        <v>2401</v>
      </c>
      <c r="Q130" s="54" t="s">
        <v>1637</v>
      </c>
      <c r="R130" s="41" t="s">
        <v>2655</v>
      </c>
      <c r="S130" s="41" t="s">
        <v>2656</v>
      </c>
      <c r="T130" s="41"/>
      <c r="U130" s="41" t="s">
        <v>139</v>
      </c>
      <c r="V130" s="41" t="s">
        <v>139</v>
      </c>
      <c r="W130" s="41" t="s">
        <v>139</v>
      </c>
      <c r="X130" s="41" t="s">
        <v>2670</v>
      </c>
      <c r="Y130" s="41" t="s">
        <v>139</v>
      </c>
      <c r="Z130" s="73" t="s">
        <v>139</v>
      </c>
      <c r="AA130" s="54" t="s">
        <v>139</v>
      </c>
      <c r="AB130" s="54" t="s">
        <v>139</v>
      </c>
      <c r="AC130" s="54" t="s">
        <v>2667</v>
      </c>
      <c r="AD130" s="54" t="s">
        <v>139</v>
      </c>
      <c r="AE130" s="55"/>
      <c r="AF130" s="56"/>
      <c r="AG130" s="56"/>
      <c r="AH130" s="57"/>
      <c r="AI130" s="56"/>
      <c r="AJ130" s="56"/>
      <c r="AK130" s="56"/>
      <c r="AL130" s="3" t="s">
        <v>1582</v>
      </c>
    </row>
    <row r="131" spans="2:38" ht="40.5">
      <c r="B131" s="144">
        <f t="shared" si="1"/>
        <v>128</v>
      </c>
      <c r="C131" s="148" t="s">
        <v>3731</v>
      </c>
      <c r="D131" s="148"/>
      <c r="E131" s="148"/>
      <c r="F131" s="148"/>
      <c r="G131" s="148"/>
      <c r="H131" s="148"/>
      <c r="I131" s="148"/>
      <c r="J131" s="148"/>
      <c r="K131" s="165" t="s">
        <v>3679</v>
      </c>
      <c r="L131" s="65" t="s">
        <v>3650</v>
      </c>
      <c r="M131" s="65"/>
      <c r="N131" s="65"/>
      <c r="O131" s="65" t="s">
        <v>2527</v>
      </c>
      <c r="P131" s="65" t="s">
        <v>2527</v>
      </c>
      <c r="Q131" s="54" t="s">
        <v>1637</v>
      </c>
      <c r="R131" s="41" t="s">
        <v>3207</v>
      </c>
      <c r="S131" s="41" t="s">
        <v>2657</v>
      </c>
      <c r="T131" s="41"/>
      <c r="U131" s="41" t="s">
        <v>139</v>
      </c>
      <c r="V131" s="41" t="s">
        <v>139</v>
      </c>
      <c r="W131" s="41" t="s">
        <v>139</v>
      </c>
      <c r="X131" s="41" t="s">
        <v>2670</v>
      </c>
      <c r="Y131" s="41" t="s">
        <v>139</v>
      </c>
      <c r="Z131" s="73" t="s">
        <v>139</v>
      </c>
      <c r="AA131" s="54" t="s">
        <v>139</v>
      </c>
      <c r="AB131" s="54" t="s">
        <v>139</v>
      </c>
      <c r="AC131" s="54" t="s">
        <v>2667</v>
      </c>
      <c r="AD131" s="54" t="s">
        <v>139</v>
      </c>
      <c r="AE131" s="55"/>
      <c r="AF131" s="56"/>
      <c r="AG131" s="56"/>
      <c r="AH131" s="57"/>
      <c r="AI131" s="56"/>
      <c r="AJ131" s="56"/>
      <c r="AK131" s="56"/>
      <c r="AL131" s="3" t="s">
        <v>1582</v>
      </c>
    </row>
    <row r="132" spans="2:38">
      <c r="B132" s="144">
        <f t="shared" si="1"/>
        <v>129</v>
      </c>
      <c r="C132" s="148" t="s">
        <v>3731</v>
      </c>
      <c r="D132" s="148"/>
      <c r="E132" s="148"/>
      <c r="F132" s="148"/>
      <c r="G132" s="148"/>
      <c r="H132" s="148"/>
      <c r="I132" s="148"/>
      <c r="J132" s="148"/>
      <c r="K132" s="165" t="s">
        <v>3679</v>
      </c>
      <c r="L132" s="65" t="s">
        <v>3650</v>
      </c>
      <c r="M132" s="65"/>
      <c r="N132" s="65"/>
      <c r="O132" s="65" t="s">
        <v>3525</v>
      </c>
      <c r="P132" s="65" t="s">
        <v>3001</v>
      </c>
      <c r="Q132" s="54" t="s">
        <v>3000</v>
      </c>
      <c r="R132" s="41" t="s">
        <v>465</v>
      </c>
      <c r="S132" s="41"/>
      <c r="T132" s="41" t="s">
        <v>139</v>
      </c>
      <c r="U132" s="41" t="s">
        <v>466</v>
      </c>
      <c r="V132" s="41" t="s">
        <v>139</v>
      </c>
      <c r="W132" s="41" t="s">
        <v>139</v>
      </c>
      <c r="X132" s="41" t="s">
        <v>139</v>
      </c>
      <c r="Y132" s="41" t="s">
        <v>139</v>
      </c>
      <c r="Z132" s="73" t="s">
        <v>361</v>
      </c>
      <c r="AA132" s="54" t="s">
        <v>139</v>
      </c>
      <c r="AB132" s="54" t="s">
        <v>139</v>
      </c>
      <c r="AC132" s="54" t="s">
        <v>139</v>
      </c>
      <c r="AD132" s="54" t="s">
        <v>139</v>
      </c>
      <c r="AE132" s="55"/>
      <c r="AF132" s="56"/>
      <c r="AG132" s="56"/>
      <c r="AH132" s="57"/>
      <c r="AI132" s="56"/>
      <c r="AJ132" s="56"/>
      <c r="AK132" s="56"/>
      <c r="AL132" s="3" t="s">
        <v>1582</v>
      </c>
    </row>
    <row r="133" spans="2:38" ht="54" hidden="1">
      <c r="B133" s="144">
        <f t="shared" ref="B133:B166" si="2">ROW()-3</f>
        <v>130</v>
      </c>
      <c r="C133" s="148" t="s">
        <v>3732</v>
      </c>
      <c r="D133" s="148"/>
      <c r="E133" s="148"/>
      <c r="F133" s="148"/>
      <c r="G133" s="148"/>
      <c r="H133" s="148"/>
      <c r="I133" s="148"/>
      <c r="J133" s="148"/>
      <c r="K133" s="165" t="s">
        <v>3679</v>
      </c>
      <c r="L133" s="65" t="s">
        <v>3650</v>
      </c>
      <c r="M133" s="65"/>
      <c r="N133" s="65"/>
      <c r="O133" s="65" t="s">
        <v>2528</v>
      </c>
      <c r="P133" s="65" t="s">
        <v>2528</v>
      </c>
      <c r="Q133" s="54" t="s">
        <v>1637</v>
      </c>
      <c r="R133" s="41" t="s">
        <v>3208</v>
      </c>
      <c r="S133" s="41" t="s">
        <v>2658</v>
      </c>
      <c r="T133" s="41"/>
      <c r="U133" s="41" t="s">
        <v>139</v>
      </c>
      <c r="V133" s="41" t="s">
        <v>139</v>
      </c>
      <c r="W133" s="41" t="s">
        <v>139</v>
      </c>
      <c r="X133" s="41" t="s">
        <v>2670</v>
      </c>
      <c r="Y133" s="41" t="s">
        <v>139</v>
      </c>
      <c r="Z133" s="73" t="s">
        <v>139</v>
      </c>
      <c r="AA133" s="54" t="s">
        <v>139</v>
      </c>
      <c r="AB133" s="54" t="s">
        <v>139</v>
      </c>
      <c r="AC133" s="54" t="s">
        <v>2667</v>
      </c>
      <c r="AD133" s="54" t="s">
        <v>139</v>
      </c>
      <c r="AE133" s="55"/>
      <c r="AF133" s="56"/>
      <c r="AG133" s="56"/>
      <c r="AH133" s="57"/>
      <c r="AI133" s="56"/>
      <c r="AJ133" s="56"/>
      <c r="AK133" s="56"/>
      <c r="AL133" s="3" t="s">
        <v>1582</v>
      </c>
    </row>
    <row r="134" spans="2:38" ht="54" hidden="1">
      <c r="B134" s="144">
        <f t="shared" si="2"/>
        <v>131</v>
      </c>
      <c r="C134" s="148" t="s">
        <v>3732</v>
      </c>
      <c r="D134" s="148"/>
      <c r="E134" s="148"/>
      <c r="F134" s="148"/>
      <c r="G134" s="148"/>
      <c r="H134" s="148"/>
      <c r="I134" s="148"/>
      <c r="J134" s="148"/>
      <c r="K134" s="165" t="s">
        <v>3679</v>
      </c>
      <c r="L134" s="65" t="s">
        <v>3650</v>
      </c>
      <c r="M134" s="65"/>
      <c r="N134" s="65"/>
      <c r="O134" s="65" t="s">
        <v>2529</v>
      </c>
      <c r="P134" s="65" t="s">
        <v>2529</v>
      </c>
      <c r="Q134" s="54" t="s">
        <v>1637</v>
      </c>
      <c r="R134" s="41" t="s">
        <v>3209</v>
      </c>
      <c r="S134" s="41" t="s">
        <v>2659</v>
      </c>
      <c r="T134" s="41"/>
      <c r="U134" s="41" t="s">
        <v>139</v>
      </c>
      <c r="V134" s="41" t="s">
        <v>139</v>
      </c>
      <c r="W134" s="41" t="s">
        <v>139</v>
      </c>
      <c r="X134" s="41" t="s">
        <v>2670</v>
      </c>
      <c r="Y134" s="41" t="s">
        <v>139</v>
      </c>
      <c r="Z134" s="73" t="s">
        <v>139</v>
      </c>
      <c r="AA134" s="54" t="s">
        <v>139</v>
      </c>
      <c r="AB134" s="54" t="s">
        <v>139</v>
      </c>
      <c r="AC134" s="54" t="s">
        <v>2667</v>
      </c>
      <c r="AD134" s="54" t="s">
        <v>139</v>
      </c>
      <c r="AE134" s="55"/>
      <c r="AF134" s="56"/>
      <c r="AG134" s="56"/>
      <c r="AH134" s="57"/>
      <c r="AI134" s="56"/>
      <c r="AJ134" s="56"/>
      <c r="AK134" s="56"/>
      <c r="AL134" s="3" t="s">
        <v>1582</v>
      </c>
    </row>
    <row r="135" spans="2:38" hidden="1">
      <c r="B135" s="144">
        <f t="shared" si="2"/>
        <v>132</v>
      </c>
      <c r="C135" s="148" t="s">
        <v>3732</v>
      </c>
      <c r="D135" s="148"/>
      <c r="E135" s="148"/>
      <c r="F135" s="148"/>
      <c r="G135" s="148"/>
      <c r="H135" s="148"/>
      <c r="I135" s="148"/>
      <c r="J135" s="148"/>
      <c r="K135" s="165" t="s">
        <v>3679</v>
      </c>
      <c r="L135" s="65" t="s">
        <v>3650</v>
      </c>
      <c r="M135" s="65"/>
      <c r="N135" s="65"/>
      <c r="O135" s="65" t="s">
        <v>461</v>
      </c>
      <c r="P135" s="65" t="s">
        <v>461</v>
      </c>
      <c r="Q135" s="54" t="s">
        <v>139</v>
      </c>
      <c r="R135" s="41" t="s">
        <v>462</v>
      </c>
      <c r="S135" s="41"/>
      <c r="T135" s="41" t="s">
        <v>139</v>
      </c>
      <c r="U135" s="41" t="s">
        <v>378</v>
      </c>
      <c r="V135" s="41" t="s">
        <v>139</v>
      </c>
      <c r="W135" s="41" t="s">
        <v>139</v>
      </c>
      <c r="X135" s="41" t="s">
        <v>139</v>
      </c>
      <c r="Y135" s="41" t="s">
        <v>139</v>
      </c>
      <c r="Z135" s="73" t="s">
        <v>163</v>
      </c>
      <c r="AA135" s="54" t="s">
        <v>139</v>
      </c>
      <c r="AB135" s="54" t="s">
        <v>139</v>
      </c>
      <c r="AC135" s="54" t="s">
        <v>139</v>
      </c>
      <c r="AD135" s="54" t="s">
        <v>139</v>
      </c>
      <c r="AE135" s="55"/>
      <c r="AF135" s="56"/>
      <c r="AG135" s="56"/>
      <c r="AH135" s="57"/>
      <c r="AI135" s="56"/>
      <c r="AJ135" s="56"/>
      <c r="AK135" s="56"/>
      <c r="AL135" s="3" t="s">
        <v>1582</v>
      </c>
    </row>
    <row r="136" spans="2:38" hidden="1">
      <c r="B136" s="144">
        <f t="shared" si="2"/>
        <v>133</v>
      </c>
      <c r="C136" s="148" t="s">
        <v>3732</v>
      </c>
      <c r="D136" s="148"/>
      <c r="E136" s="148"/>
      <c r="F136" s="148"/>
      <c r="G136" s="148"/>
      <c r="H136" s="148"/>
      <c r="I136" s="148"/>
      <c r="J136" s="148"/>
      <c r="K136" s="165" t="s">
        <v>3679</v>
      </c>
      <c r="L136" s="65" t="s">
        <v>3650</v>
      </c>
      <c r="M136" s="65"/>
      <c r="N136" s="65"/>
      <c r="O136" s="65" t="s">
        <v>456</v>
      </c>
      <c r="P136" s="65" t="s">
        <v>456</v>
      </c>
      <c r="Q136" s="54" t="s">
        <v>139</v>
      </c>
      <c r="R136" s="41" t="s">
        <v>457</v>
      </c>
      <c r="S136" s="41"/>
      <c r="T136" s="41" t="s">
        <v>139</v>
      </c>
      <c r="U136" s="41" t="s">
        <v>458</v>
      </c>
      <c r="V136" s="41" t="s">
        <v>139</v>
      </c>
      <c r="W136" s="41" t="s">
        <v>139</v>
      </c>
      <c r="X136" s="41" t="s">
        <v>139</v>
      </c>
      <c r="Y136" s="41" t="s">
        <v>139</v>
      </c>
      <c r="Z136" s="73" t="s">
        <v>228</v>
      </c>
      <c r="AA136" s="54" t="s">
        <v>139</v>
      </c>
      <c r="AB136" s="54" t="s">
        <v>139</v>
      </c>
      <c r="AC136" s="54" t="s">
        <v>139</v>
      </c>
      <c r="AD136" s="54" t="s">
        <v>139</v>
      </c>
      <c r="AE136" s="55"/>
      <c r="AF136" s="56"/>
      <c r="AG136" s="56"/>
      <c r="AH136" s="57"/>
      <c r="AI136" s="56"/>
      <c r="AJ136" s="56"/>
      <c r="AK136" s="56"/>
      <c r="AL136" s="3" t="s">
        <v>1582</v>
      </c>
    </row>
    <row r="137" spans="2:38" ht="40.5" hidden="1">
      <c r="B137" s="144">
        <f t="shared" si="2"/>
        <v>134</v>
      </c>
      <c r="C137" s="148" t="s">
        <v>3732</v>
      </c>
      <c r="D137" s="148"/>
      <c r="E137" s="148"/>
      <c r="F137" s="148"/>
      <c r="G137" s="148"/>
      <c r="H137" s="148"/>
      <c r="I137" s="148"/>
      <c r="J137" s="148"/>
      <c r="K137" s="165" t="s">
        <v>3679</v>
      </c>
      <c r="L137" s="65" t="s">
        <v>3650</v>
      </c>
      <c r="M137" s="65"/>
      <c r="N137" s="65"/>
      <c r="O137" s="65" t="s">
        <v>2530</v>
      </c>
      <c r="P137" s="65" t="s">
        <v>2530</v>
      </c>
      <c r="Q137" s="54" t="s">
        <v>1637</v>
      </c>
      <c r="R137" s="41" t="s">
        <v>3210</v>
      </c>
      <c r="S137" s="41" t="s">
        <v>2660</v>
      </c>
      <c r="T137" s="41"/>
      <c r="U137" s="41" t="s">
        <v>139</v>
      </c>
      <c r="V137" s="41" t="s">
        <v>139</v>
      </c>
      <c r="W137" s="41" t="s">
        <v>139</v>
      </c>
      <c r="X137" s="41" t="s">
        <v>2670</v>
      </c>
      <c r="Y137" s="41" t="s">
        <v>139</v>
      </c>
      <c r="Z137" s="73" t="s">
        <v>139</v>
      </c>
      <c r="AA137" s="54" t="s">
        <v>139</v>
      </c>
      <c r="AB137" s="54" t="s">
        <v>139</v>
      </c>
      <c r="AC137" s="54" t="s">
        <v>2667</v>
      </c>
      <c r="AD137" s="54" t="s">
        <v>139</v>
      </c>
      <c r="AE137" s="55"/>
      <c r="AF137" s="56"/>
      <c r="AG137" s="56"/>
      <c r="AH137" s="57"/>
      <c r="AI137" s="56"/>
      <c r="AJ137" s="56"/>
      <c r="AK137" s="56"/>
      <c r="AL137" s="3" t="s">
        <v>1582</v>
      </c>
    </row>
    <row r="138" spans="2:38" ht="40.5" hidden="1">
      <c r="B138" s="144">
        <f t="shared" si="2"/>
        <v>135</v>
      </c>
      <c r="C138" s="148" t="s">
        <v>3732</v>
      </c>
      <c r="D138" s="148"/>
      <c r="E138" s="148"/>
      <c r="F138" s="148"/>
      <c r="G138" s="148"/>
      <c r="H138" s="148"/>
      <c r="I138" s="148"/>
      <c r="J138" s="148"/>
      <c r="K138" s="165" t="s">
        <v>3679</v>
      </c>
      <c r="L138" s="65" t="s">
        <v>3650</v>
      </c>
      <c r="M138" s="65"/>
      <c r="N138" s="65"/>
      <c r="O138" s="65" t="s">
        <v>2531</v>
      </c>
      <c r="P138" s="65" t="s">
        <v>2531</v>
      </c>
      <c r="Q138" s="54" t="s">
        <v>1637</v>
      </c>
      <c r="R138" s="41" t="s">
        <v>3211</v>
      </c>
      <c r="S138" s="41" t="s">
        <v>2661</v>
      </c>
      <c r="T138" s="41"/>
      <c r="U138" s="41" t="s">
        <v>139</v>
      </c>
      <c r="V138" s="41" t="s">
        <v>139</v>
      </c>
      <c r="W138" s="41" t="s">
        <v>139</v>
      </c>
      <c r="X138" s="41" t="s">
        <v>2670</v>
      </c>
      <c r="Y138" s="41" t="s">
        <v>139</v>
      </c>
      <c r="Z138" s="73" t="s">
        <v>139</v>
      </c>
      <c r="AA138" s="54" t="s">
        <v>139</v>
      </c>
      <c r="AB138" s="54" t="s">
        <v>139</v>
      </c>
      <c r="AC138" s="54" t="s">
        <v>2667</v>
      </c>
      <c r="AD138" s="54" t="s">
        <v>139</v>
      </c>
      <c r="AE138" s="55"/>
      <c r="AF138" s="56"/>
      <c r="AG138" s="56"/>
      <c r="AH138" s="57"/>
      <c r="AI138" s="56"/>
      <c r="AJ138" s="56"/>
      <c r="AK138" s="56"/>
      <c r="AL138" s="3" t="s">
        <v>1582</v>
      </c>
    </row>
    <row r="139" spans="2:38" ht="40.5" hidden="1">
      <c r="B139" s="144">
        <f t="shared" si="2"/>
        <v>136</v>
      </c>
      <c r="C139" s="148" t="s">
        <v>3732</v>
      </c>
      <c r="D139" s="148"/>
      <c r="E139" s="148"/>
      <c r="F139" s="148"/>
      <c r="G139" s="148"/>
      <c r="H139" s="148"/>
      <c r="I139" s="148"/>
      <c r="J139" s="148"/>
      <c r="K139" s="165" t="s">
        <v>3679</v>
      </c>
      <c r="L139" s="65" t="s">
        <v>3650</v>
      </c>
      <c r="M139" s="65"/>
      <c r="N139" s="65"/>
      <c r="O139" s="65" t="s">
        <v>2532</v>
      </c>
      <c r="P139" s="65" t="s">
        <v>2532</v>
      </c>
      <c r="Q139" s="54" t="s">
        <v>1637</v>
      </c>
      <c r="R139" s="41" t="s">
        <v>3212</v>
      </c>
      <c r="S139" s="41" t="s">
        <v>2662</v>
      </c>
      <c r="T139" s="41"/>
      <c r="U139" s="41" t="s">
        <v>139</v>
      </c>
      <c r="V139" s="41" t="s">
        <v>139</v>
      </c>
      <c r="W139" s="41" t="s">
        <v>139</v>
      </c>
      <c r="X139" s="41" t="s">
        <v>2670</v>
      </c>
      <c r="Y139" s="41" t="s">
        <v>139</v>
      </c>
      <c r="Z139" s="73" t="s">
        <v>139</v>
      </c>
      <c r="AA139" s="54" t="s">
        <v>139</v>
      </c>
      <c r="AB139" s="54" t="s">
        <v>139</v>
      </c>
      <c r="AC139" s="54" t="s">
        <v>2667</v>
      </c>
      <c r="AD139" s="54" t="s">
        <v>139</v>
      </c>
      <c r="AE139" s="55"/>
      <c r="AF139" s="56"/>
      <c r="AG139" s="56"/>
      <c r="AH139" s="57"/>
      <c r="AI139" s="56"/>
      <c r="AJ139" s="56"/>
      <c r="AK139" s="56"/>
      <c r="AL139" s="3" t="s">
        <v>1582</v>
      </c>
    </row>
    <row r="140" spans="2:38" ht="40.5" hidden="1">
      <c r="B140" s="144">
        <f t="shared" si="2"/>
        <v>137</v>
      </c>
      <c r="C140" s="148" t="s">
        <v>3732</v>
      </c>
      <c r="D140" s="148"/>
      <c r="E140" s="148"/>
      <c r="F140" s="148"/>
      <c r="G140" s="148"/>
      <c r="H140" s="148"/>
      <c r="I140" s="148"/>
      <c r="J140" s="148"/>
      <c r="K140" s="165" t="s">
        <v>3679</v>
      </c>
      <c r="L140" s="65" t="s">
        <v>3650</v>
      </c>
      <c r="M140" s="65"/>
      <c r="N140" s="65"/>
      <c r="O140" s="65" t="s">
        <v>2533</v>
      </c>
      <c r="P140" s="65" t="s">
        <v>2533</v>
      </c>
      <c r="Q140" s="54" t="s">
        <v>1637</v>
      </c>
      <c r="R140" s="41" t="s">
        <v>3213</v>
      </c>
      <c r="S140" s="41" t="s">
        <v>2663</v>
      </c>
      <c r="T140" s="41"/>
      <c r="U140" s="41" t="s">
        <v>139</v>
      </c>
      <c r="V140" s="41" t="s">
        <v>139</v>
      </c>
      <c r="W140" s="41" t="s">
        <v>139</v>
      </c>
      <c r="X140" s="41" t="s">
        <v>2670</v>
      </c>
      <c r="Y140" s="41" t="s">
        <v>139</v>
      </c>
      <c r="Z140" s="73" t="s">
        <v>139</v>
      </c>
      <c r="AA140" s="54" t="s">
        <v>139</v>
      </c>
      <c r="AB140" s="54" t="s">
        <v>139</v>
      </c>
      <c r="AC140" s="54" t="s">
        <v>2667</v>
      </c>
      <c r="AD140" s="54" t="s">
        <v>139</v>
      </c>
      <c r="AE140" s="55"/>
      <c r="AF140" s="56"/>
      <c r="AG140" s="56"/>
      <c r="AH140" s="57"/>
      <c r="AI140" s="56"/>
      <c r="AJ140" s="56"/>
      <c r="AK140" s="56"/>
      <c r="AL140" s="3" t="s">
        <v>1582</v>
      </c>
    </row>
    <row r="141" spans="2:38" ht="54" hidden="1">
      <c r="B141" s="144">
        <f t="shared" si="2"/>
        <v>138</v>
      </c>
      <c r="C141" s="148" t="s">
        <v>3732</v>
      </c>
      <c r="D141" s="148"/>
      <c r="E141" s="148"/>
      <c r="F141" s="148"/>
      <c r="G141" s="148"/>
      <c r="H141" s="148"/>
      <c r="I141" s="148"/>
      <c r="J141" s="148"/>
      <c r="K141" s="165" t="s">
        <v>3679</v>
      </c>
      <c r="L141" s="65" t="s">
        <v>3650</v>
      </c>
      <c r="M141" s="65"/>
      <c r="N141" s="65"/>
      <c r="O141" s="65" t="s">
        <v>2534</v>
      </c>
      <c r="P141" s="65" t="s">
        <v>2534</v>
      </c>
      <c r="Q141" s="54" t="s">
        <v>1637</v>
      </c>
      <c r="R141" s="41" t="s">
        <v>3214</v>
      </c>
      <c r="S141" s="41" t="s">
        <v>2664</v>
      </c>
      <c r="T141" s="41"/>
      <c r="U141" s="41" t="s">
        <v>139</v>
      </c>
      <c r="V141" s="41" t="s">
        <v>139</v>
      </c>
      <c r="W141" s="41" t="s">
        <v>139</v>
      </c>
      <c r="X141" s="41" t="s">
        <v>2670</v>
      </c>
      <c r="Y141" s="41" t="s">
        <v>139</v>
      </c>
      <c r="Z141" s="73" t="s">
        <v>139</v>
      </c>
      <c r="AA141" s="54" t="s">
        <v>139</v>
      </c>
      <c r="AB141" s="54" t="s">
        <v>139</v>
      </c>
      <c r="AC141" s="54" t="s">
        <v>2667</v>
      </c>
      <c r="AD141" s="54" t="s">
        <v>139</v>
      </c>
      <c r="AE141" s="55"/>
      <c r="AF141" s="56"/>
      <c r="AG141" s="56"/>
      <c r="AH141" s="57"/>
      <c r="AI141" s="56"/>
      <c r="AJ141" s="56"/>
      <c r="AK141" s="56"/>
      <c r="AL141" s="3" t="s">
        <v>1582</v>
      </c>
    </row>
    <row r="142" spans="2:38" ht="54" hidden="1">
      <c r="B142" s="144">
        <f t="shared" si="2"/>
        <v>139</v>
      </c>
      <c r="C142" s="148" t="s">
        <v>3732</v>
      </c>
      <c r="D142" s="148"/>
      <c r="E142" s="148"/>
      <c r="F142" s="148"/>
      <c r="G142" s="148"/>
      <c r="H142" s="148"/>
      <c r="I142" s="148"/>
      <c r="J142" s="148"/>
      <c r="K142" s="165" t="s">
        <v>3679</v>
      </c>
      <c r="L142" s="65" t="s">
        <v>3650</v>
      </c>
      <c r="M142" s="65"/>
      <c r="N142" s="65"/>
      <c r="O142" s="65" t="s">
        <v>2535</v>
      </c>
      <c r="P142" s="65" t="s">
        <v>2535</v>
      </c>
      <c r="Q142" s="54" t="s">
        <v>1637</v>
      </c>
      <c r="R142" s="41" t="s">
        <v>3215</v>
      </c>
      <c r="S142" s="41" t="s">
        <v>2665</v>
      </c>
      <c r="T142" s="41"/>
      <c r="U142" s="41" t="s">
        <v>139</v>
      </c>
      <c r="V142" s="41" t="s">
        <v>139</v>
      </c>
      <c r="W142" s="41" t="s">
        <v>139</v>
      </c>
      <c r="X142" s="41" t="s">
        <v>2670</v>
      </c>
      <c r="Y142" s="41" t="s">
        <v>139</v>
      </c>
      <c r="Z142" s="73" t="s">
        <v>139</v>
      </c>
      <c r="AA142" s="54" t="s">
        <v>139</v>
      </c>
      <c r="AB142" s="54" t="s">
        <v>139</v>
      </c>
      <c r="AC142" s="54" t="s">
        <v>2667</v>
      </c>
      <c r="AD142" s="54" t="s">
        <v>139</v>
      </c>
      <c r="AE142" s="55"/>
      <c r="AF142" s="56"/>
      <c r="AG142" s="56"/>
      <c r="AH142" s="57"/>
      <c r="AI142" s="56"/>
      <c r="AJ142" s="56"/>
      <c r="AK142" s="56"/>
      <c r="AL142" s="3" t="s">
        <v>1582</v>
      </c>
    </row>
    <row r="143" spans="2:38" ht="40.5" hidden="1">
      <c r="B143" s="144">
        <f t="shared" si="2"/>
        <v>140</v>
      </c>
      <c r="C143" s="148" t="s">
        <v>3732</v>
      </c>
      <c r="D143" s="148"/>
      <c r="E143" s="148"/>
      <c r="F143" s="148"/>
      <c r="G143" s="148"/>
      <c r="H143" s="148"/>
      <c r="I143" s="148"/>
      <c r="J143" s="148"/>
      <c r="K143" s="165" t="s">
        <v>3679</v>
      </c>
      <c r="L143" s="65" t="s">
        <v>3650</v>
      </c>
      <c r="M143" s="65"/>
      <c r="N143" s="65"/>
      <c r="O143" s="65" t="s">
        <v>2407</v>
      </c>
      <c r="P143" s="65" t="s">
        <v>2407</v>
      </c>
      <c r="Q143" s="54" t="s">
        <v>1637</v>
      </c>
      <c r="R143" s="41" t="s">
        <v>3216</v>
      </c>
      <c r="S143" s="41" t="s">
        <v>2446</v>
      </c>
      <c r="T143" s="41"/>
      <c r="U143" s="41" t="s">
        <v>139</v>
      </c>
      <c r="V143" s="41" t="s">
        <v>139</v>
      </c>
      <c r="W143" s="41" t="s">
        <v>139</v>
      </c>
      <c r="X143" s="41" t="s">
        <v>2670</v>
      </c>
      <c r="Y143" s="41" t="s">
        <v>139</v>
      </c>
      <c r="Z143" s="73" t="s">
        <v>139</v>
      </c>
      <c r="AA143" s="54" t="s">
        <v>139</v>
      </c>
      <c r="AB143" s="54" t="s">
        <v>139</v>
      </c>
      <c r="AC143" s="54" t="s">
        <v>2667</v>
      </c>
      <c r="AD143" s="54" t="s">
        <v>139</v>
      </c>
      <c r="AE143" s="55"/>
      <c r="AF143" s="56"/>
      <c r="AG143" s="56"/>
      <c r="AH143" s="57"/>
      <c r="AI143" s="56"/>
      <c r="AJ143" s="56"/>
      <c r="AK143" s="56"/>
      <c r="AL143" s="3" t="s">
        <v>1582</v>
      </c>
    </row>
    <row r="144" spans="2:38" ht="40.5" hidden="1">
      <c r="B144" s="144">
        <f t="shared" si="2"/>
        <v>141</v>
      </c>
      <c r="C144" s="148" t="s">
        <v>3732</v>
      </c>
      <c r="D144" s="148"/>
      <c r="E144" s="148"/>
      <c r="F144" s="148"/>
      <c r="G144" s="148"/>
      <c r="H144" s="148"/>
      <c r="I144" s="148"/>
      <c r="J144" s="148"/>
      <c r="K144" s="165" t="s">
        <v>3679</v>
      </c>
      <c r="L144" s="65" t="s">
        <v>3650</v>
      </c>
      <c r="M144" s="65"/>
      <c r="N144" s="65"/>
      <c r="O144" s="65" t="s">
        <v>2536</v>
      </c>
      <c r="P144" s="65" t="s">
        <v>2536</v>
      </c>
      <c r="Q144" s="54" t="s">
        <v>1637</v>
      </c>
      <c r="R144" s="41" t="s">
        <v>3217</v>
      </c>
      <c r="S144" s="41" t="s">
        <v>2666</v>
      </c>
      <c r="T144" s="41"/>
      <c r="U144" s="41" t="s">
        <v>139</v>
      </c>
      <c r="V144" s="41" t="s">
        <v>139</v>
      </c>
      <c r="W144" s="41" t="s">
        <v>139</v>
      </c>
      <c r="X144" s="41" t="s">
        <v>2670</v>
      </c>
      <c r="Y144" s="41" t="s">
        <v>139</v>
      </c>
      <c r="Z144" s="73" t="s">
        <v>139</v>
      </c>
      <c r="AA144" s="54" t="s">
        <v>139</v>
      </c>
      <c r="AB144" s="54" t="s">
        <v>139</v>
      </c>
      <c r="AC144" s="54" t="s">
        <v>2667</v>
      </c>
      <c r="AD144" s="54" t="s">
        <v>139</v>
      </c>
      <c r="AE144" s="55"/>
      <c r="AF144" s="56"/>
      <c r="AG144" s="56"/>
      <c r="AH144" s="57"/>
      <c r="AI144" s="56"/>
      <c r="AJ144" s="56"/>
      <c r="AK144" s="56"/>
      <c r="AL144" s="3" t="s">
        <v>1582</v>
      </c>
    </row>
    <row r="145" spans="2:38">
      <c r="B145" s="144">
        <f t="shared" si="2"/>
        <v>142</v>
      </c>
      <c r="C145" s="148" t="s">
        <v>3731</v>
      </c>
      <c r="D145" s="148"/>
      <c r="E145" s="148"/>
      <c r="F145" s="148"/>
      <c r="G145" s="148"/>
      <c r="H145" s="148"/>
      <c r="I145" s="148"/>
      <c r="J145" s="148"/>
      <c r="K145" s="165" t="s">
        <v>3679</v>
      </c>
      <c r="L145" s="65" t="s">
        <v>3650</v>
      </c>
      <c r="M145" s="65"/>
      <c r="N145" s="65"/>
      <c r="O145" s="65" t="s">
        <v>3609</v>
      </c>
      <c r="P145" s="65" t="s">
        <v>2998</v>
      </c>
      <c r="Q145" s="54" t="s">
        <v>2999</v>
      </c>
      <c r="R145" s="41" t="s">
        <v>446</v>
      </c>
      <c r="S145" s="41"/>
      <c r="T145" s="41" t="s">
        <v>408</v>
      </c>
      <c r="U145" s="41" t="s">
        <v>447</v>
      </c>
      <c r="V145" s="41" t="s">
        <v>139</v>
      </c>
      <c r="W145" s="41" t="s">
        <v>139</v>
      </c>
      <c r="X145" s="41" t="s">
        <v>139</v>
      </c>
      <c r="Y145" s="41" t="s">
        <v>139</v>
      </c>
      <c r="Z145" s="73" t="s">
        <v>133</v>
      </c>
      <c r="AA145" s="54" t="s">
        <v>139</v>
      </c>
      <c r="AB145" s="54" t="s">
        <v>139</v>
      </c>
      <c r="AC145" s="54" t="s">
        <v>139</v>
      </c>
      <c r="AD145" s="54" t="s">
        <v>139</v>
      </c>
      <c r="AE145" s="55"/>
      <c r="AF145" s="56"/>
      <c r="AG145" s="56"/>
      <c r="AH145" s="57"/>
      <c r="AI145" s="56"/>
      <c r="AJ145" s="56"/>
      <c r="AK145" s="56"/>
      <c r="AL145" s="3" t="s">
        <v>1582</v>
      </c>
    </row>
    <row r="146" spans="2:38" ht="27" hidden="1">
      <c r="B146" s="144">
        <f t="shared" si="2"/>
        <v>143</v>
      </c>
      <c r="C146" s="148" t="s">
        <v>3732</v>
      </c>
      <c r="D146" s="148"/>
      <c r="E146" s="148"/>
      <c r="F146" s="148"/>
      <c r="G146" s="148"/>
      <c r="H146" s="148"/>
      <c r="I146" s="148"/>
      <c r="J146" s="148"/>
      <c r="K146" s="165" t="s">
        <v>3679</v>
      </c>
      <c r="L146" s="165" t="s">
        <v>3651</v>
      </c>
      <c r="M146" s="165"/>
      <c r="N146" s="165"/>
      <c r="O146" s="165" t="s">
        <v>3515</v>
      </c>
      <c r="P146" s="165" t="s">
        <v>2185</v>
      </c>
      <c r="Q146" s="126" t="s">
        <v>1637</v>
      </c>
      <c r="R146" s="40" t="s">
        <v>2188</v>
      </c>
      <c r="S146" s="40"/>
      <c r="T146" s="40" t="s">
        <v>139</v>
      </c>
      <c r="U146" s="41" t="s">
        <v>139</v>
      </c>
      <c r="V146" s="41" t="s">
        <v>139</v>
      </c>
      <c r="W146" s="41" t="s">
        <v>139</v>
      </c>
      <c r="X146" s="41" t="s">
        <v>2190</v>
      </c>
      <c r="Y146" s="41" t="s">
        <v>139</v>
      </c>
      <c r="Z146" s="74" t="s">
        <v>139</v>
      </c>
      <c r="AA146" s="41" t="s">
        <v>139</v>
      </c>
      <c r="AB146" s="41" t="s">
        <v>139</v>
      </c>
      <c r="AC146" s="41" t="s">
        <v>1542</v>
      </c>
      <c r="AD146" s="41" t="s">
        <v>139</v>
      </c>
      <c r="AE146" s="44"/>
      <c r="AF146" s="45"/>
      <c r="AG146" s="45"/>
      <c r="AH146" s="46"/>
      <c r="AI146" s="45"/>
      <c r="AJ146" s="45"/>
      <c r="AK146" s="45"/>
      <c r="AL146" s="3" t="s">
        <v>1582</v>
      </c>
    </row>
    <row r="147" spans="2:38" ht="40.5" hidden="1">
      <c r="B147" s="144">
        <f t="shared" si="2"/>
        <v>144</v>
      </c>
      <c r="C147" s="148" t="s">
        <v>3732</v>
      </c>
      <c r="D147" s="148"/>
      <c r="E147" s="148"/>
      <c r="F147" s="148"/>
      <c r="G147" s="148"/>
      <c r="H147" s="148"/>
      <c r="I147" s="148"/>
      <c r="J147" s="148"/>
      <c r="K147" s="165" t="s">
        <v>3679</v>
      </c>
      <c r="L147" s="65" t="s">
        <v>3651</v>
      </c>
      <c r="M147" s="165"/>
      <c r="N147" s="65"/>
      <c r="O147" s="65" t="s">
        <v>2376</v>
      </c>
      <c r="P147" s="65" t="s">
        <v>2376</v>
      </c>
      <c r="Q147" s="54" t="s">
        <v>1637</v>
      </c>
      <c r="R147" s="41" t="s">
        <v>2539</v>
      </c>
      <c r="S147" s="41" t="s">
        <v>2438</v>
      </c>
      <c r="T147" s="41"/>
      <c r="U147" s="41" t="s">
        <v>139</v>
      </c>
      <c r="V147" s="41" t="s">
        <v>139</v>
      </c>
      <c r="W147" s="41" t="s">
        <v>139</v>
      </c>
      <c r="X147" s="41" t="s">
        <v>2670</v>
      </c>
      <c r="Y147" s="41" t="s">
        <v>139</v>
      </c>
      <c r="Z147" s="73" t="s">
        <v>139</v>
      </c>
      <c r="AA147" s="54" t="s">
        <v>139</v>
      </c>
      <c r="AB147" s="54" t="s">
        <v>139</v>
      </c>
      <c r="AC147" s="54" t="s">
        <v>2667</v>
      </c>
      <c r="AD147" s="54" t="s">
        <v>139</v>
      </c>
      <c r="AE147" s="55"/>
      <c r="AF147" s="56"/>
      <c r="AG147" s="56"/>
      <c r="AH147" s="57"/>
      <c r="AI147" s="56"/>
      <c r="AJ147" s="56"/>
      <c r="AK147" s="56"/>
      <c r="AL147" s="3" t="s">
        <v>1582</v>
      </c>
    </row>
    <row r="148" spans="2:38" ht="40.5" hidden="1">
      <c r="B148" s="144">
        <f t="shared" si="2"/>
        <v>145</v>
      </c>
      <c r="C148" s="148" t="s">
        <v>3732</v>
      </c>
      <c r="D148" s="148"/>
      <c r="E148" s="148"/>
      <c r="F148" s="148"/>
      <c r="G148" s="148"/>
      <c r="H148" s="148"/>
      <c r="I148" s="148"/>
      <c r="J148" s="148"/>
      <c r="K148" s="165" t="s">
        <v>3679</v>
      </c>
      <c r="L148" s="65" t="s">
        <v>3651</v>
      </c>
      <c r="M148" s="165"/>
      <c r="N148" s="65"/>
      <c r="O148" s="65" t="s">
        <v>2385</v>
      </c>
      <c r="P148" s="65" t="s">
        <v>2385</v>
      </c>
      <c r="Q148" s="54" t="s">
        <v>1637</v>
      </c>
      <c r="R148" s="41" t="s">
        <v>2540</v>
      </c>
      <c r="S148" s="41" t="s">
        <v>2440</v>
      </c>
      <c r="T148" s="41"/>
      <c r="U148" s="41" t="s">
        <v>139</v>
      </c>
      <c r="V148" s="41" t="s">
        <v>139</v>
      </c>
      <c r="W148" s="41" t="s">
        <v>139</v>
      </c>
      <c r="X148" s="41" t="s">
        <v>2670</v>
      </c>
      <c r="Y148" s="41" t="s">
        <v>139</v>
      </c>
      <c r="Z148" s="73" t="s">
        <v>139</v>
      </c>
      <c r="AA148" s="54" t="s">
        <v>139</v>
      </c>
      <c r="AB148" s="54" t="s">
        <v>139</v>
      </c>
      <c r="AC148" s="54" t="s">
        <v>2667</v>
      </c>
      <c r="AD148" s="54" t="s">
        <v>139</v>
      </c>
      <c r="AE148" s="55"/>
      <c r="AF148" s="56"/>
      <c r="AG148" s="56"/>
      <c r="AH148" s="57"/>
      <c r="AI148" s="56"/>
      <c r="AJ148" s="56"/>
      <c r="AK148" s="56"/>
      <c r="AL148" s="3" t="s">
        <v>1582</v>
      </c>
    </row>
    <row r="149" spans="2:38" ht="40.5" hidden="1">
      <c r="B149" s="144">
        <f t="shared" si="2"/>
        <v>146</v>
      </c>
      <c r="C149" s="148" t="s">
        <v>3732</v>
      </c>
      <c r="D149" s="148"/>
      <c r="E149" s="148"/>
      <c r="F149" s="148"/>
      <c r="G149" s="148"/>
      <c r="H149" s="148"/>
      <c r="I149" s="148"/>
      <c r="J149" s="148"/>
      <c r="K149" s="165" t="s">
        <v>3679</v>
      </c>
      <c r="L149" s="65" t="s">
        <v>3651</v>
      </c>
      <c r="M149" s="165"/>
      <c r="N149" s="65"/>
      <c r="O149" s="65" t="s">
        <v>2467</v>
      </c>
      <c r="P149" s="65" t="s">
        <v>2467</v>
      </c>
      <c r="Q149" s="54" t="s">
        <v>1637</v>
      </c>
      <c r="R149" s="41" t="s">
        <v>2541</v>
      </c>
      <c r="S149" s="41" t="s">
        <v>2542</v>
      </c>
      <c r="T149" s="41"/>
      <c r="U149" s="41" t="s">
        <v>139</v>
      </c>
      <c r="V149" s="41" t="s">
        <v>139</v>
      </c>
      <c r="W149" s="41" t="s">
        <v>139</v>
      </c>
      <c r="X149" s="41" t="s">
        <v>2670</v>
      </c>
      <c r="Y149" s="41" t="s">
        <v>139</v>
      </c>
      <c r="Z149" s="73" t="s">
        <v>139</v>
      </c>
      <c r="AA149" s="54" t="s">
        <v>139</v>
      </c>
      <c r="AB149" s="54" t="s">
        <v>139</v>
      </c>
      <c r="AC149" s="54" t="s">
        <v>2667</v>
      </c>
      <c r="AD149" s="54" t="s">
        <v>139</v>
      </c>
      <c r="AE149" s="55"/>
      <c r="AF149" s="56"/>
      <c r="AG149" s="56"/>
      <c r="AH149" s="57"/>
      <c r="AI149" s="56"/>
      <c r="AJ149" s="56"/>
      <c r="AK149" s="56"/>
      <c r="AL149" s="3" t="s">
        <v>1582</v>
      </c>
    </row>
    <row r="150" spans="2:38" ht="40.5" hidden="1">
      <c r="B150" s="144">
        <f t="shared" si="2"/>
        <v>147</v>
      </c>
      <c r="C150" s="148" t="s">
        <v>3732</v>
      </c>
      <c r="D150" s="148"/>
      <c r="E150" s="148"/>
      <c r="F150" s="148"/>
      <c r="G150" s="148"/>
      <c r="H150" s="148"/>
      <c r="I150" s="148"/>
      <c r="J150" s="148"/>
      <c r="K150" s="165" t="s">
        <v>3679</v>
      </c>
      <c r="L150" s="65" t="s">
        <v>3651</v>
      </c>
      <c r="M150" s="165"/>
      <c r="N150" s="65"/>
      <c r="O150" s="65" t="s">
        <v>2468</v>
      </c>
      <c r="P150" s="65" t="s">
        <v>2468</v>
      </c>
      <c r="Q150" s="54" t="s">
        <v>1637</v>
      </c>
      <c r="R150" s="41" t="s">
        <v>2543</v>
      </c>
      <c r="S150" s="41" t="s">
        <v>2544</v>
      </c>
      <c r="T150" s="41"/>
      <c r="U150" s="41" t="s">
        <v>139</v>
      </c>
      <c r="V150" s="41" t="s">
        <v>139</v>
      </c>
      <c r="W150" s="41" t="s">
        <v>139</v>
      </c>
      <c r="X150" s="41" t="s">
        <v>2670</v>
      </c>
      <c r="Y150" s="41" t="s">
        <v>139</v>
      </c>
      <c r="Z150" s="73" t="s">
        <v>139</v>
      </c>
      <c r="AA150" s="54" t="s">
        <v>139</v>
      </c>
      <c r="AB150" s="54" t="s">
        <v>139</v>
      </c>
      <c r="AC150" s="54" t="s">
        <v>2667</v>
      </c>
      <c r="AD150" s="54" t="s">
        <v>139</v>
      </c>
      <c r="AE150" s="55"/>
      <c r="AF150" s="56"/>
      <c r="AG150" s="56"/>
      <c r="AH150" s="57"/>
      <c r="AI150" s="56"/>
      <c r="AJ150" s="56"/>
      <c r="AK150" s="56"/>
      <c r="AL150" s="3" t="s">
        <v>1582</v>
      </c>
    </row>
    <row r="151" spans="2:38" ht="40.5" hidden="1">
      <c r="B151" s="144">
        <f t="shared" si="2"/>
        <v>148</v>
      </c>
      <c r="C151" s="148" t="s">
        <v>3732</v>
      </c>
      <c r="D151" s="148"/>
      <c r="E151" s="148"/>
      <c r="F151" s="148"/>
      <c r="G151" s="148"/>
      <c r="H151" s="148"/>
      <c r="I151" s="148"/>
      <c r="J151" s="148"/>
      <c r="K151" s="165" t="s">
        <v>3679</v>
      </c>
      <c r="L151" s="65" t="s">
        <v>3651</v>
      </c>
      <c r="M151" s="165"/>
      <c r="N151" s="65"/>
      <c r="O151" s="65" t="s">
        <v>2415</v>
      </c>
      <c r="P151" s="65" t="s">
        <v>2415</v>
      </c>
      <c r="Q151" s="54" t="s">
        <v>1637</v>
      </c>
      <c r="R151" s="41" t="s">
        <v>2448</v>
      </c>
      <c r="S151" s="41" t="s">
        <v>2449</v>
      </c>
      <c r="T151" s="41"/>
      <c r="U151" s="41" t="s">
        <v>139</v>
      </c>
      <c r="V151" s="41" t="s">
        <v>139</v>
      </c>
      <c r="W151" s="41" t="s">
        <v>139</v>
      </c>
      <c r="X151" s="41" t="s">
        <v>2670</v>
      </c>
      <c r="Y151" s="41" t="s">
        <v>139</v>
      </c>
      <c r="Z151" s="73" t="s">
        <v>139</v>
      </c>
      <c r="AA151" s="54" t="s">
        <v>139</v>
      </c>
      <c r="AB151" s="54" t="s">
        <v>139</v>
      </c>
      <c r="AC151" s="54" t="s">
        <v>2667</v>
      </c>
      <c r="AD151" s="54" t="s">
        <v>139</v>
      </c>
      <c r="AE151" s="55"/>
      <c r="AF151" s="56"/>
      <c r="AG151" s="56"/>
      <c r="AH151" s="57"/>
      <c r="AI151" s="56"/>
      <c r="AJ151" s="56"/>
      <c r="AK151" s="56"/>
      <c r="AL151" s="3" t="s">
        <v>1582</v>
      </c>
    </row>
    <row r="152" spans="2:38" ht="40.5" hidden="1">
      <c r="B152" s="144">
        <f t="shared" si="2"/>
        <v>149</v>
      </c>
      <c r="C152" s="148" t="s">
        <v>3732</v>
      </c>
      <c r="D152" s="148"/>
      <c r="E152" s="148"/>
      <c r="F152" s="148"/>
      <c r="G152" s="148"/>
      <c r="H152" s="148"/>
      <c r="I152" s="148"/>
      <c r="J152" s="148"/>
      <c r="K152" s="165" t="s">
        <v>3679</v>
      </c>
      <c r="L152" s="65" t="s">
        <v>3651</v>
      </c>
      <c r="M152" s="165"/>
      <c r="N152" s="65"/>
      <c r="O152" s="65" t="s">
        <v>2411</v>
      </c>
      <c r="P152" s="65" t="s">
        <v>2411</v>
      </c>
      <c r="Q152" s="54" t="s">
        <v>1637</v>
      </c>
      <c r="R152" s="41" t="s">
        <v>2545</v>
      </c>
      <c r="S152" s="41" t="s">
        <v>2410</v>
      </c>
      <c r="T152" s="41"/>
      <c r="U152" s="41" t="s">
        <v>139</v>
      </c>
      <c r="V152" s="41" t="s">
        <v>139</v>
      </c>
      <c r="W152" s="41" t="s">
        <v>139</v>
      </c>
      <c r="X152" s="41" t="s">
        <v>2670</v>
      </c>
      <c r="Y152" s="41" t="s">
        <v>139</v>
      </c>
      <c r="Z152" s="73" t="s">
        <v>139</v>
      </c>
      <c r="AA152" s="54" t="s">
        <v>139</v>
      </c>
      <c r="AB152" s="54" t="s">
        <v>139</v>
      </c>
      <c r="AC152" s="54" t="s">
        <v>2667</v>
      </c>
      <c r="AD152" s="54" t="s">
        <v>139</v>
      </c>
      <c r="AE152" s="55"/>
      <c r="AF152" s="56"/>
      <c r="AG152" s="56"/>
      <c r="AH152" s="57"/>
      <c r="AI152" s="56"/>
      <c r="AJ152" s="56"/>
      <c r="AK152" s="56"/>
      <c r="AL152" s="3" t="s">
        <v>1582</v>
      </c>
    </row>
    <row r="153" spans="2:38" ht="40.5" hidden="1">
      <c r="B153" s="144">
        <f t="shared" si="2"/>
        <v>150</v>
      </c>
      <c r="C153" s="148" t="s">
        <v>3732</v>
      </c>
      <c r="D153" s="148"/>
      <c r="E153" s="148"/>
      <c r="F153" s="148"/>
      <c r="G153" s="148"/>
      <c r="H153" s="148"/>
      <c r="I153" s="148"/>
      <c r="J153" s="148"/>
      <c r="K153" s="165" t="s">
        <v>3679</v>
      </c>
      <c r="L153" s="65" t="s">
        <v>3651</v>
      </c>
      <c r="M153" s="65"/>
      <c r="N153" s="65"/>
      <c r="O153" s="65" t="s">
        <v>2393</v>
      </c>
      <c r="P153" s="65" t="s">
        <v>2393</v>
      </c>
      <c r="Q153" s="54" t="s">
        <v>1637</v>
      </c>
      <c r="R153" s="41" t="s">
        <v>2618</v>
      </c>
      <c r="S153" s="41" t="s">
        <v>2441</v>
      </c>
      <c r="T153" s="41"/>
      <c r="U153" s="41" t="s">
        <v>139</v>
      </c>
      <c r="V153" s="41" t="s">
        <v>139</v>
      </c>
      <c r="W153" s="41" t="s">
        <v>139</v>
      </c>
      <c r="X153" s="41" t="s">
        <v>2670</v>
      </c>
      <c r="Y153" s="41" t="s">
        <v>139</v>
      </c>
      <c r="Z153" s="73" t="s">
        <v>139</v>
      </c>
      <c r="AA153" s="54" t="s">
        <v>139</v>
      </c>
      <c r="AB153" s="54" t="s">
        <v>139</v>
      </c>
      <c r="AC153" s="54" t="s">
        <v>2667</v>
      </c>
      <c r="AD153" s="54" t="s">
        <v>139</v>
      </c>
      <c r="AE153" s="55"/>
      <c r="AF153" s="56"/>
      <c r="AG153" s="56"/>
      <c r="AH153" s="57"/>
      <c r="AI153" s="56"/>
      <c r="AJ153" s="56"/>
      <c r="AK153" s="56"/>
      <c r="AL153" s="3" t="s">
        <v>1582</v>
      </c>
    </row>
    <row r="154" spans="2:38" ht="40.5" hidden="1">
      <c r="B154" s="144">
        <f t="shared" si="2"/>
        <v>151</v>
      </c>
      <c r="C154" s="148" t="s">
        <v>3732</v>
      </c>
      <c r="D154" s="148"/>
      <c r="E154" s="148"/>
      <c r="F154" s="148"/>
      <c r="G154" s="148"/>
      <c r="H154" s="148"/>
      <c r="I154" s="148"/>
      <c r="J154" s="148"/>
      <c r="K154" s="165" t="s">
        <v>3679</v>
      </c>
      <c r="L154" s="65" t="s">
        <v>3651</v>
      </c>
      <c r="M154" s="65"/>
      <c r="N154" s="65"/>
      <c r="O154" s="65" t="s">
        <v>2424</v>
      </c>
      <c r="P154" s="65" t="s">
        <v>2424</v>
      </c>
      <c r="Q154" s="54" t="s">
        <v>1637</v>
      </c>
      <c r="R154" s="41" t="s">
        <v>2619</v>
      </c>
      <c r="S154" s="41" t="s">
        <v>2452</v>
      </c>
      <c r="T154" s="41"/>
      <c r="U154" s="41" t="s">
        <v>139</v>
      </c>
      <c r="V154" s="41" t="s">
        <v>139</v>
      </c>
      <c r="W154" s="41" t="s">
        <v>139</v>
      </c>
      <c r="X154" s="41" t="s">
        <v>2670</v>
      </c>
      <c r="Y154" s="41" t="s">
        <v>139</v>
      </c>
      <c r="Z154" s="73" t="s">
        <v>139</v>
      </c>
      <c r="AA154" s="54" t="s">
        <v>139</v>
      </c>
      <c r="AB154" s="54" t="s">
        <v>139</v>
      </c>
      <c r="AC154" s="54" t="s">
        <v>2667</v>
      </c>
      <c r="AD154" s="54" t="s">
        <v>139</v>
      </c>
      <c r="AE154" s="55"/>
      <c r="AF154" s="56"/>
      <c r="AG154" s="56"/>
      <c r="AH154" s="57"/>
      <c r="AI154" s="56"/>
      <c r="AJ154" s="56"/>
      <c r="AK154" s="56"/>
      <c r="AL154" s="3" t="s">
        <v>1582</v>
      </c>
    </row>
    <row r="155" spans="2:38" ht="40.5" hidden="1">
      <c r="B155" s="144">
        <f t="shared" si="2"/>
        <v>152</v>
      </c>
      <c r="C155" s="148" t="s">
        <v>3732</v>
      </c>
      <c r="D155" s="148"/>
      <c r="E155" s="148"/>
      <c r="F155" s="148"/>
      <c r="G155" s="148"/>
      <c r="H155" s="148"/>
      <c r="I155" s="148"/>
      <c r="J155" s="148"/>
      <c r="K155" s="165" t="s">
        <v>3679</v>
      </c>
      <c r="L155" s="65" t="s">
        <v>3651</v>
      </c>
      <c r="M155" s="65"/>
      <c r="N155" s="65"/>
      <c r="O155" s="65" t="s">
        <v>2431</v>
      </c>
      <c r="P155" s="65" t="s">
        <v>2431</v>
      </c>
      <c r="Q155" s="54" t="s">
        <v>1637</v>
      </c>
      <c r="R155" s="41" t="s">
        <v>2453</v>
      </c>
      <c r="S155" s="41" t="s">
        <v>2454</v>
      </c>
      <c r="T155" s="41"/>
      <c r="U155" s="41" t="s">
        <v>139</v>
      </c>
      <c r="V155" s="41" t="s">
        <v>139</v>
      </c>
      <c r="W155" s="41" t="s">
        <v>139</v>
      </c>
      <c r="X155" s="41" t="s">
        <v>2670</v>
      </c>
      <c r="Y155" s="41" t="s">
        <v>139</v>
      </c>
      <c r="Z155" s="73" t="s">
        <v>139</v>
      </c>
      <c r="AA155" s="54" t="s">
        <v>139</v>
      </c>
      <c r="AB155" s="54" t="s">
        <v>139</v>
      </c>
      <c r="AC155" s="54" t="s">
        <v>2667</v>
      </c>
      <c r="AD155" s="54" t="s">
        <v>139</v>
      </c>
      <c r="AE155" s="55"/>
      <c r="AF155" s="56"/>
      <c r="AG155" s="56"/>
      <c r="AH155" s="57"/>
      <c r="AI155" s="56"/>
      <c r="AJ155" s="56"/>
      <c r="AK155" s="56"/>
      <c r="AL155" s="3" t="s">
        <v>1582</v>
      </c>
    </row>
    <row r="156" spans="2:38" hidden="1">
      <c r="B156" s="144">
        <f t="shared" si="2"/>
        <v>153</v>
      </c>
      <c r="C156" s="148" t="s">
        <v>3732</v>
      </c>
      <c r="D156" s="148"/>
      <c r="E156" s="148"/>
      <c r="F156" s="148"/>
      <c r="G156" s="148"/>
      <c r="H156" s="148"/>
      <c r="I156" s="148"/>
      <c r="J156" s="148"/>
      <c r="K156" s="165" t="s">
        <v>3679</v>
      </c>
      <c r="L156" s="165" t="s">
        <v>3681</v>
      </c>
      <c r="M156" s="165"/>
      <c r="N156" s="165"/>
      <c r="O156" s="165" t="s">
        <v>3579</v>
      </c>
      <c r="P156" s="165" t="s">
        <v>2222</v>
      </c>
      <c r="Q156" s="126" t="s">
        <v>1637</v>
      </c>
      <c r="R156" s="68" t="s">
        <v>2183</v>
      </c>
      <c r="S156" s="40"/>
      <c r="T156" s="40" t="s">
        <v>139</v>
      </c>
      <c r="U156" s="41" t="s">
        <v>139</v>
      </c>
      <c r="V156" s="41" t="s">
        <v>139</v>
      </c>
      <c r="W156" s="41" t="s">
        <v>139</v>
      </c>
      <c r="X156" s="41" t="s">
        <v>2174</v>
      </c>
      <c r="Y156" s="41" t="s">
        <v>139</v>
      </c>
      <c r="Z156" s="74" t="s">
        <v>139</v>
      </c>
      <c r="AA156" s="41" t="s">
        <v>139</v>
      </c>
      <c r="AB156" s="41" t="s">
        <v>139</v>
      </c>
      <c r="AC156" s="41" t="s">
        <v>2174</v>
      </c>
      <c r="AD156" s="41" t="s">
        <v>139</v>
      </c>
      <c r="AE156" s="44"/>
      <c r="AF156" s="45"/>
      <c r="AG156" s="45"/>
      <c r="AH156" s="46"/>
      <c r="AI156" s="45"/>
      <c r="AJ156" s="45"/>
      <c r="AK156" s="45"/>
      <c r="AL156" s="3" t="s">
        <v>1582</v>
      </c>
    </row>
    <row r="157" spans="2:38" hidden="1">
      <c r="B157" s="144">
        <f t="shared" si="2"/>
        <v>154</v>
      </c>
      <c r="C157" s="148" t="s">
        <v>3732</v>
      </c>
      <c r="D157" s="148"/>
      <c r="E157" s="148"/>
      <c r="F157" s="148"/>
      <c r="G157" s="148"/>
      <c r="H157" s="148"/>
      <c r="I157" s="148"/>
      <c r="J157" s="148"/>
      <c r="K157" s="165" t="s">
        <v>3679</v>
      </c>
      <c r="L157" s="165" t="s">
        <v>3681</v>
      </c>
      <c r="M157" s="165"/>
      <c r="N157" s="165"/>
      <c r="O157" s="165" t="s">
        <v>3580</v>
      </c>
      <c r="P157" s="165" t="s">
        <v>2223</v>
      </c>
      <c r="Q157" s="126" t="s">
        <v>1637</v>
      </c>
      <c r="R157" s="68" t="s">
        <v>2182</v>
      </c>
      <c r="S157" s="40"/>
      <c r="T157" s="40" t="s">
        <v>139</v>
      </c>
      <c r="U157" s="41" t="s">
        <v>139</v>
      </c>
      <c r="V157" s="41" t="s">
        <v>139</v>
      </c>
      <c r="W157" s="41" t="s">
        <v>139</v>
      </c>
      <c r="X157" s="41" t="s">
        <v>2174</v>
      </c>
      <c r="Y157" s="41" t="s">
        <v>139</v>
      </c>
      <c r="Z157" s="74" t="s">
        <v>139</v>
      </c>
      <c r="AA157" s="41" t="s">
        <v>139</v>
      </c>
      <c r="AB157" s="41" t="s">
        <v>139</v>
      </c>
      <c r="AC157" s="41" t="s">
        <v>2174</v>
      </c>
      <c r="AD157" s="41" t="s">
        <v>139</v>
      </c>
      <c r="AE157" s="44"/>
      <c r="AF157" s="45"/>
      <c r="AG157" s="45"/>
      <c r="AH157" s="46"/>
      <c r="AI157" s="45"/>
      <c r="AJ157" s="45"/>
      <c r="AK157" s="45"/>
      <c r="AL157" s="3" t="s">
        <v>1582</v>
      </c>
    </row>
    <row r="158" spans="2:38" hidden="1">
      <c r="B158" s="144">
        <f t="shared" si="2"/>
        <v>155</v>
      </c>
      <c r="C158" s="148" t="s">
        <v>3732</v>
      </c>
      <c r="D158" s="148"/>
      <c r="E158" s="148"/>
      <c r="F158" s="148"/>
      <c r="G158" s="148"/>
      <c r="H158" s="148"/>
      <c r="I158" s="148"/>
      <c r="J158" s="148"/>
      <c r="K158" s="165" t="s">
        <v>3679</v>
      </c>
      <c r="L158" s="165" t="s">
        <v>3681</v>
      </c>
      <c r="M158" s="165"/>
      <c r="N158" s="165"/>
      <c r="O158" s="165" t="s">
        <v>3581</v>
      </c>
      <c r="P158" s="165" t="s">
        <v>2227</v>
      </c>
      <c r="Q158" s="126" t="s">
        <v>1637</v>
      </c>
      <c r="R158" s="68" t="s">
        <v>2179</v>
      </c>
      <c r="S158" s="40"/>
      <c r="T158" s="40" t="s">
        <v>139</v>
      </c>
      <c r="U158" s="41" t="s">
        <v>139</v>
      </c>
      <c r="V158" s="41" t="s">
        <v>139</v>
      </c>
      <c r="W158" s="41" t="s">
        <v>139</v>
      </c>
      <c r="X158" s="41" t="s">
        <v>2174</v>
      </c>
      <c r="Y158" s="41" t="s">
        <v>139</v>
      </c>
      <c r="Z158" s="74" t="s">
        <v>139</v>
      </c>
      <c r="AA158" s="41" t="s">
        <v>139</v>
      </c>
      <c r="AB158" s="41" t="s">
        <v>139</v>
      </c>
      <c r="AC158" s="41" t="s">
        <v>2174</v>
      </c>
      <c r="AD158" s="41" t="s">
        <v>139</v>
      </c>
      <c r="AE158" s="44"/>
      <c r="AF158" s="45"/>
      <c r="AG158" s="45"/>
      <c r="AH158" s="46"/>
      <c r="AI158" s="45"/>
      <c r="AJ158" s="45"/>
      <c r="AK158" s="45"/>
      <c r="AL158" s="3" t="s">
        <v>1582</v>
      </c>
    </row>
    <row r="159" spans="2:38" hidden="1">
      <c r="B159" s="144">
        <f t="shared" si="2"/>
        <v>156</v>
      </c>
      <c r="C159" s="148" t="s">
        <v>3732</v>
      </c>
      <c r="D159" s="148"/>
      <c r="E159" s="148"/>
      <c r="F159" s="148"/>
      <c r="G159" s="148"/>
      <c r="H159" s="148"/>
      <c r="I159" s="148"/>
      <c r="J159" s="148"/>
      <c r="K159" s="165" t="s">
        <v>3679</v>
      </c>
      <c r="L159" s="165" t="s">
        <v>3681</v>
      </c>
      <c r="M159" s="165"/>
      <c r="N159" s="165"/>
      <c r="O159" s="165" t="s">
        <v>3582</v>
      </c>
      <c r="P159" s="165" t="s">
        <v>2224</v>
      </c>
      <c r="Q159" s="126" t="s">
        <v>1637</v>
      </c>
      <c r="R159" s="68" t="s">
        <v>2181</v>
      </c>
      <c r="S159" s="40"/>
      <c r="T159" s="40" t="s">
        <v>139</v>
      </c>
      <c r="U159" s="41" t="s">
        <v>139</v>
      </c>
      <c r="V159" s="41" t="s">
        <v>139</v>
      </c>
      <c r="W159" s="41" t="s">
        <v>139</v>
      </c>
      <c r="X159" s="41" t="s">
        <v>2174</v>
      </c>
      <c r="Y159" s="41" t="s">
        <v>139</v>
      </c>
      <c r="Z159" s="74" t="s">
        <v>139</v>
      </c>
      <c r="AA159" s="41" t="s">
        <v>139</v>
      </c>
      <c r="AB159" s="41" t="s">
        <v>139</v>
      </c>
      <c r="AC159" s="41" t="s">
        <v>2174</v>
      </c>
      <c r="AD159" s="41" t="s">
        <v>139</v>
      </c>
      <c r="AE159" s="44"/>
      <c r="AF159" s="45"/>
      <c r="AG159" s="45"/>
      <c r="AH159" s="46"/>
      <c r="AI159" s="45"/>
      <c r="AJ159" s="45"/>
      <c r="AK159" s="45"/>
      <c r="AL159" s="3" t="s">
        <v>1582</v>
      </c>
    </row>
    <row r="160" spans="2:38" hidden="1">
      <c r="B160" s="144">
        <f t="shared" si="2"/>
        <v>157</v>
      </c>
      <c r="C160" s="148" t="s">
        <v>3732</v>
      </c>
      <c r="D160" s="148"/>
      <c r="E160" s="148"/>
      <c r="F160" s="148"/>
      <c r="G160" s="148"/>
      <c r="H160" s="148"/>
      <c r="I160" s="148"/>
      <c r="J160" s="148"/>
      <c r="K160" s="165" t="s">
        <v>3679</v>
      </c>
      <c r="L160" s="165" t="s">
        <v>3681</v>
      </c>
      <c r="M160" s="165"/>
      <c r="N160" s="165"/>
      <c r="O160" s="165" t="s">
        <v>3587</v>
      </c>
      <c r="P160" s="165" t="s">
        <v>2225</v>
      </c>
      <c r="Q160" s="126" t="s">
        <v>1637</v>
      </c>
      <c r="R160" s="68" t="s">
        <v>2180</v>
      </c>
      <c r="S160" s="40"/>
      <c r="T160" s="40" t="s">
        <v>139</v>
      </c>
      <c r="U160" s="41" t="s">
        <v>139</v>
      </c>
      <c r="V160" s="41" t="s">
        <v>139</v>
      </c>
      <c r="W160" s="41" t="s">
        <v>139</v>
      </c>
      <c r="X160" s="41" t="s">
        <v>2174</v>
      </c>
      <c r="Y160" s="41" t="s">
        <v>139</v>
      </c>
      <c r="Z160" s="74" t="s">
        <v>139</v>
      </c>
      <c r="AA160" s="41" t="s">
        <v>139</v>
      </c>
      <c r="AB160" s="41" t="s">
        <v>139</v>
      </c>
      <c r="AC160" s="41" t="s">
        <v>2174</v>
      </c>
      <c r="AD160" s="41" t="s">
        <v>139</v>
      </c>
      <c r="AE160" s="44"/>
      <c r="AF160" s="45"/>
      <c r="AG160" s="45"/>
      <c r="AH160" s="46"/>
      <c r="AI160" s="45"/>
      <c r="AJ160" s="45"/>
      <c r="AK160" s="45"/>
      <c r="AL160" s="3" t="s">
        <v>1582</v>
      </c>
    </row>
    <row r="161" spans="1:38" hidden="1">
      <c r="B161" s="144">
        <f t="shared" si="2"/>
        <v>158</v>
      </c>
      <c r="C161" s="148" t="s">
        <v>3732</v>
      </c>
      <c r="D161" s="148"/>
      <c r="E161" s="148"/>
      <c r="F161" s="148"/>
      <c r="G161" s="148"/>
      <c r="H161" s="148"/>
      <c r="I161" s="148"/>
      <c r="J161" s="148"/>
      <c r="K161" s="165" t="s">
        <v>3679</v>
      </c>
      <c r="L161" s="165" t="s">
        <v>3681</v>
      </c>
      <c r="M161" s="165"/>
      <c r="N161" s="165"/>
      <c r="O161" s="165" t="s">
        <v>3588</v>
      </c>
      <c r="P161" s="165" t="s">
        <v>2220</v>
      </c>
      <c r="Q161" s="126" t="s">
        <v>1637</v>
      </c>
      <c r="R161" s="68" t="s">
        <v>2176</v>
      </c>
      <c r="S161" s="40"/>
      <c r="T161" s="40" t="s">
        <v>139</v>
      </c>
      <c r="U161" s="41" t="s">
        <v>139</v>
      </c>
      <c r="V161" s="41" t="s">
        <v>139</v>
      </c>
      <c r="W161" s="41" t="s">
        <v>139</v>
      </c>
      <c r="X161" s="41" t="s">
        <v>2174</v>
      </c>
      <c r="Y161" s="41" t="s">
        <v>139</v>
      </c>
      <c r="Z161" s="74" t="s">
        <v>139</v>
      </c>
      <c r="AA161" s="41" t="s">
        <v>139</v>
      </c>
      <c r="AB161" s="41" t="s">
        <v>139</v>
      </c>
      <c r="AC161" s="41" t="s">
        <v>2174</v>
      </c>
      <c r="AD161" s="41" t="s">
        <v>139</v>
      </c>
      <c r="AE161" s="44"/>
      <c r="AF161" s="45"/>
      <c r="AG161" s="45"/>
      <c r="AH161" s="46"/>
      <c r="AI161" s="45"/>
      <c r="AJ161" s="45"/>
      <c r="AK161" s="45"/>
      <c r="AL161" s="3" t="s">
        <v>1582</v>
      </c>
    </row>
    <row r="162" spans="1:38" hidden="1">
      <c r="B162" s="144">
        <f t="shared" si="2"/>
        <v>159</v>
      </c>
      <c r="C162" s="148" t="s">
        <v>3732</v>
      </c>
      <c r="D162" s="148"/>
      <c r="E162" s="148"/>
      <c r="F162" s="148"/>
      <c r="G162" s="148"/>
      <c r="H162" s="148"/>
      <c r="I162" s="148"/>
      <c r="J162" s="148"/>
      <c r="K162" s="165" t="s">
        <v>3679</v>
      </c>
      <c r="L162" s="165" t="s">
        <v>3681</v>
      </c>
      <c r="M162" s="165"/>
      <c r="N162" s="165"/>
      <c r="O162" s="165" t="s">
        <v>3592</v>
      </c>
      <c r="P162" s="165" t="s">
        <v>2219</v>
      </c>
      <c r="Q162" s="126" t="s">
        <v>1637</v>
      </c>
      <c r="R162" s="68" t="s">
        <v>2175</v>
      </c>
      <c r="S162" s="40"/>
      <c r="T162" s="40" t="s">
        <v>139</v>
      </c>
      <c r="U162" s="41" t="s">
        <v>139</v>
      </c>
      <c r="V162" s="41" t="s">
        <v>139</v>
      </c>
      <c r="W162" s="41" t="s">
        <v>139</v>
      </c>
      <c r="X162" s="41" t="s">
        <v>2174</v>
      </c>
      <c r="Y162" s="41" t="s">
        <v>139</v>
      </c>
      <c r="Z162" s="74" t="s">
        <v>139</v>
      </c>
      <c r="AA162" s="41" t="s">
        <v>139</v>
      </c>
      <c r="AB162" s="41" t="s">
        <v>139</v>
      </c>
      <c r="AC162" s="41" t="s">
        <v>2174</v>
      </c>
      <c r="AD162" s="41" t="s">
        <v>139</v>
      </c>
      <c r="AE162" s="44"/>
      <c r="AF162" s="45"/>
      <c r="AG162" s="45"/>
      <c r="AH162" s="46"/>
      <c r="AI162" s="45"/>
      <c r="AJ162" s="45"/>
      <c r="AK162" s="45"/>
      <c r="AL162" s="3" t="s">
        <v>1582</v>
      </c>
    </row>
    <row r="163" spans="1:38" hidden="1">
      <c r="B163" s="144">
        <f t="shared" si="2"/>
        <v>160</v>
      </c>
      <c r="C163" s="148" t="s">
        <v>3732</v>
      </c>
      <c r="D163" s="148"/>
      <c r="E163" s="148"/>
      <c r="F163" s="148"/>
      <c r="G163" s="148"/>
      <c r="H163" s="148"/>
      <c r="I163" s="148"/>
      <c r="J163" s="148"/>
      <c r="K163" s="165" t="s">
        <v>3679</v>
      </c>
      <c r="L163" s="165" t="s">
        <v>3681</v>
      </c>
      <c r="M163" s="165"/>
      <c r="N163" s="165"/>
      <c r="O163" s="165" t="s">
        <v>3593</v>
      </c>
      <c r="P163" s="165" t="s">
        <v>2226</v>
      </c>
      <c r="Q163" s="126" t="s">
        <v>1637</v>
      </c>
      <c r="R163" s="68" t="s">
        <v>2180</v>
      </c>
      <c r="S163" s="40"/>
      <c r="T163" s="40" t="s">
        <v>139</v>
      </c>
      <c r="U163" s="41" t="s">
        <v>139</v>
      </c>
      <c r="V163" s="41" t="s">
        <v>139</v>
      </c>
      <c r="W163" s="41" t="s">
        <v>139</v>
      </c>
      <c r="X163" s="41" t="s">
        <v>2174</v>
      </c>
      <c r="Y163" s="41" t="s">
        <v>139</v>
      </c>
      <c r="Z163" s="74" t="s">
        <v>139</v>
      </c>
      <c r="AA163" s="41" t="s">
        <v>139</v>
      </c>
      <c r="AB163" s="41" t="s">
        <v>139</v>
      </c>
      <c r="AC163" s="41" t="s">
        <v>2174</v>
      </c>
      <c r="AD163" s="41" t="s">
        <v>139</v>
      </c>
      <c r="AE163" s="44"/>
      <c r="AF163" s="45"/>
      <c r="AG163" s="45"/>
      <c r="AH163" s="46"/>
      <c r="AI163" s="45"/>
      <c r="AJ163" s="45"/>
      <c r="AK163" s="45"/>
      <c r="AL163" s="3" t="s">
        <v>1582</v>
      </c>
    </row>
    <row r="164" spans="1:38" hidden="1">
      <c r="B164" s="144">
        <f t="shared" si="2"/>
        <v>161</v>
      </c>
      <c r="C164" s="148" t="s">
        <v>3732</v>
      </c>
      <c r="D164" s="148"/>
      <c r="E164" s="148"/>
      <c r="F164" s="148"/>
      <c r="G164" s="148"/>
      <c r="H164" s="148"/>
      <c r="I164" s="148"/>
      <c r="J164" s="148"/>
      <c r="K164" s="165" t="s">
        <v>3679</v>
      </c>
      <c r="L164" s="165" t="s">
        <v>3681</v>
      </c>
      <c r="M164" s="165"/>
      <c r="N164" s="165"/>
      <c r="O164" s="165" t="s">
        <v>3589</v>
      </c>
      <c r="P164" s="165" t="s">
        <v>2228</v>
      </c>
      <c r="Q164" s="126" t="s">
        <v>1637</v>
      </c>
      <c r="R164" s="68" t="s">
        <v>2178</v>
      </c>
      <c r="S164" s="40"/>
      <c r="T164" s="40" t="s">
        <v>139</v>
      </c>
      <c r="U164" s="41" t="s">
        <v>139</v>
      </c>
      <c r="V164" s="41" t="s">
        <v>139</v>
      </c>
      <c r="W164" s="41" t="s">
        <v>139</v>
      </c>
      <c r="X164" s="41" t="s">
        <v>2174</v>
      </c>
      <c r="Y164" s="41" t="s">
        <v>139</v>
      </c>
      <c r="Z164" s="43" t="s">
        <v>139</v>
      </c>
      <c r="AA164" s="41" t="s">
        <v>139</v>
      </c>
      <c r="AB164" s="41" t="s">
        <v>139</v>
      </c>
      <c r="AC164" s="41" t="s">
        <v>2174</v>
      </c>
      <c r="AD164" s="41" t="s">
        <v>139</v>
      </c>
      <c r="AE164" s="44"/>
      <c r="AF164" s="45"/>
      <c r="AG164" s="45"/>
      <c r="AH164" s="46"/>
      <c r="AI164" s="45"/>
      <c r="AJ164" s="45"/>
      <c r="AK164" s="45"/>
      <c r="AL164" s="3" t="s">
        <v>1582</v>
      </c>
    </row>
    <row r="165" spans="1:38" hidden="1">
      <c r="B165" s="144">
        <f t="shared" si="2"/>
        <v>162</v>
      </c>
      <c r="C165" s="148" t="s">
        <v>3732</v>
      </c>
      <c r="D165" s="148"/>
      <c r="E165" s="148"/>
      <c r="F165" s="148"/>
      <c r="G165" s="148"/>
      <c r="H165" s="148"/>
      <c r="I165" s="148"/>
      <c r="J165" s="148"/>
      <c r="K165" s="165" t="s">
        <v>3679</v>
      </c>
      <c r="L165" s="165" t="s">
        <v>3681</v>
      </c>
      <c r="M165" s="165"/>
      <c r="N165" s="165"/>
      <c r="O165" s="165" t="s">
        <v>3590</v>
      </c>
      <c r="P165" s="165" t="s">
        <v>2221</v>
      </c>
      <c r="Q165" s="126" t="s">
        <v>1637</v>
      </c>
      <c r="R165" s="68" t="s">
        <v>2177</v>
      </c>
      <c r="S165" s="40"/>
      <c r="T165" s="40" t="s">
        <v>139</v>
      </c>
      <c r="U165" s="41" t="s">
        <v>139</v>
      </c>
      <c r="V165" s="41" t="s">
        <v>139</v>
      </c>
      <c r="W165" s="41" t="s">
        <v>139</v>
      </c>
      <c r="X165" s="41" t="s">
        <v>2174</v>
      </c>
      <c r="Y165" s="41" t="s">
        <v>139</v>
      </c>
      <c r="Z165" s="43" t="s">
        <v>139</v>
      </c>
      <c r="AA165" s="41" t="s">
        <v>139</v>
      </c>
      <c r="AB165" s="41" t="s">
        <v>139</v>
      </c>
      <c r="AC165" s="41" t="s">
        <v>2174</v>
      </c>
      <c r="AD165" s="41" t="s">
        <v>139</v>
      </c>
      <c r="AE165" s="44"/>
      <c r="AF165" s="45"/>
      <c r="AG165" s="45"/>
      <c r="AH165" s="46"/>
      <c r="AI165" s="45"/>
      <c r="AJ165" s="45"/>
      <c r="AK165" s="45"/>
      <c r="AL165" s="3" t="s">
        <v>1582</v>
      </c>
    </row>
    <row r="166" spans="1:38" ht="40.5" hidden="1">
      <c r="B166" s="144">
        <f t="shared" si="2"/>
        <v>163</v>
      </c>
      <c r="C166" s="148" t="s">
        <v>3732</v>
      </c>
      <c r="D166" s="148"/>
      <c r="E166" s="148"/>
      <c r="F166" s="148"/>
      <c r="G166" s="148"/>
      <c r="H166" s="148"/>
      <c r="I166" s="148"/>
      <c r="J166" s="148"/>
      <c r="K166" s="165" t="s">
        <v>3679</v>
      </c>
      <c r="L166" s="165" t="s">
        <v>3681</v>
      </c>
      <c r="M166" s="165"/>
      <c r="N166" s="165"/>
      <c r="O166" s="165" t="s">
        <v>626</v>
      </c>
      <c r="P166" s="165" t="s">
        <v>626</v>
      </c>
      <c r="Q166" s="126" t="s">
        <v>627</v>
      </c>
      <c r="R166" s="40" t="s">
        <v>1630</v>
      </c>
      <c r="S166" s="40"/>
      <c r="T166" s="40" t="s">
        <v>139</v>
      </c>
      <c r="U166" s="41" t="s">
        <v>139</v>
      </c>
      <c r="V166" s="41" t="s">
        <v>139</v>
      </c>
      <c r="W166" s="41" t="s">
        <v>139</v>
      </c>
      <c r="X166" s="41" t="s">
        <v>628</v>
      </c>
      <c r="Y166" s="41" t="s">
        <v>139</v>
      </c>
      <c r="Z166" s="74" t="s">
        <v>139</v>
      </c>
      <c r="AA166" s="41" t="s">
        <v>139</v>
      </c>
      <c r="AB166" s="41" t="s">
        <v>139</v>
      </c>
      <c r="AC166" s="41" t="s">
        <v>532</v>
      </c>
      <c r="AD166" s="41" t="s">
        <v>139</v>
      </c>
      <c r="AE166" s="44"/>
      <c r="AF166" s="45"/>
      <c r="AG166" s="45"/>
      <c r="AH166" s="46"/>
      <c r="AI166" s="45"/>
      <c r="AJ166" s="45"/>
      <c r="AK166" s="45"/>
      <c r="AL166" s="3" t="s">
        <v>1582</v>
      </c>
    </row>
    <row r="167" spans="1:38" hidden="1">
      <c r="A167" s="176" t="s">
        <v>1583</v>
      </c>
      <c r="B167" s="177" t="s">
        <v>1582</v>
      </c>
      <c r="C167" s="177" t="s">
        <v>1582</v>
      </c>
      <c r="D167" s="177" t="s">
        <v>1582</v>
      </c>
      <c r="E167" s="177" t="s">
        <v>1582</v>
      </c>
      <c r="F167" s="177" t="s">
        <v>1582</v>
      </c>
      <c r="G167" s="177" t="s">
        <v>1582</v>
      </c>
      <c r="H167" s="177" t="s">
        <v>1582</v>
      </c>
      <c r="I167" s="177" t="s">
        <v>1582</v>
      </c>
      <c r="J167" s="177" t="s">
        <v>1582</v>
      </c>
      <c r="K167" s="178" t="s">
        <v>1582</v>
      </c>
      <c r="L167" s="178" t="s">
        <v>1582</v>
      </c>
      <c r="M167" s="178" t="s">
        <v>1582</v>
      </c>
      <c r="N167" s="178" t="s">
        <v>1582</v>
      </c>
      <c r="O167" s="178" t="s">
        <v>1582</v>
      </c>
      <c r="P167" s="178" t="s">
        <v>1582</v>
      </c>
      <c r="Q167" s="177" t="s">
        <v>1582</v>
      </c>
      <c r="R167" s="176" t="s">
        <v>1582</v>
      </c>
      <c r="S167" s="176" t="s">
        <v>1582</v>
      </c>
      <c r="T167" s="176" t="s">
        <v>1582</v>
      </c>
      <c r="U167" s="176" t="s">
        <v>1582</v>
      </c>
      <c r="V167" s="176" t="s">
        <v>1582</v>
      </c>
      <c r="W167" s="176" t="s">
        <v>1582</v>
      </c>
      <c r="X167" s="176" t="s">
        <v>1582</v>
      </c>
      <c r="Y167" s="176" t="s">
        <v>1582</v>
      </c>
      <c r="Z167" s="176" t="s">
        <v>1582</v>
      </c>
      <c r="AA167" s="176" t="s">
        <v>1582</v>
      </c>
      <c r="AB167" s="176" t="s">
        <v>1582</v>
      </c>
      <c r="AC167" s="176" t="s">
        <v>1582</v>
      </c>
      <c r="AD167" s="176" t="s">
        <v>1582</v>
      </c>
      <c r="AE167" s="176" t="s">
        <v>1582</v>
      </c>
      <c r="AF167" s="176" t="s">
        <v>1582</v>
      </c>
      <c r="AG167" s="176" t="s">
        <v>1582</v>
      </c>
      <c r="AH167" s="176" t="s">
        <v>1582</v>
      </c>
      <c r="AI167" s="176" t="s">
        <v>1582</v>
      </c>
      <c r="AJ167" s="176" t="s">
        <v>1582</v>
      </c>
      <c r="AK167" s="176" t="s">
        <v>1582</v>
      </c>
      <c r="AL167" s="176" t="s">
        <v>1582</v>
      </c>
    </row>
    <row r="170" spans="1:38">
      <c r="K170" s="165" t="s">
        <v>3679</v>
      </c>
      <c r="L170" s="96" t="s">
        <v>3736</v>
      </c>
      <c r="O170" s="96" t="s">
        <v>3737</v>
      </c>
      <c r="P170" s="4" t="s">
        <v>3738</v>
      </c>
      <c r="AH170" s="4">
        <v>1</v>
      </c>
    </row>
    <row r="171" spans="1:38">
      <c r="O171" s="96" t="s">
        <v>3739</v>
      </c>
      <c r="P171" s="4" t="s">
        <v>3740</v>
      </c>
    </row>
    <row r="172" spans="1:38">
      <c r="O172" s="96" t="s">
        <v>3742</v>
      </c>
      <c r="P172" s="4" t="s">
        <v>3745</v>
      </c>
    </row>
    <row r="173" spans="1:38">
      <c r="O173" s="96" t="s">
        <v>3743</v>
      </c>
      <c r="P173" s="4" t="s">
        <v>3744</v>
      </c>
    </row>
    <row r="174" spans="1:38">
      <c r="O174" s="96" t="s">
        <v>3741</v>
      </c>
      <c r="P174" s="4" t="s">
        <v>3746</v>
      </c>
    </row>
    <row r="175" spans="1:38">
      <c r="O175" s="96" t="s">
        <v>3747</v>
      </c>
      <c r="P175" s="4" t="s">
        <v>3748</v>
      </c>
    </row>
    <row r="176" spans="1:38">
      <c r="L176" s="96" t="s">
        <v>3749</v>
      </c>
      <c r="O176" s="96" t="s">
        <v>3784</v>
      </c>
      <c r="P176" s="96" t="s">
        <v>3737</v>
      </c>
      <c r="Q176" s="96" t="s">
        <v>3779</v>
      </c>
      <c r="R176" s="96" t="s">
        <v>3781</v>
      </c>
      <c r="S176" s="96" t="s">
        <v>3750</v>
      </c>
    </row>
    <row r="177" spans="12:19">
      <c r="Q177" s="96"/>
      <c r="R177" s="96"/>
      <c r="S177" s="96" t="s">
        <v>3751</v>
      </c>
    </row>
    <row r="178" spans="12:19">
      <c r="Q178" s="96"/>
      <c r="R178" s="96"/>
      <c r="S178" s="96" t="s">
        <v>3752</v>
      </c>
    </row>
    <row r="179" spans="12:19">
      <c r="Q179" s="96"/>
      <c r="R179" s="96"/>
      <c r="S179" s="96" t="s">
        <v>3753</v>
      </c>
    </row>
    <row r="180" spans="12:19">
      <c r="Q180" s="96"/>
      <c r="R180" s="96"/>
      <c r="S180" s="96" t="s">
        <v>3754</v>
      </c>
    </row>
    <row r="181" spans="12:19">
      <c r="Q181" s="96"/>
      <c r="R181" s="96" t="s">
        <v>3778</v>
      </c>
      <c r="S181" s="96" t="s">
        <v>3782</v>
      </c>
    </row>
    <row r="182" spans="12:19">
      <c r="Q182" s="96"/>
      <c r="R182" s="96"/>
      <c r="S182" s="96" t="s">
        <v>3783</v>
      </c>
    </row>
    <row r="183" spans="12:19">
      <c r="Q183" s="124" t="s">
        <v>3780</v>
      </c>
      <c r="R183" s="124" t="s">
        <v>3780</v>
      </c>
      <c r="S183" s="124" t="s">
        <v>3780</v>
      </c>
    </row>
    <row r="184" spans="12:19">
      <c r="P184" s="96" t="s">
        <v>3786</v>
      </c>
    </row>
    <row r="185" spans="12:19">
      <c r="P185" s="96" t="s">
        <v>3785</v>
      </c>
    </row>
    <row r="186" spans="12:19">
      <c r="P186" s="96" t="s">
        <v>3788</v>
      </c>
      <c r="Q186" s="124" t="s">
        <v>3787</v>
      </c>
      <c r="R186" s="4" t="s">
        <v>3789</v>
      </c>
    </row>
    <row r="187" spans="12:19">
      <c r="R187" s="4" t="s">
        <v>3794</v>
      </c>
    </row>
    <row r="188" spans="12:19">
      <c r="R188" s="4" t="s">
        <v>3790</v>
      </c>
    </row>
    <row r="189" spans="12:19">
      <c r="R189" s="4" t="s">
        <v>3791</v>
      </c>
    </row>
    <row r="190" spans="12:19">
      <c r="Q190" s="124" t="s">
        <v>3792</v>
      </c>
      <c r="R190" s="4" t="s">
        <v>3792</v>
      </c>
    </row>
    <row r="191" spans="12:19">
      <c r="R191" s="4" t="s">
        <v>3793</v>
      </c>
    </row>
    <row r="192" spans="12:19">
      <c r="L192" s="96" t="s">
        <v>3795</v>
      </c>
      <c r="O192" s="182" t="s">
        <v>3796</v>
      </c>
    </row>
  </sheetData>
  <autoFilter ref="B3:AL167" xr:uid="{00000000-0001-0000-0100-000000000000}">
    <filterColumn colId="1">
      <filters>
        <filter val="○"/>
      </filters>
    </filterColumn>
  </autoFilter>
  <phoneticPr fontId="7"/>
  <conditionalFormatting sqref="O4:O166">
    <cfRule type="expression" dxfId="4" priority="1">
      <formula>O4&lt;&gt;P4</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8C95-4EFB-46CE-80EB-7DB5BC2327CD}">
  <sheetPr>
    <tabColor theme="5" tint="0.79998168889431442"/>
  </sheetPr>
  <dimension ref="A1:K96"/>
  <sheetViews>
    <sheetView zoomScale="80" zoomScaleNormal="80" workbookViewId="0">
      <selection activeCell="G18" sqref="G18"/>
    </sheetView>
  </sheetViews>
  <sheetFormatPr defaultRowHeight="17.5"/>
  <cols>
    <col min="3" max="3" width="18.85546875" bestFit="1" customWidth="1"/>
    <col min="9" max="9" width="18.92578125" customWidth="1"/>
    <col min="10" max="10" width="17.42578125" bestFit="1" customWidth="1"/>
    <col min="11" max="11" width="17.28515625" bestFit="1" customWidth="1"/>
  </cols>
  <sheetData>
    <row r="1" spans="1:10">
      <c r="A1" t="s">
        <v>3875</v>
      </c>
      <c r="G1" t="s">
        <v>3876</v>
      </c>
    </row>
    <row r="2" spans="1:10">
      <c r="B2" s="191" t="s">
        <v>3834</v>
      </c>
      <c r="C2" s="191" t="s">
        <v>3835</v>
      </c>
      <c r="D2" s="191" t="s">
        <v>3836</v>
      </c>
      <c r="H2" s="191" t="s">
        <v>3834</v>
      </c>
      <c r="I2" s="191" t="s">
        <v>3835</v>
      </c>
      <c r="J2" s="191" t="s">
        <v>3836</v>
      </c>
    </row>
    <row r="3" spans="1:10">
      <c r="B3" t="s">
        <v>3837</v>
      </c>
      <c r="H3" t="s">
        <v>3837</v>
      </c>
    </row>
    <row r="4" spans="1:10">
      <c r="B4" t="s">
        <v>3838</v>
      </c>
      <c r="C4" t="s">
        <v>3069</v>
      </c>
      <c r="H4" t="s">
        <v>3838</v>
      </c>
      <c r="I4" t="s">
        <v>3069</v>
      </c>
    </row>
    <row r="5" spans="1:10">
      <c r="C5" t="s">
        <v>3841</v>
      </c>
      <c r="I5" t="s">
        <v>3878</v>
      </c>
    </row>
    <row r="6" spans="1:10">
      <c r="C6" t="s">
        <v>3839</v>
      </c>
      <c r="I6" t="s">
        <v>3879</v>
      </c>
    </row>
    <row r="7" spans="1:10">
      <c r="C7" t="s">
        <v>3842</v>
      </c>
      <c r="I7" t="s">
        <v>3880</v>
      </c>
    </row>
    <row r="8" spans="1:10">
      <c r="C8" t="s">
        <v>3843</v>
      </c>
      <c r="I8" t="s">
        <v>3881</v>
      </c>
    </row>
    <row r="9" spans="1:10">
      <c r="C9" t="s">
        <v>3844</v>
      </c>
      <c r="I9" t="s">
        <v>3877</v>
      </c>
    </row>
    <row r="10" spans="1:10">
      <c r="C10" t="s">
        <v>3840</v>
      </c>
      <c r="I10" t="s">
        <v>3882</v>
      </c>
    </row>
    <row r="11" spans="1:10">
      <c r="B11" t="s">
        <v>3845</v>
      </c>
      <c r="H11" t="s">
        <v>3845</v>
      </c>
    </row>
    <row r="12" spans="1:10">
      <c r="B12" t="s">
        <v>3704</v>
      </c>
      <c r="C12" t="s">
        <v>3846</v>
      </c>
      <c r="H12" t="s">
        <v>3704</v>
      </c>
      <c r="I12" t="s">
        <v>3846</v>
      </c>
    </row>
    <row r="13" spans="1:10">
      <c r="C13" t="s">
        <v>3847</v>
      </c>
      <c r="I13" t="s">
        <v>3847</v>
      </c>
    </row>
    <row r="14" spans="1:10">
      <c r="C14" t="s">
        <v>3624</v>
      </c>
      <c r="D14" t="s">
        <v>3848</v>
      </c>
      <c r="I14" t="s">
        <v>3624</v>
      </c>
    </row>
    <row r="15" spans="1:10">
      <c r="D15" t="s">
        <v>3849</v>
      </c>
      <c r="I15" t="s">
        <v>3625</v>
      </c>
    </row>
    <row r="16" spans="1:10">
      <c r="D16" t="s">
        <v>3850</v>
      </c>
      <c r="I16" t="s">
        <v>3852</v>
      </c>
    </row>
    <row r="17" spans="2:10">
      <c r="D17" t="s">
        <v>3851</v>
      </c>
      <c r="I17" t="s">
        <v>2732</v>
      </c>
    </row>
    <row r="18" spans="2:10">
      <c r="C18" t="s">
        <v>3625</v>
      </c>
      <c r="I18" t="s">
        <v>3947</v>
      </c>
    </row>
    <row r="19" spans="2:10">
      <c r="C19" t="s">
        <v>3852</v>
      </c>
      <c r="I19" t="s">
        <v>3628</v>
      </c>
    </row>
    <row r="20" spans="2:10">
      <c r="C20" t="s">
        <v>3853</v>
      </c>
      <c r="D20" t="s">
        <v>2732</v>
      </c>
      <c r="I20" t="s">
        <v>3946</v>
      </c>
    </row>
    <row r="21" spans="2:10">
      <c r="D21" t="s">
        <v>3874</v>
      </c>
      <c r="I21" t="s">
        <v>3854</v>
      </c>
    </row>
    <row r="22" spans="2:10">
      <c r="C22" t="s">
        <v>3628</v>
      </c>
      <c r="H22" t="s">
        <v>3855</v>
      </c>
    </row>
    <row r="23" spans="2:10">
      <c r="C23" t="s">
        <v>3629</v>
      </c>
      <c r="H23" t="s">
        <v>1987</v>
      </c>
      <c r="I23" t="s">
        <v>3856</v>
      </c>
      <c r="J23" t="s">
        <v>3885</v>
      </c>
    </row>
    <row r="24" spans="2:10">
      <c r="C24" t="s">
        <v>3854</v>
      </c>
      <c r="J24" t="s">
        <v>3883</v>
      </c>
    </row>
    <row r="25" spans="2:10">
      <c r="B25" t="s">
        <v>3855</v>
      </c>
      <c r="J25" t="s">
        <v>3884</v>
      </c>
    </row>
    <row r="26" spans="2:10">
      <c r="B26" t="s">
        <v>1987</v>
      </c>
      <c r="C26" t="s">
        <v>3856</v>
      </c>
      <c r="D26" t="s">
        <v>3857</v>
      </c>
      <c r="I26" t="s">
        <v>3859</v>
      </c>
      <c r="J26" t="s">
        <v>3886</v>
      </c>
    </row>
    <row r="27" spans="2:10">
      <c r="D27" t="s">
        <v>3858</v>
      </c>
      <c r="J27" t="s">
        <v>3887</v>
      </c>
    </row>
    <row r="28" spans="2:10">
      <c r="D28" t="s">
        <v>3640</v>
      </c>
      <c r="J28" t="s">
        <v>3888</v>
      </c>
    </row>
    <row r="29" spans="2:10">
      <c r="C29" t="s">
        <v>3859</v>
      </c>
      <c r="D29" t="s">
        <v>3860</v>
      </c>
      <c r="J29" t="s">
        <v>3889</v>
      </c>
    </row>
    <row r="30" spans="2:10">
      <c r="D30" t="s">
        <v>3861</v>
      </c>
      <c r="J30" t="s">
        <v>3890</v>
      </c>
    </row>
    <row r="31" spans="2:10">
      <c r="D31" t="s">
        <v>3862</v>
      </c>
      <c r="J31" t="s">
        <v>3891</v>
      </c>
    </row>
    <row r="32" spans="2:10">
      <c r="D32" t="s">
        <v>3863</v>
      </c>
      <c r="J32" t="s">
        <v>3892</v>
      </c>
    </row>
    <row r="33" spans="1:11">
      <c r="B33" t="s">
        <v>3864</v>
      </c>
      <c r="C33" t="s">
        <v>3865</v>
      </c>
      <c r="J33" t="s">
        <v>3893</v>
      </c>
    </row>
    <row r="34" spans="1:11">
      <c r="C34" t="s">
        <v>3866</v>
      </c>
      <c r="J34" t="s">
        <v>3894</v>
      </c>
    </row>
    <row r="35" spans="1:11">
      <c r="C35" t="s">
        <v>3867</v>
      </c>
      <c r="H35" t="s">
        <v>3873</v>
      </c>
      <c r="I35" t="s">
        <v>3868</v>
      </c>
      <c r="J35" t="s">
        <v>3869</v>
      </c>
      <c r="K35" t="s">
        <v>3948</v>
      </c>
    </row>
    <row r="36" spans="1:11">
      <c r="B36" t="s">
        <v>3868</v>
      </c>
      <c r="C36" t="s">
        <v>3869</v>
      </c>
      <c r="D36" s="192"/>
      <c r="K36" t="s">
        <v>3949</v>
      </c>
    </row>
    <row r="37" spans="1:11">
      <c r="C37" t="s">
        <v>3870</v>
      </c>
      <c r="D37" s="193"/>
      <c r="K37" t="s">
        <v>3950</v>
      </c>
    </row>
    <row r="38" spans="1:11">
      <c r="C38" t="s">
        <v>3871</v>
      </c>
      <c r="D38" s="192"/>
      <c r="K38" t="s">
        <v>3951</v>
      </c>
    </row>
    <row r="39" spans="1:11">
      <c r="C39" t="s">
        <v>3872</v>
      </c>
      <c r="K39" t="s">
        <v>3952</v>
      </c>
    </row>
    <row r="40" spans="1:11">
      <c r="B40" t="s">
        <v>2982</v>
      </c>
      <c r="J40" t="s">
        <v>3870</v>
      </c>
      <c r="K40" t="s">
        <v>3953</v>
      </c>
    </row>
    <row r="41" spans="1:11">
      <c r="B41" t="s">
        <v>3873</v>
      </c>
      <c r="K41" t="s">
        <v>3954</v>
      </c>
    </row>
    <row r="42" spans="1:11">
      <c r="K42" t="s">
        <v>3955</v>
      </c>
    </row>
    <row r="43" spans="1:11">
      <c r="K43" t="s">
        <v>3956</v>
      </c>
    </row>
    <row r="44" spans="1:11">
      <c r="A44" s="194"/>
      <c r="B44" s="194"/>
      <c r="C44" s="194"/>
      <c r="D44" s="194"/>
      <c r="E44" s="194"/>
      <c r="F44" s="194"/>
      <c r="J44" t="s">
        <v>3712</v>
      </c>
      <c r="K44" t="s">
        <v>3957</v>
      </c>
    </row>
    <row r="45" spans="1:11">
      <c r="K45" t="s">
        <v>3958</v>
      </c>
    </row>
    <row r="46" spans="1:11">
      <c r="K46" t="s">
        <v>3959</v>
      </c>
    </row>
    <row r="47" spans="1:11">
      <c r="B47" t="s">
        <v>3837</v>
      </c>
      <c r="I47" t="s">
        <v>3376</v>
      </c>
      <c r="J47" t="s">
        <v>3895</v>
      </c>
    </row>
    <row r="48" spans="1:11">
      <c r="B48" t="s">
        <v>3828</v>
      </c>
      <c r="C48" t="s">
        <v>3838</v>
      </c>
      <c r="J48" t="s">
        <v>3894</v>
      </c>
    </row>
    <row r="49" spans="2:10">
      <c r="C49" t="s">
        <v>3846</v>
      </c>
      <c r="I49" t="s">
        <v>3901</v>
      </c>
      <c r="J49" t="s">
        <v>3896</v>
      </c>
    </row>
    <row r="50" spans="2:10">
      <c r="C50" t="s">
        <v>3847</v>
      </c>
      <c r="J50" t="s">
        <v>3897</v>
      </c>
    </row>
    <row r="51" spans="2:10">
      <c r="C51" t="s">
        <v>3624</v>
      </c>
      <c r="J51" t="s">
        <v>3898</v>
      </c>
    </row>
    <row r="52" spans="2:10">
      <c r="C52" t="s">
        <v>3625</v>
      </c>
      <c r="J52" t="s">
        <v>3899</v>
      </c>
    </row>
    <row r="53" spans="2:10">
      <c r="C53" t="s">
        <v>3852</v>
      </c>
      <c r="J53" t="s">
        <v>3900</v>
      </c>
    </row>
    <row r="54" spans="2:10">
      <c r="C54" t="s">
        <v>3868</v>
      </c>
      <c r="I54" t="s">
        <v>3902</v>
      </c>
      <c r="J54" t="s">
        <v>3903</v>
      </c>
    </row>
    <row r="55" spans="2:10">
      <c r="B55" t="s">
        <v>3960</v>
      </c>
      <c r="J55" t="s">
        <v>3904</v>
      </c>
    </row>
    <row r="56" spans="2:10">
      <c r="B56" t="s">
        <v>3829</v>
      </c>
      <c r="C56" t="s">
        <v>3853</v>
      </c>
      <c r="J56" t="s">
        <v>3905</v>
      </c>
    </row>
    <row r="57" spans="2:10">
      <c r="C57" t="s">
        <v>3628</v>
      </c>
      <c r="J57" t="s">
        <v>3906</v>
      </c>
    </row>
    <row r="58" spans="2:10">
      <c r="C58" t="s">
        <v>3629</v>
      </c>
      <c r="J58" t="s">
        <v>3907</v>
      </c>
    </row>
    <row r="59" spans="2:10">
      <c r="C59" t="s">
        <v>3854</v>
      </c>
      <c r="J59" t="s">
        <v>3908</v>
      </c>
    </row>
    <row r="60" spans="2:10">
      <c r="C60" t="s">
        <v>1987</v>
      </c>
      <c r="J60" t="s">
        <v>3909</v>
      </c>
    </row>
    <row r="61" spans="2:10">
      <c r="C61" t="s">
        <v>3864</v>
      </c>
      <c r="J61" t="s">
        <v>3910</v>
      </c>
    </row>
    <row r="62" spans="2:10">
      <c r="C62" t="s">
        <v>2982</v>
      </c>
      <c r="J62" t="s">
        <v>3924</v>
      </c>
    </row>
    <row r="63" spans="2:10">
      <c r="C63" t="s">
        <v>3873</v>
      </c>
      <c r="J63" t="s">
        <v>3911</v>
      </c>
    </row>
    <row r="64" spans="2:10">
      <c r="B64" t="s">
        <v>3925</v>
      </c>
      <c r="J64" t="s">
        <v>3912</v>
      </c>
    </row>
    <row r="65" spans="8:10">
      <c r="J65" t="s">
        <v>3913</v>
      </c>
    </row>
    <row r="66" spans="8:10">
      <c r="J66" t="s">
        <v>3914</v>
      </c>
    </row>
    <row r="67" spans="8:10">
      <c r="J67" t="s">
        <v>3375</v>
      </c>
    </row>
    <row r="68" spans="8:10">
      <c r="J68" t="s">
        <v>3915</v>
      </c>
    </row>
    <row r="69" spans="8:10">
      <c r="J69" t="s">
        <v>3916</v>
      </c>
    </row>
    <row r="70" spans="8:10">
      <c r="J70" t="s">
        <v>3917</v>
      </c>
    </row>
    <row r="71" spans="8:10">
      <c r="J71" t="s">
        <v>3918</v>
      </c>
    </row>
    <row r="72" spans="8:10">
      <c r="J72" t="s">
        <v>3919</v>
      </c>
    </row>
    <row r="73" spans="8:10">
      <c r="J73" t="s">
        <v>3920</v>
      </c>
    </row>
    <row r="74" spans="8:10">
      <c r="J74" t="s">
        <v>3921</v>
      </c>
    </row>
    <row r="75" spans="8:10">
      <c r="J75" t="s">
        <v>3922</v>
      </c>
    </row>
    <row r="76" spans="8:10">
      <c r="J76" t="s">
        <v>3923</v>
      </c>
    </row>
    <row r="77" spans="8:10">
      <c r="H77" t="s">
        <v>3925</v>
      </c>
    </row>
    <row r="78" spans="8:10">
      <c r="H78" t="s">
        <v>3932</v>
      </c>
      <c r="I78" t="s">
        <v>3926</v>
      </c>
    </row>
    <row r="79" spans="8:10">
      <c r="I79" t="s">
        <v>3927</v>
      </c>
    </row>
    <row r="80" spans="8:10">
      <c r="I80" t="s">
        <v>3928</v>
      </c>
    </row>
    <row r="81" spans="8:9">
      <c r="I81" t="s">
        <v>3929</v>
      </c>
    </row>
    <row r="82" spans="8:9">
      <c r="I82" t="s">
        <v>3931</v>
      </c>
    </row>
    <row r="83" spans="8:9">
      <c r="I83" t="s">
        <v>3930</v>
      </c>
    </row>
    <row r="84" spans="8:9">
      <c r="H84" t="s">
        <v>3939</v>
      </c>
      <c r="I84" t="s">
        <v>3937</v>
      </c>
    </row>
    <row r="85" spans="8:9">
      <c r="I85" t="s">
        <v>3933</v>
      </c>
    </row>
    <row r="86" spans="8:9">
      <c r="I86" t="s">
        <v>3934</v>
      </c>
    </row>
    <row r="87" spans="8:9">
      <c r="I87" t="s">
        <v>3921</v>
      </c>
    </row>
    <row r="88" spans="8:9">
      <c r="I88" t="s">
        <v>3935</v>
      </c>
    </row>
    <row r="89" spans="8:9">
      <c r="I89" t="s">
        <v>3938</v>
      </c>
    </row>
    <row r="90" spans="8:9">
      <c r="I90" t="s">
        <v>3936</v>
      </c>
    </row>
    <row r="91" spans="8:9">
      <c r="H91" t="s">
        <v>3940</v>
      </c>
    </row>
    <row r="92" spans="8:9">
      <c r="H92" t="s">
        <v>3941</v>
      </c>
    </row>
    <row r="93" spans="8:9">
      <c r="H93" t="s">
        <v>3942</v>
      </c>
    </row>
    <row r="94" spans="8:9">
      <c r="H94" t="s">
        <v>3943</v>
      </c>
    </row>
    <row r="95" spans="8:9">
      <c r="H95" t="s">
        <v>3945</v>
      </c>
    </row>
    <row r="96" spans="8:9">
      <c r="H96" t="s">
        <v>3944</v>
      </c>
    </row>
  </sheetData>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C159-B372-4C00-BE9E-994A82C0FE58}">
  <sheetPr filterMode="1">
    <tabColor theme="1"/>
  </sheetPr>
  <dimension ref="A2:AL303"/>
  <sheetViews>
    <sheetView tabSelected="1" zoomScale="70" zoomScaleNormal="70" workbookViewId="0">
      <pane xSplit="16" ySplit="3" topLeftCell="Q281" activePane="bottomRight" state="frozen"/>
      <selection pane="topRight" activeCell="F1" sqref="F1"/>
      <selection pane="bottomLeft" activeCell="A4" sqref="A4"/>
      <selection pane="bottomRight" activeCell="AH328" sqref="AH328"/>
    </sheetView>
  </sheetViews>
  <sheetFormatPr defaultColWidth="8.5703125" defaultRowHeight="13.5" outlineLevelCol="1"/>
  <cols>
    <col min="1" max="1" width="3.42578125" style="4" customWidth="1"/>
    <col min="2" max="2" width="5.42578125" style="124" customWidth="1"/>
    <col min="3" max="4" width="8.5703125" style="124" hidden="1" customWidth="1" outlineLevel="1"/>
    <col min="5" max="10" width="6.42578125" style="124" hidden="1" customWidth="1" outlineLevel="1"/>
    <col min="11" max="11" width="10.35546875" style="96" customWidth="1" collapsed="1"/>
    <col min="12" max="12" width="21.78515625" style="96" customWidth="1"/>
    <col min="13" max="13" width="24" style="96" hidden="1" customWidth="1" outlineLevel="1"/>
    <col min="14" max="14" width="22" style="96" hidden="1" customWidth="1" outlineLevel="1"/>
    <col min="15" max="15" width="22" style="96" customWidth="1" collapsed="1"/>
    <col min="16" max="16" width="22" style="96" customWidth="1"/>
    <col min="17" max="17" width="18" style="124" customWidth="1"/>
    <col min="18" max="18" width="50" style="4" customWidth="1"/>
    <col min="19" max="19" width="30" style="4" customWidth="1"/>
    <col min="20" max="20" width="12" style="4" customWidth="1"/>
    <col min="21" max="25" width="13.640625" style="4" customWidth="1"/>
    <col min="26" max="26" width="13.640625" style="4" customWidth="1" collapsed="1"/>
    <col min="27" max="30" width="13.640625" style="4" customWidth="1"/>
    <col min="31" max="33" width="7.0703125" style="4" customWidth="1"/>
    <col min="34" max="37" width="32" style="4" customWidth="1"/>
    <col min="38" max="38" width="8.5703125" style="4" customWidth="1"/>
    <col min="39" max="16384" width="8.5703125" style="4"/>
  </cols>
  <sheetData>
    <row r="2" spans="2:38" ht="27">
      <c r="B2" s="5" t="s">
        <v>96</v>
      </c>
      <c r="C2" s="5" t="s">
        <v>3337</v>
      </c>
      <c r="D2" s="5" t="s">
        <v>3338</v>
      </c>
      <c r="E2" s="5" t="s">
        <v>3339</v>
      </c>
      <c r="F2" s="5" t="s">
        <v>3340</v>
      </c>
      <c r="G2" s="5" t="s">
        <v>3341</v>
      </c>
      <c r="H2" s="5" t="s">
        <v>3342</v>
      </c>
      <c r="I2" s="5" t="s">
        <v>3343</v>
      </c>
      <c r="J2" s="5" t="s">
        <v>3344</v>
      </c>
      <c r="K2" s="5" t="s">
        <v>2107</v>
      </c>
      <c r="L2" s="5" t="s">
        <v>3345</v>
      </c>
      <c r="M2" s="5" t="s">
        <v>3346</v>
      </c>
      <c r="N2" s="5" t="s">
        <v>3617</v>
      </c>
      <c r="O2" s="5" t="s">
        <v>3347</v>
      </c>
      <c r="P2" s="5" t="s">
        <v>3643</v>
      </c>
      <c r="Q2" s="5" t="s">
        <v>100</v>
      </c>
      <c r="R2" s="5" t="s">
        <v>101</v>
      </c>
      <c r="S2" s="5" t="s">
        <v>102</v>
      </c>
      <c r="T2" s="5" t="s">
        <v>103</v>
      </c>
      <c r="U2" s="6" t="s">
        <v>104</v>
      </c>
      <c r="V2" s="6"/>
      <c r="W2" s="6"/>
      <c r="X2" s="6"/>
      <c r="Y2" s="7"/>
      <c r="Z2" s="8" t="s">
        <v>105</v>
      </c>
      <c r="AA2" s="6"/>
      <c r="AB2" s="6"/>
      <c r="AC2" s="6"/>
      <c r="AD2" s="6"/>
      <c r="AE2" s="24"/>
      <c r="AF2" s="31"/>
      <c r="AG2" s="29"/>
      <c r="AH2" s="26" t="s">
        <v>2975</v>
      </c>
      <c r="AI2" s="22" t="s">
        <v>2083</v>
      </c>
      <c r="AJ2" s="22"/>
      <c r="AK2" s="23"/>
      <c r="AL2" s="3" t="s">
        <v>1583</v>
      </c>
    </row>
    <row r="3" spans="2:38" ht="27">
      <c r="B3" s="9"/>
      <c r="C3" s="9"/>
      <c r="D3" s="9"/>
      <c r="E3" s="9"/>
      <c r="F3" s="9"/>
      <c r="G3" s="9"/>
      <c r="H3" s="9"/>
      <c r="I3" s="9"/>
      <c r="J3" s="9"/>
      <c r="K3" s="9"/>
      <c r="L3" s="9"/>
      <c r="M3" s="9"/>
      <c r="N3" s="9"/>
      <c r="O3" s="9"/>
      <c r="P3" s="9"/>
      <c r="Q3" s="9"/>
      <c r="R3" s="9"/>
      <c r="S3" s="9"/>
      <c r="T3" s="9"/>
      <c r="U3" s="10" t="s">
        <v>106</v>
      </c>
      <c r="V3" s="10" t="s">
        <v>107</v>
      </c>
      <c r="W3" s="10" t="s">
        <v>108</v>
      </c>
      <c r="X3" s="10" t="s">
        <v>2460</v>
      </c>
      <c r="Y3" s="11" t="s">
        <v>110</v>
      </c>
      <c r="Z3" s="12" t="s">
        <v>106</v>
      </c>
      <c r="AA3" s="10" t="s">
        <v>107</v>
      </c>
      <c r="AB3" s="10" t="s">
        <v>108</v>
      </c>
      <c r="AC3" s="10" t="s">
        <v>109</v>
      </c>
      <c r="AD3" s="10" t="s">
        <v>110</v>
      </c>
      <c r="AE3" s="25" t="s">
        <v>1584</v>
      </c>
      <c r="AF3" s="32" t="s">
        <v>2978</v>
      </c>
      <c r="AG3" s="30" t="s">
        <v>2979</v>
      </c>
      <c r="AH3" s="27" t="s">
        <v>2976</v>
      </c>
      <c r="AI3" s="28" t="s">
        <v>2977</v>
      </c>
      <c r="AJ3" s="28" t="s">
        <v>102</v>
      </c>
      <c r="AK3" s="28" t="s">
        <v>103</v>
      </c>
      <c r="AL3" s="3" t="s">
        <v>1583</v>
      </c>
    </row>
    <row r="4" spans="2:38" ht="135" hidden="1">
      <c r="B4" s="144">
        <f>ROW()-3</f>
        <v>1</v>
      </c>
      <c r="C4" s="148" t="s">
        <v>3732</v>
      </c>
      <c r="D4" s="148"/>
      <c r="E4" s="148"/>
      <c r="F4" s="148"/>
      <c r="G4" s="148"/>
      <c r="H4" s="148"/>
      <c r="I4" s="148"/>
      <c r="J4" s="148"/>
      <c r="K4" s="165" t="s">
        <v>3661</v>
      </c>
      <c r="L4" s="165" t="s">
        <v>3654</v>
      </c>
      <c r="M4" s="165"/>
      <c r="N4" s="165"/>
      <c r="O4" s="165" t="s">
        <v>1163</v>
      </c>
      <c r="P4" s="165" t="s">
        <v>2672</v>
      </c>
      <c r="Q4" s="126" t="s">
        <v>1163</v>
      </c>
      <c r="R4" s="40" t="s">
        <v>1926</v>
      </c>
      <c r="S4" s="40" t="s">
        <v>1929</v>
      </c>
      <c r="T4" s="40" t="s">
        <v>192</v>
      </c>
      <c r="U4" s="41" t="s">
        <v>1164</v>
      </c>
      <c r="V4" s="41" t="s">
        <v>139</v>
      </c>
      <c r="W4" s="41" t="s">
        <v>139</v>
      </c>
      <c r="X4" s="41" t="s">
        <v>139</v>
      </c>
      <c r="Y4" s="41" t="s">
        <v>1165</v>
      </c>
      <c r="Z4" s="74" t="s">
        <v>114</v>
      </c>
      <c r="AA4" s="41" t="s">
        <v>139</v>
      </c>
      <c r="AB4" s="41" t="s">
        <v>139</v>
      </c>
      <c r="AC4" s="41" t="s">
        <v>139</v>
      </c>
      <c r="AD4" s="41" t="s">
        <v>1166</v>
      </c>
      <c r="AE4" s="44" t="s">
        <v>1605</v>
      </c>
      <c r="AF4" s="45"/>
      <c r="AG4" s="45"/>
      <c r="AH4" s="46"/>
      <c r="AI4" s="45"/>
      <c r="AJ4" s="45"/>
      <c r="AK4" s="45"/>
      <c r="AL4" s="3" t="s">
        <v>1582</v>
      </c>
    </row>
    <row r="5" spans="2:38" ht="40.5" hidden="1">
      <c r="B5" s="144">
        <f t="shared" ref="B5:B68" si="0">ROW()-3</f>
        <v>2</v>
      </c>
      <c r="C5" s="148" t="s">
        <v>3732</v>
      </c>
      <c r="D5" s="148"/>
      <c r="E5" s="148"/>
      <c r="F5" s="148"/>
      <c r="G5" s="148"/>
      <c r="H5" s="148"/>
      <c r="I5" s="148"/>
      <c r="J5" s="148"/>
      <c r="K5" s="165" t="s">
        <v>3661</v>
      </c>
      <c r="L5" s="165" t="s">
        <v>3655</v>
      </c>
      <c r="M5" s="165"/>
      <c r="N5" s="165"/>
      <c r="O5" s="165" t="s">
        <v>3462</v>
      </c>
      <c r="P5" s="165" t="s">
        <v>2985</v>
      </c>
      <c r="Q5" s="126" t="s">
        <v>2986</v>
      </c>
      <c r="R5" s="40" t="s">
        <v>755</v>
      </c>
      <c r="S5" s="40"/>
      <c r="T5" s="40" t="s">
        <v>139</v>
      </c>
      <c r="U5" s="41" t="s">
        <v>139</v>
      </c>
      <c r="V5" s="41" t="s">
        <v>756</v>
      </c>
      <c r="W5" s="41" t="s">
        <v>139</v>
      </c>
      <c r="X5" s="41" t="s">
        <v>757</v>
      </c>
      <c r="Y5" s="41" t="s">
        <v>139</v>
      </c>
      <c r="Z5" s="74" t="s">
        <v>139</v>
      </c>
      <c r="AA5" s="41" t="s">
        <v>754</v>
      </c>
      <c r="AB5" s="41" t="s">
        <v>139</v>
      </c>
      <c r="AC5" s="41" t="s">
        <v>723</v>
      </c>
      <c r="AD5" s="41" t="s">
        <v>139</v>
      </c>
      <c r="AE5" s="44"/>
      <c r="AF5" s="45"/>
      <c r="AG5" s="45"/>
      <c r="AH5" s="46"/>
      <c r="AI5" s="45"/>
      <c r="AJ5" s="45"/>
      <c r="AK5" s="45"/>
      <c r="AL5" s="3" t="s">
        <v>1582</v>
      </c>
    </row>
    <row r="6" spans="2:38">
      <c r="B6" s="144">
        <f t="shared" si="0"/>
        <v>3</v>
      </c>
      <c r="C6" s="148" t="s">
        <v>3731</v>
      </c>
      <c r="D6" s="148"/>
      <c r="E6" s="148"/>
      <c r="F6" s="148"/>
      <c r="G6" s="148"/>
      <c r="H6" s="148"/>
      <c r="I6" s="148"/>
      <c r="J6" s="148"/>
      <c r="K6" s="165" t="s">
        <v>3661</v>
      </c>
      <c r="L6" s="65" t="s">
        <v>3655</v>
      </c>
      <c r="M6" s="65"/>
      <c r="N6" s="65"/>
      <c r="O6" s="65" t="s">
        <v>364</v>
      </c>
      <c r="P6" s="65" t="s">
        <v>364</v>
      </c>
      <c r="Q6" s="54" t="s">
        <v>365</v>
      </c>
      <c r="R6" s="41" t="s">
        <v>366</v>
      </c>
      <c r="S6" s="41"/>
      <c r="T6" s="41" t="s">
        <v>139</v>
      </c>
      <c r="U6" s="41" t="s">
        <v>183</v>
      </c>
      <c r="V6" s="41" t="s">
        <v>139</v>
      </c>
      <c r="W6" s="41" t="s">
        <v>139</v>
      </c>
      <c r="X6" s="41" t="s">
        <v>2193</v>
      </c>
      <c r="Y6" s="41" t="s">
        <v>139</v>
      </c>
      <c r="Z6" s="73" t="s">
        <v>367</v>
      </c>
      <c r="AA6" s="54" t="s">
        <v>139</v>
      </c>
      <c r="AB6" s="54" t="s">
        <v>139</v>
      </c>
      <c r="AC6" s="54" t="s">
        <v>1006</v>
      </c>
      <c r="AD6" s="54" t="s">
        <v>139</v>
      </c>
      <c r="AE6" s="55"/>
      <c r="AF6" s="56"/>
      <c r="AG6" s="56"/>
      <c r="AH6" s="57">
        <v>1</v>
      </c>
      <c r="AI6" s="56" t="s">
        <v>3797</v>
      </c>
      <c r="AJ6" s="56"/>
      <c r="AK6" s="56"/>
      <c r="AL6" s="3" t="s">
        <v>1582</v>
      </c>
    </row>
    <row r="7" spans="2:38">
      <c r="B7" s="144">
        <f t="shared" si="0"/>
        <v>4</v>
      </c>
      <c r="C7" s="148" t="s">
        <v>3731</v>
      </c>
      <c r="D7" s="148"/>
      <c r="E7" s="148"/>
      <c r="F7" s="148"/>
      <c r="G7" s="148"/>
      <c r="H7" s="148"/>
      <c r="I7" s="148"/>
      <c r="J7" s="148"/>
      <c r="K7" s="165" t="s">
        <v>3661</v>
      </c>
      <c r="L7" s="65" t="s">
        <v>3655</v>
      </c>
      <c r="M7" s="65"/>
      <c r="N7" s="65"/>
      <c r="O7" s="65" t="s">
        <v>3507</v>
      </c>
      <c r="P7" s="65" t="s">
        <v>2194</v>
      </c>
      <c r="Q7" s="54" t="s">
        <v>2195</v>
      </c>
      <c r="R7" s="41" t="s">
        <v>379</v>
      </c>
      <c r="S7" s="41"/>
      <c r="T7" s="41" t="s">
        <v>139</v>
      </c>
      <c r="U7" s="41" t="s">
        <v>183</v>
      </c>
      <c r="V7" s="41" t="s">
        <v>139</v>
      </c>
      <c r="W7" s="41" t="s">
        <v>139</v>
      </c>
      <c r="X7" s="41" t="s">
        <v>2193</v>
      </c>
      <c r="Y7" s="41" t="s">
        <v>139</v>
      </c>
      <c r="Z7" s="73" t="s">
        <v>228</v>
      </c>
      <c r="AA7" s="54" t="s">
        <v>139</v>
      </c>
      <c r="AB7" s="54" t="s">
        <v>139</v>
      </c>
      <c r="AC7" s="54" t="s">
        <v>2192</v>
      </c>
      <c r="AD7" s="54" t="s">
        <v>139</v>
      </c>
      <c r="AE7" s="55"/>
      <c r="AF7" s="56"/>
      <c r="AG7" s="56"/>
      <c r="AH7" s="57">
        <v>1</v>
      </c>
      <c r="AI7" s="56"/>
      <c r="AJ7" s="56"/>
      <c r="AK7" s="56"/>
      <c r="AL7" s="3" t="s">
        <v>1582</v>
      </c>
    </row>
    <row r="8" spans="2:38">
      <c r="B8" s="144">
        <f t="shared" si="0"/>
        <v>5</v>
      </c>
      <c r="C8" s="148" t="s">
        <v>3731</v>
      </c>
      <c r="D8" s="148"/>
      <c r="E8" s="148"/>
      <c r="F8" s="148"/>
      <c r="G8" s="148"/>
      <c r="H8" s="148"/>
      <c r="I8" s="148"/>
      <c r="J8" s="148"/>
      <c r="K8" s="165" t="s">
        <v>3661</v>
      </c>
      <c r="L8" s="65" t="s">
        <v>3655</v>
      </c>
      <c r="M8" s="65"/>
      <c r="N8" s="65"/>
      <c r="O8" s="65" t="s">
        <v>380</v>
      </c>
      <c r="P8" s="65" t="s">
        <v>380</v>
      </c>
      <c r="Q8" s="54" t="s">
        <v>381</v>
      </c>
      <c r="R8" s="41" t="s">
        <v>382</v>
      </c>
      <c r="S8" s="41"/>
      <c r="T8" s="41" t="s">
        <v>139</v>
      </c>
      <c r="U8" s="41" t="s">
        <v>378</v>
      </c>
      <c r="V8" s="41" t="s">
        <v>139</v>
      </c>
      <c r="W8" s="41" t="s">
        <v>139</v>
      </c>
      <c r="X8" s="41" t="s">
        <v>139</v>
      </c>
      <c r="Y8" s="41" t="s">
        <v>139</v>
      </c>
      <c r="Z8" s="73" t="s">
        <v>163</v>
      </c>
      <c r="AA8" s="54" t="s">
        <v>139</v>
      </c>
      <c r="AB8" s="54" t="s">
        <v>139</v>
      </c>
      <c r="AC8" s="54" t="s">
        <v>139</v>
      </c>
      <c r="AD8" s="54" t="s">
        <v>139</v>
      </c>
      <c r="AE8" s="55"/>
      <c r="AF8" s="56"/>
      <c r="AG8" s="56"/>
      <c r="AH8" s="57">
        <v>1</v>
      </c>
      <c r="AI8" s="56"/>
      <c r="AJ8" s="56"/>
      <c r="AK8" s="56"/>
      <c r="AL8" s="3" t="s">
        <v>1582</v>
      </c>
    </row>
    <row r="9" spans="2:38">
      <c r="B9" s="144">
        <f t="shared" si="0"/>
        <v>6</v>
      </c>
      <c r="C9" s="148" t="s">
        <v>3731</v>
      </c>
      <c r="D9" s="148"/>
      <c r="E9" s="148"/>
      <c r="F9" s="148"/>
      <c r="G9" s="148"/>
      <c r="H9" s="148"/>
      <c r="I9" s="148"/>
      <c r="J9" s="148"/>
      <c r="K9" s="165" t="s">
        <v>3661</v>
      </c>
      <c r="L9" s="65" t="s">
        <v>3655</v>
      </c>
      <c r="M9" s="65"/>
      <c r="N9" s="65"/>
      <c r="O9" s="65" t="s">
        <v>393</v>
      </c>
      <c r="P9" s="65" t="s">
        <v>393</v>
      </c>
      <c r="Q9" s="54" t="s">
        <v>139</v>
      </c>
      <c r="R9" s="41" t="s">
        <v>394</v>
      </c>
      <c r="S9" s="41"/>
      <c r="T9" s="41" t="s">
        <v>139</v>
      </c>
      <c r="U9" s="41" t="s">
        <v>389</v>
      </c>
      <c r="V9" s="41" t="s">
        <v>139</v>
      </c>
      <c r="W9" s="41" t="s">
        <v>139</v>
      </c>
      <c r="X9" s="41" t="s">
        <v>139</v>
      </c>
      <c r="Y9" s="41" t="s">
        <v>139</v>
      </c>
      <c r="Z9" s="73" t="s">
        <v>218</v>
      </c>
      <c r="AA9" s="54" t="s">
        <v>139</v>
      </c>
      <c r="AB9" s="54" t="s">
        <v>139</v>
      </c>
      <c r="AC9" s="54" t="s">
        <v>139</v>
      </c>
      <c r="AD9" s="54" t="s">
        <v>139</v>
      </c>
      <c r="AE9" s="55"/>
      <c r="AF9" s="56"/>
      <c r="AG9" s="56"/>
      <c r="AH9" s="57"/>
      <c r="AI9" s="56"/>
      <c r="AJ9" s="56"/>
      <c r="AK9" s="56"/>
      <c r="AL9" s="3" t="s">
        <v>1582</v>
      </c>
    </row>
    <row r="10" spans="2:38">
      <c r="B10" s="144">
        <f t="shared" si="0"/>
        <v>7</v>
      </c>
      <c r="C10" s="148" t="s">
        <v>3731</v>
      </c>
      <c r="D10" s="148"/>
      <c r="E10" s="148"/>
      <c r="F10" s="148"/>
      <c r="G10" s="148"/>
      <c r="H10" s="148"/>
      <c r="I10" s="148"/>
      <c r="J10" s="148"/>
      <c r="K10" s="165" t="s">
        <v>3661</v>
      </c>
      <c r="L10" s="65" t="s">
        <v>3655</v>
      </c>
      <c r="M10" s="65"/>
      <c r="N10" s="65"/>
      <c r="O10" s="65" t="s">
        <v>386</v>
      </c>
      <c r="P10" s="65" t="s">
        <v>386</v>
      </c>
      <c r="Q10" s="54" t="s">
        <v>387</v>
      </c>
      <c r="R10" s="41" t="s">
        <v>388</v>
      </c>
      <c r="S10" s="41"/>
      <c r="T10" s="41" t="s">
        <v>139</v>
      </c>
      <c r="U10" s="41" t="s">
        <v>389</v>
      </c>
      <c r="V10" s="41" t="s">
        <v>139</v>
      </c>
      <c r="W10" s="41" t="s">
        <v>139</v>
      </c>
      <c r="X10" s="41" t="s">
        <v>139</v>
      </c>
      <c r="Y10" s="41" t="s">
        <v>139</v>
      </c>
      <c r="Z10" s="73" t="s">
        <v>218</v>
      </c>
      <c r="AA10" s="54" t="s">
        <v>139</v>
      </c>
      <c r="AB10" s="54" t="s">
        <v>139</v>
      </c>
      <c r="AC10" s="54" t="s">
        <v>139</v>
      </c>
      <c r="AD10" s="54" t="s">
        <v>139</v>
      </c>
      <c r="AE10" s="55"/>
      <c r="AF10" s="56"/>
      <c r="AG10" s="56"/>
      <c r="AH10" s="57"/>
      <c r="AI10" s="56"/>
      <c r="AJ10" s="56"/>
      <c r="AK10" s="56"/>
      <c r="AL10" s="3" t="s">
        <v>1582</v>
      </c>
    </row>
    <row r="11" spans="2:38" ht="27">
      <c r="B11" s="144">
        <f t="shared" si="0"/>
        <v>8</v>
      </c>
      <c r="C11" s="148" t="s">
        <v>3731</v>
      </c>
      <c r="D11" s="148"/>
      <c r="E11" s="148"/>
      <c r="F11" s="148"/>
      <c r="G11" s="148"/>
      <c r="H11" s="148"/>
      <c r="I11" s="148"/>
      <c r="J11" s="148"/>
      <c r="K11" s="165" t="s">
        <v>3661</v>
      </c>
      <c r="L11" s="65" t="s">
        <v>3655</v>
      </c>
      <c r="M11" s="65"/>
      <c r="N11" s="65"/>
      <c r="O11" s="65" t="s">
        <v>383</v>
      </c>
      <c r="P11" s="65" t="s">
        <v>383</v>
      </c>
      <c r="Q11" s="54" t="s">
        <v>384</v>
      </c>
      <c r="R11" s="41" t="s">
        <v>385</v>
      </c>
      <c r="S11" s="41"/>
      <c r="T11" s="41" t="s">
        <v>139</v>
      </c>
      <c r="U11" s="41" t="s">
        <v>378</v>
      </c>
      <c r="V11" s="41" t="s">
        <v>139</v>
      </c>
      <c r="W11" s="41" t="s">
        <v>139</v>
      </c>
      <c r="X11" s="41" t="s">
        <v>139</v>
      </c>
      <c r="Y11" s="41" t="s">
        <v>139</v>
      </c>
      <c r="Z11" s="73" t="s">
        <v>163</v>
      </c>
      <c r="AA11" s="54" t="s">
        <v>139</v>
      </c>
      <c r="AB11" s="54" t="s">
        <v>139</v>
      </c>
      <c r="AC11" s="54" t="s">
        <v>139</v>
      </c>
      <c r="AD11" s="54" t="s">
        <v>139</v>
      </c>
      <c r="AE11" s="55"/>
      <c r="AF11" s="56"/>
      <c r="AG11" s="56"/>
      <c r="AH11" s="57"/>
      <c r="AI11" s="56"/>
      <c r="AJ11" s="56"/>
      <c r="AK11" s="56"/>
      <c r="AL11" s="3" t="s">
        <v>1582</v>
      </c>
    </row>
    <row r="12" spans="2:38">
      <c r="B12" s="144">
        <f t="shared" si="0"/>
        <v>9</v>
      </c>
      <c r="C12" s="148" t="s">
        <v>3731</v>
      </c>
      <c r="D12" s="148"/>
      <c r="E12" s="148"/>
      <c r="F12" s="148"/>
      <c r="G12" s="148"/>
      <c r="H12" s="148"/>
      <c r="I12" s="148"/>
      <c r="J12" s="148"/>
      <c r="K12" s="165" t="s">
        <v>3661</v>
      </c>
      <c r="L12" s="65" t="s">
        <v>3655</v>
      </c>
      <c r="M12" s="65"/>
      <c r="N12" s="65"/>
      <c r="O12" s="65" t="s">
        <v>3508</v>
      </c>
      <c r="P12" s="65" t="s">
        <v>3281</v>
      </c>
      <c r="Q12" s="54" t="s">
        <v>3282</v>
      </c>
      <c r="R12" s="41" t="s">
        <v>475</v>
      </c>
      <c r="S12" s="41" t="s">
        <v>476</v>
      </c>
      <c r="T12" s="41" t="s">
        <v>408</v>
      </c>
      <c r="U12" s="41" t="s">
        <v>477</v>
      </c>
      <c r="V12" s="41" t="s">
        <v>139</v>
      </c>
      <c r="W12" s="41" t="s">
        <v>139</v>
      </c>
      <c r="X12" s="41" t="s">
        <v>139</v>
      </c>
      <c r="Y12" s="41" t="s">
        <v>139</v>
      </c>
      <c r="Z12" s="73" t="s">
        <v>361</v>
      </c>
      <c r="AA12" s="54" t="s">
        <v>139</v>
      </c>
      <c r="AB12" s="54" t="s">
        <v>139</v>
      </c>
      <c r="AC12" s="54" t="s">
        <v>139</v>
      </c>
      <c r="AD12" s="54" t="s">
        <v>139</v>
      </c>
      <c r="AE12" s="55"/>
      <c r="AF12" s="56"/>
      <c r="AG12" s="56"/>
      <c r="AH12" s="57"/>
      <c r="AI12" s="56"/>
      <c r="AJ12" s="56"/>
      <c r="AK12" s="56"/>
      <c r="AL12" s="3" t="s">
        <v>1582</v>
      </c>
    </row>
    <row r="13" spans="2:38">
      <c r="B13" s="144">
        <f t="shared" si="0"/>
        <v>10</v>
      </c>
      <c r="C13" s="148" t="s">
        <v>3731</v>
      </c>
      <c r="D13" s="148"/>
      <c r="E13" s="148"/>
      <c r="F13" s="148"/>
      <c r="G13" s="148"/>
      <c r="H13" s="148"/>
      <c r="I13" s="148"/>
      <c r="J13" s="148"/>
      <c r="K13" s="165" t="s">
        <v>3661</v>
      </c>
      <c r="L13" s="65" t="s">
        <v>3655</v>
      </c>
      <c r="M13" s="65"/>
      <c r="N13" s="65"/>
      <c r="O13" s="65" t="s">
        <v>368</v>
      </c>
      <c r="P13" s="65" t="s">
        <v>368</v>
      </c>
      <c r="Q13" s="54" t="s">
        <v>369</v>
      </c>
      <c r="R13" s="41" t="s">
        <v>370</v>
      </c>
      <c r="S13" s="41"/>
      <c r="T13" s="41" t="s">
        <v>139</v>
      </c>
      <c r="U13" s="41" t="s">
        <v>183</v>
      </c>
      <c r="V13" s="41" t="s">
        <v>139</v>
      </c>
      <c r="W13" s="41" t="s">
        <v>139</v>
      </c>
      <c r="X13" s="41" t="s">
        <v>2191</v>
      </c>
      <c r="Y13" s="41" t="s">
        <v>139</v>
      </c>
      <c r="Z13" s="73" t="s">
        <v>228</v>
      </c>
      <c r="AA13" s="54" t="s">
        <v>139</v>
      </c>
      <c r="AB13" s="54" t="s">
        <v>139</v>
      </c>
      <c r="AC13" s="54" t="s">
        <v>2192</v>
      </c>
      <c r="AD13" s="54" t="s">
        <v>139</v>
      </c>
      <c r="AE13" s="55"/>
      <c r="AF13" s="56"/>
      <c r="AG13" s="56"/>
      <c r="AH13" s="57"/>
      <c r="AI13" s="56"/>
      <c r="AJ13" s="56"/>
      <c r="AK13" s="56"/>
      <c r="AL13" s="3" t="s">
        <v>1582</v>
      </c>
    </row>
    <row r="14" spans="2:38" ht="27" hidden="1">
      <c r="B14" s="144">
        <f t="shared" si="0"/>
        <v>11</v>
      </c>
      <c r="C14" s="148" t="s">
        <v>3732</v>
      </c>
      <c r="D14" s="148"/>
      <c r="E14" s="148"/>
      <c r="F14" s="148"/>
      <c r="G14" s="148"/>
      <c r="H14" s="148"/>
      <c r="I14" s="148"/>
      <c r="J14" s="148"/>
      <c r="K14" s="165" t="s">
        <v>3661</v>
      </c>
      <c r="L14" s="65" t="s">
        <v>3655</v>
      </c>
      <c r="M14" s="65"/>
      <c r="N14" s="65"/>
      <c r="O14" s="65" t="s">
        <v>371</v>
      </c>
      <c r="P14" s="65" t="s">
        <v>371</v>
      </c>
      <c r="Q14" s="54" t="s">
        <v>139</v>
      </c>
      <c r="R14" s="41" t="s">
        <v>372</v>
      </c>
      <c r="S14" s="41" t="s">
        <v>373</v>
      </c>
      <c r="T14" s="41" t="s">
        <v>139</v>
      </c>
      <c r="U14" s="41" t="s">
        <v>374</v>
      </c>
      <c r="V14" s="41" t="s">
        <v>139</v>
      </c>
      <c r="W14" s="41" t="s">
        <v>139</v>
      </c>
      <c r="X14" s="41" t="s">
        <v>139</v>
      </c>
      <c r="Y14" s="41" t="s">
        <v>139</v>
      </c>
      <c r="Z14" s="73" t="s">
        <v>163</v>
      </c>
      <c r="AA14" s="54" t="s">
        <v>139</v>
      </c>
      <c r="AB14" s="54" t="s">
        <v>139</v>
      </c>
      <c r="AC14" s="54" t="s">
        <v>139</v>
      </c>
      <c r="AD14" s="54" t="s">
        <v>139</v>
      </c>
      <c r="AE14" s="55"/>
      <c r="AF14" s="56"/>
      <c r="AG14" s="56"/>
      <c r="AH14" s="57"/>
      <c r="AI14" s="56"/>
      <c r="AJ14" s="56"/>
      <c r="AK14" s="56"/>
      <c r="AL14" s="3" t="s">
        <v>1582</v>
      </c>
    </row>
    <row r="15" spans="2:38" hidden="1">
      <c r="B15" s="144">
        <f t="shared" si="0"/>
        <v>12</v>
      </c>
      <c r="C15" s="148" t="s">
        <v>3732</v>
      </c>
      <c r="D15" s="148"/>
      <c r="E15" s="148"/>
      <c r="F15" s="148"/>
      <c r="G15" s="148"/>
      <c r="H15" s="148"/>
      <c r="I15" s="148"/>
      <c r="J15" s="148"/>
      <c r="K15" s="165" t="s">
        <v>3661</v>
      </c>
      <c r="L15" s="65" t="s">
        <v>3655</v>
      </c>
      <c r="M15" s="65"/>
      <c r="N15" s="65"/>
      <c r="O15" s="65" t="s">
        <v>375</v>
      </c>
      <c r="P15" s="65" t="s">
        <v>375</v>
      </c>
      <c r="Q15" s="54" t="s">
        <v>139</v>
      </c>
      <c r="R15" s="41" t="s">
        <v>376</v>
      </c>
      <c r="S15" s="41" t="s">
        <v>377</v>
      </c>
      <c r="T15" s="41" t="s">
        <v>139</v>
      </c>
      <c r="U15" s="41" t="s">
        <v>378</v>
      </c>
      <c r="V15" s="41" t="s">
        <v>139</v>
      </c>
      <c r="W15" s="41" t="s">
        <v>139</v>
      </c>
      <c r="X15" s="41" t="s">
        <v>139</v>
      </c>
      <c r="Y15" s="41" t="s">
        <v>139</v>
      </c>
      <c r="Z15" s="73" t="s">
        <v>163</v>
      </c>
      <c r="AA15" s="54" t="s">
        <v>139</v>
      </c>
      <c r="AB15" s="54" t="s">
        <v>139</v>
      </c>
      <c r="AC15" s="54" t="s">
        <v>139</v>
      </c>
      <c r="AD15" s="54" t="s">
        <v>139</v>
      </c>
      <c r="AE15" s="55"/>
      <c r="AF15" s="56"/>
      <c r="AG15" s="56"/>
      <c r="AH15" s="57"/>
      <c r="AI15" s="56"/>
      <c r="AJ15" s="56"/>
      <c r="AK15" s="56"/>
      <c r="AL15" s="3" t="s">
        <v>1582</v>
      </c>
    </row>
    <row r="16" spans="2:38" hidden="1">
      <c r="B16" s="144">
        <f t="shared" si="0"/>
        <v>13</v>
      </c>
      <c r="C16" s="148" t="s">
        <v>3732</v>
      </c>
      <c r="D16" s="148"/>
      <c r="E16" s="148"/>
      <c r="F16" s="148"/>
      <c r="G16" s="148"/>
      <c r="H16" s="148"/>
      <c r="I16" s="148"/>
      <c r="J16" s="148"/>
      <c r="K16" s="165" t="s">
        <v>3661</v>
      </c>
      <c r="L16" s="65" t="s">
        <v>3655</v>
      </c>
      <c r="M16" s="65"/>
      <c r="N16" s="65"/>
      <c r="O16" s="65" t="s">
        <v>3512</v>
      </c>
      <c r="P16" s="65" t="s">
        <v>2053</v>
      </c>
      <c r="Q16" s="54" t="s">
        <v>1637</v>
      </c>
      <c r="R16" s="72"/>
      <c r="S16" s="72"/>
      <c r="T16" s="41" t="s">
        <v>2055</v>
      </c>
      <c r="U16" s="41" t="s">
        <v>139</v>
      </c>
      <c r="V16" s="41" t="s">
        <v>139</v>
      </c>
      <c r="W16" s="41" t="s">
        <v>139</v>
      </c>
      <c r="X16" s="41" t="s">
        <v>139</v>
      </c>
      <c r="Y16" s="41" t="s">
        <v>1891</v>
      </c>
      <c r="Z16" s="73" t="s">
        <v>139</v>
      </c>
      <c r="AA16" s="54" t="s">
        <v>139</v>
      </c>
      <c r="AB16" s="54" t="s">
        <v>139</v>
      </c>
      <c r="AC16" s="54" t="s">
        <v>139</v>
      </c>
      <c r="AD16" s="54" t="s">
        <v>1596</v>
      </c>
      <c r="AE16" s="55"/>
      <c r="AF16" s="56"/>
      <c r="AG16" s="56"/>
      <c r="AH16" s="57"/>
      <c r="AI16" s="56"/>
      <c r="AJ16" s="56"/>
      <c r="AK16" s="56"/>
      <c r="AL16" s="3" t="s">
        <v>1582</v>
      </c>
    </row>
    <row r="17" spans="2:38" hidden="1">
      <c r="B17" s="144">
        <f t="shared" si="0"/>
        <v>14</v>
      </c>
      <c r="C17" s="148" t="s">
        <v>3732</v>
      </c>
      <c r="D17" s="148"/>
      <c r="E17" s="148"/>
      <c r="F17" s="148"/>
      <c r="G17" s="148"/>
      <c r="H17" s="148"/>
      <c r="I17" s="148"/>
      <c r="J17" s="148"/>
      <c r="K17" s="165" t="s">
        <v>3661</v>
      </c>
      <c r="L17" s="65" t="s">
        <v>3655</v>
      </c>
      <c r="M17" s="65"/>
      <c r="N17" s="65"/>
      <c r="O17" s="65" t="s">
        <v>411</v>
      </c>
      <c r="P17" s="65" t="s">
        <v>411</v>
      </c>
      <c r="Q17" s="54" t="s">
        <v>139</v>
      </c>
      <c r="R17" s="41" t="s">
        <v>412</v>
      </c>
      <c r="S17" s="41" t="s">
        <v>413</v>
      </c>
      <c r="T17" s="41" t="s">
        <v>408</v>
      </c>
      <c r="U17" s="41" t="s">
        <v>295</v>
      </c>
      <c r="V17" s="41" t="s">
        <v>139</v>
      </c>
      <c r="W17" s="41" t="s">
        <v>139</v>
      </c>
      <c r="X17" s="41" t="s">
        <v>139</v>
      </c>
      <c r="Y17" s="41" t="s">
        <v>139</v>
      </c>
      <c r="Z17" s="73" t="s">
        <v>410</v>
      </c>
      <c r="AA17" s="54" t="s">
        <v>139</v>
      </c>
      <c r="AB17" s="54" t="s">
        <v>139</v>
      </c>
      <c r="AC17" s="54" t="s">
        <v>139</v>
      </c>
      <c r="AD17" s="54" t="s">
        <v>139</v>
      </c>
      <c r="AE17" s="55"/>
      <c r="AF17" s="56"/>
      <c r="AG17" s="56"/>
      <c r="AH17" s="57"/>
      <c r="AI17" s="56"/>
      <c r="AJ17" s="56"/>
      <c r="AK17" s="56"/>
      <c r="AL17" s="3" t="s">
        <v>1582</v>
      </c>
    </row>
    <row r="18" spans="2:38" ht="27" hidden="1">
      <c r="B18" s="144">
        <f t="shared" si="0"/>
        <v>15</v>
      </c>
      <c r="C18" s="148" t="s">
        <v>3732</v>
      </c>
      <c r="D18" s="148"/>
      <c r="E18" s="148"/>
      <c r="F18" s="148"/>
      <c r="G18" s="148"/>
      <c r="H18" s="148"/>
      <c r="I18" s="148"/>
      <c r="J18" s="148"/>
      <c r="K18" s="165" t="s">
        <v>3661</v>
      </c>
      <c r="L18" s="65" t="s">
        <v>3655</v>
      </c>
      <c r="M18" s="65"/>
      <c r="N18" s="65"/>
      <c r="O18" s="65" t="s">
        <v>405</v>
      </c>
      <c r="P18" s="65" t="s">
        <v>405</v>
      </c>
      <c r="Q18" s="54" t="s">
        <v>139</v>
      </c>
      <c r="R18" s="41" t="s">
        <v>406</v>
      </c>
      <c r="S18" s="41" t="s">
        <v>407</v>
      </c>
      <c r="T18" s="41" t="s">
        <v>408</v>
      </c>
      <c r="U18" s="41" t="s">
        <v>409</v>
      </c>
      <c r="V18" s="41" t="s">
        <v>139</v>
      </c>
      <c r="W18" s="41" t="s">
        <v>139</v>
      </c>
      <c r="X18" s="41" t="s">
        <v>139</v>
      </c>
      <c r="Y18" s="41" t="s">
        <v>139</v>
      </c>
      <c r="Z18" s="73" t="s">
        <v>410</v>
      </c>
      <c r="AA18" s="54" t="s">
        <v>139</v>
      </c>
      <c r="AB18" s="54" t="s">
        <v>139</v>
      </c>
      <c r="AC18" s="54" t="s">
        <v>139</v>
      </c>
      <c r="AD18" s="54" t="s">
        <v>139</v>
      </c>
      <c r="AE18" s="55"/>
      <c r="AF18" s="56"/>
      <c r="AG18" s="56"/>
      <c r="AH18" s="57"/>
      <c r="AI18" s="56"/>
      <c r="AJ18" s="56"/>
      <c r="AK18" s="56"/>
      <c r="AL18" s="3" t="s">
        <v>1582</v>
      </c>
    </row>
    <row r="19" spans="2:38" hidden="1">
      <c r="B19" s="144">
        <f t="shared" si="0"/>
        <v>16</v>
      </c>
      <c r="C19" s="148" t="s">
        <v>3732</v>
      </c>
      <c r="D19" s="148"/>
      <c r="E19" s="148"/>
      <c r="F19" s="148"/>
      <c r="G19" s="148"/>
      <c r="H19" s="148"/>
      <c r="I19" s="148"/>
      <c r="J19" s="148"/>
      <c r="K19" s="165" t="s">
        <v>3661</v>
      </c>
      <c r="L19" s="65" t="s">
        <v>3655</v>
      </c>
      <c r="M19" s="65"/>
      <c r="N19" s="65"/>
      <c r="O19" s="65" t="s">
        <v>424</v>
      </c>
      <c r="P19" s="65" t="s">
        <v>424</v>
      </c>
      <c r="Q19" s="54" t="s">
        <v>139</v>
      </c>
      <c r="R19" s="41" t="s">
        <v>425</v>
      </c>
      <c r="S19" s="41" t="s">
        <v>426</v>
      </c>
      <c r="T19" s="41" t="s">
        <v>408</v>
      </c>
      <c r="U19" s="41" t="s">
        <v>416</v>
      </c>
      <c r="V19" s="41" t="s">
        <v>139</v>
      </c>
      <c r="W19" s="41" t="s">
        <v>139</v>
      </c>
      <c r="X19" s="41" t="s">
        <v>139</v>
      </c>
      <c r="Y19" s="41" t="s">
        <v>139</v>
      </c>
      <c r="Z19" s="73" t="s">
        <v>410</v>
      </c>
      <c r="AA19" s="54" t="s">
        <v>139</v>
      </c>
      <c r="AB19" s="54" t="s">
        <v>139</v>
      </c>
      <c r="AC19" s="54" t="s">
        <v>139</v>
      </c>
      <c r="AD19" s="54" t="s">
        <v>139</v>
      </c>
      <c r="AE19" s="55"/>
      <c r="AF19" s="56"/>
      <c r="AG19" s="56"/>
      <c r="AH19" s="57"/>
      <c r="AI19" s="56"/>
      <c r="AJ19" s="56"/>
      <c r="AK19" s="56"/>
      <c r="AL19" s="3" t="s">
        <v>1582</v>
      </c>
    </row>
    <row r="20" spans="2:38" hidden="1">
      <c r="B20" s="144">
        <f t="shared" si="0"/>
        <v>17</v>
      </c>
      <c r="C20" s="148" t="s">
        <v>3732</v>
      </c>
      <c r="D20" s="148"/>
      <c r="E20" s="148"/>
      <c r="F20" s="148"/>
      <c r="G20" s="148"/>
      <c r="H20" s="148"/>
      <c r="I20" s="148"/>
      <c r="J20" s="148"/>
      <c r="K20" s="165" t="s">
        <v>3661</v>
      </c>
      <c r="L20" s="165" t="s">
        <v>3655</v>
      </c>
      <c r="M20" s="65"/>
      <c r="N20" s="65"/>
      <c r="O20" s="65" t="s">
        <v>417</v>
      </c>
      <c r="P20" s="65" t="s">
        <v>417</v>
      </c>
      <c r="Q20" s="54" t="s">
        <v>139</v>
      </c>
      <c r="R20" s="41" t="s">
        <v>418</v>
      </c>
      <c r="S20" s="41" t="s">
        <v>419</v>
      </c>
      <c r="T20" s="41" t="s">
        <v>139</v>
      </c>
      <c r="U20" s="41" t="s">
        <v>420</v>
      </c>
      <c r="V20" s="41" t="s">
        <v>139</v>
      </c>
      <c r="W20" s="41" t="s">
        <v>139</v>
      </c>
      <c r="X20" s="41" t="s">
        <v>139</v>
      </c>
      <c r="Y20" s="41" t="s">
        <v>139</v>
      </c>
      <c r="Z20" s="73" t="s">
        <v>410</v>
      </c>
      <c r="AA20" s="54" t="s">
        <v>139</v>
      </c>
      <c r="AB20" s="54" t="s">
        <v>139</v>
      </c>
      <c r="AC20" s="54" t="s">
        <v>139</v>
      </c>
      <c r="AD20" s="54" t="s">
        <v>139</v>
      </c>
      <c r="AE20" s="55"/>
      <c r="AF20" s="56"/>
      <c r="AG20" s="56"/>
      <c r="AH20" s="57"/>
      <c r="AI20" s="56"/>
      <c r="AJ20" s="56"/>
      <c r="AK20" s="56"/>
      <c r="AL20" s="3" t="s">
        <v>1582</v>
      </c>
    </row>
    <row r="21" spans="2:38" hidden="1">
      <c r="B21" s="144">
        <f t="shared" si="0"/>
        <v>18</v>
      </c>
      <c r="C21" s="148" t="s">
        <v>3732</v>
      </c>
      <c r="D21" s="148"/>
      <c r="E21" s="148"/>
      <c r="F21" s="148"/>
      <c r="G21" s="148"/>
      <c r="H21" s="148"/>
      <c r="I21" s="148"/>
      <c r="J21" s="148"/>
      <c r="K21" s="165" t="s">
        <v>3661</v>
      </c>
      <c r="L21" s="165" t="s">
        <v>3655</v>
      </c>
      <c r="M21" s="65"/>
      <c r="N21" s="65"/>
      <c r="O21" s="65" t="s">
        <v>421</v>
      </c>
      <c r="P21" s="65" t="s">
        <v>421</v>
      </c>
      <c r="Q21" s="54" t="s">
        <v>139</v>
      </c>
      <c r="R21" s="41" t="s">
        <v>422</v>
      </c>
      <c r="S21" s="41"/>
      <c r="T21" s="41" t="s">
        <v>139</v>
      </c>
      <c r="U21" s="41" t="s">
        <v>423</v>
      </c>
      <c r="V21" s="41" t="s">
        <v>139</v>
      </c>
      <c r="W21" s="41" t="s">
        <v>139</v>
      </c>
      <c r="X21" s="41" t="s">
        <v>139</v>
      </c>
      <c r="Y21" s="41" t="s">
        <v>139</v>
      </c>
      <c r="Z21" s="73" t="s">
        <v>410</v>
      </c>
      <c r="AA21" s="54" t="s">
        <v>139</v>
      </c>
      <c r="AB21" s="54" t="s">
        <v>139</v>
      </c>
      <c r="AC21" s="54" t="s">
        <v>139</v>
      </c>
      <c r="AD21" s="54" t="s">
        <v>139</v>
      </c>
      <c r="AE21" s="55"/>
      <c r="AF21" s="56"/>
      <c r="AG21" s="56"/>
      <c r="AH21" s="57"/>
      <c r="AI21" s="56"/>
      <c r="AJ21" s="56"/>
      <c r="AK21" s="56"/>
      <c r="AL21" s="3" t="s">
        <v>1582</v>
      </c>
    </row>
    <row r="22" spans="2:38" ht="27" hidden="1">
      <c r="B22" s="144">
        <f t="shared" si="0"/>
        <v>19</v>
      </c>
      <c r="C22" s="148" t="s">
        <v>3732</v>
      </c>
      <c r="D22" s="148"/>
      <c r="E22" s="148"/>
      <c r="F22" s="148"/>
      <c r="G22" s="148"/>
      <c r="H22" s="148"/>
      <c r="I22" s="148"/>
      <c r="J22" s="148"/>
      <c r="K22" s="165" t="s">
        <v>3661</v>
      </c>
      <c r="L22" s="165" t="s">
        <v>3655</v>
      </c>
      <c r="M22" s="165"/>
      <c r="N22" s="165"/>
      <c r="O22" s="165" t="s">
        <v>852</v>
      </c>
      <c r="P22" s="165" t="s">
        <v>852</v>
      </c>
      <c r="Q22" s="126" t="s">
        <v>139</v>
      </c>
      <c r="R22" s="40" t="s">
        <v>853</v>
      </c>
      <c r="S22" s="40"/>
      <c r="T22" s="40" t="s">
        <v>139</v>
      </c>
      <c r="U22" s="41" t="s">
        <v>139</v>
      </c>
      <c r="V22" s="41" t="s">
        <v>139</v>
      </c>
      <c r="W22" s="41" t="s">
        <v>139</v>
      </c>
      <c r="X22" s="41" t="s">
        <v>842</v>
      </c>
      <c r="Y22" s="41" t="s">
        <v>139</v>
      </c>
      <c r="Z22" s="74" t="s">
        <v>139</v>
      </c>
      <c r="AA22" s="41" t="s">
        <v>139</v>
      </c>
      <c r="AB22" s="41" t="s">
        <v>139</v>
      </c>
      <c r="AC22" s="41" t="s">
        <v>854</v>
      </c>
      <c r="AD22" s="41" t="s">
        <v>139</v>
      </c>
      <c r="AE22" s="44"/>
      <c r="AF22" s="45"/>
      <c r="AG22" s="45"/>
      <c r="AH22" s="46"/>
      <c r="AI22" s="45"/>
      <c r="AJ22" s="45"/>
      <c r="AK22" s="45"/>
      <c r="AL22" s="3" t="s">
        <v>1582</v>
      </c>
    </row>
    <row r="23" spans="2:38" ht="40.5" hidden="1">
      <c r="B23" s="144">
        <f t="shared" si="0"/>
        <v>20</v>
      </c>
      <c r="C23" s="148" t="s">
        <v>3732</v>
      </c>
      <c r="D23" s="148"/>
      <c r="E23" s="148"/>
      <c r="F23" s="148"/>
      <c r="G23" s="148"/>
      <c r="H23" s="148"/>
      <c r="I23" s="148"/>
      <c r="J23" s="148"/>
      <c r="K23" s="165" t="s">
        <v>3661</v>
      </c>
      <c r="L23" s="165" t="s">
        <v>3655</v>
      </c>
      <c r="M23" s="165"/>
      <c r="N23" s="165"/>
      <c r="O23" s="165" t="s">
        <v>850</v>
      </c>
      <c r="P23" s="165" t="s">
        <v>850</v>
      </c>
      <c r="Q23" s="126" t="s">
        <v>139</v>
      </c>
      <c r="R23" s="40" t="s">
        <v>3129</v>
      </c>
      <c r="S23" s="40"/>
      <c r="T23" s="40" t="s">
        <v>139</v>
      </c>
      <c r="U23" s="41" t="s">
        <v>139</v>
      </c>
      <c r="V23" s="41" t="s">
        <v>139</v>
      </c>
      <c r="W23" s="41" t="s">
        <v>139</v>
      </c>
      <c r="X23" s="41" t="s">
        <v>842</v>
      </c>
      <c r="Y23" s="41" t="s">
        <v>139</v>
      </c>
      <c r="Z23" s="74" t="s">
        <v>139</v>
      </c>
      <c r="AA23" s="41" t="s">
        <v>139</v>
      </c>
      <c r="AB23" s="41" t="s">
        <v>139</v>
      </c>
      <c r="AC23" s="41" t="s">
        <v>2714</v>
      </c>
      <c r="AD23" s="41" t="s">
        <v>139</v>
      </c>
      <c r="AE23" s="44"/>
      <c r="AF23" s="45"/>
      <c r="AG23" s="45"/>
      <c r="AH23" s="46"/>
      <c r="AI23" s="45"/>
      <c r="AJ23" s="45"/>
      <c r="AK23" s="45"/>
      <c r="AL23" s="3" t="s">
        <v>1582</v>
      </c>
    </row>
    <row r="24" spans="2:38" hidden="1">
      <c r="B24" s="144">
        <f t="shared" si="0"/>
        <v>21</v>
      </c>
      <c r="C24" s="148" t="s">
        <v>3732</v>
      </c>
      <c r="D24" s="148"/>
      <c r="E24" s="148"/>
      <c r="F24" s="148"/>
      <c r="G24" s="148"/>
      <c r="H24" s="148"/>
      <c r="I24" s="148"/>
      <c r="J24" s="148"/>
      <c r="K24" s="165" t="s">
        <v>3661</v>
      </c>
      <c r="L24" s="165" t="s">
        <v>3655</v>
      </c>
      <c r="M24" s="65"/>
      <c r="N24" s="65"/>
      <c r="O24" s="65" t="s">
        <v>3545</v>
      </c>
      <c r="P24" s="65" t="s">
        <v>3280</v>
      </c>
      <c r="Q24" s="54" t="s">
        <v>3279</v>
      </c>
      <c r="R24" s="41" t="s">
        <v>497</v>
      </c>
      <c r="S24" s="41"/>
      <c r="T24" s="41" t="s">
        <v>139</v>
      </c>
      <c r="U24" s="41" t="s">
        <v>498</v>
      </c>
      <c r="V24" s="41" t="s">
        <v>139</v>
      </c>
      <c r="W24" s="41" t="s">
        <v>139</v>
      </c>
      <c r="X24" s="41" t="s">
        <v>139</v>
      </c>
      <c r="Y24" s="41" t="s">
        <v>139</v>
      </c>
      <c r="Z24" s="73" t="s">
        <v>218</v>
      </c>
      <c r="AA24" s="54" t="s">
        <v>139</v>
      </c>
      <c r="AB24" s="54" t="s">
        <v>139</v>
      </c>
      <c r="AC24" s="54" t="s">
        <v>139</v>
      </c>
      <c r="AD24" s="54" t="s">
        <v>139</v>
      </c>
      <c r="AE24" s="55"/>
      <c r="AF24" s="56"/>
      <c r="AG24" s="56"/>
      <c r="AH24" s="57"/>
      <c r="AI24" s="56"/>
      <c r="AJ24" s="56"/>
      <c r="AK24" s="56"/>
      <c r="AL24" s="3" t="s">
        <v>1582</v>
      </c>
    </row>
    <row r="25" spans="2:38" ht="40.5" hidden="1">
      <c r="B25" s="144">
        <f t="shared" si="0"/>
        <v>22</v>
      </c>
      <c r="C25" s="148" t="s">
        <v>3732</v>
      </c>
      <c r="D25" s="148"/>
      <c r="E25" s="148"/>
      <c r="F25" s="148"/>
      <c r="G25" s="148"/>
      <c r="H25" s="148"/>
      <c r="I25" s="148"/>
      <c r="J25" s="148"/>
      <c r="K25" s="165" t="s">
        <v>3661</v>
      </c>
      <c r="L25" s="165" t="s">
        <v>3655</v>
      </c>
      <c r="M25" s="65"/>
      <c r="N25" s="165"/>
      <c r="O25" s="165" t="s">
        <v>1307</v>
      </c>
      <c r="P25" s="165" t="s">
        <v>1307</v>
      </c>
      <c r="Q25" s="126" t="s">
        <v>1308</v>
      </c>
      <c r="R25" s="40" t="s">
        <v>1309</v>
      </c>
      <c r="S25" s="40"/>
      <c r="T25" s="40" t="s">
        <v>139</v>
      </c>
      <c r="U25" s="41" t="s">
        <v>1310</v>
      </c>
      <c r="V25" s="41" t="s">
        <v>139</v>
      </c>
      <c r="W25" s="41" t="s">
        <v>139</v>
      </c>
      <c r="X25" s="41" t="s">
        <v>139</v>
      </c>
      <c r="Y25" s="41" t="s">
        <v>139</v>
      </c>
      <c r="Z25" s="74" t="s">
        <v>117</v>
      </c>
      <c r="AA25" s="41" t="s">
        <v>139</v>
      </c>
      <c r="AB25" s="41" t="s">
        <v>139</v>
      </c>
      <c r="AC25" s="41" t="s">
        <v>139</v>
      </c>
      <c r="AD25" s="41" t="s">
        <v>139</v>
      </c>
      <c r="AE25" s="44"/>
      <c r="AF25" s="45"/>
      <c r="AG25" s="45"/>
      <c r="AH25" s="46"/>
      <c r="AI25" s="45"/>
      <c r="AJ25" s="45"/>
      <c r="AK25" s="45"/>
      <c r="AL25" s="3" t="s">
        <v>1582</v>
      </c>
    </row>
    <row r="26" spans="2:38" hidden="1">
      <c r="B26" s="144">
        <f t="shared" si="0"/>
        <v>23</v>
      </c>
      <c r="C26" s="148" t="s">
        <v>3732</v>
      </c>
      <c r="D26" s="148"/>
      <c r="E26" s="148"/>
      <c r="F26" s="148"/>
      <c r="G26" s="148"/>
      <c r="H26" s="148"/>
      <c r="I26" s="148"/>
      <c r="J26" s="148"/>
      <c r="K26" s="165" t="s">
        <v>3661</v>
      </c>
      <c r="L26" s="165" t="s">
        <v>3655</v>
      </c>
      <c r="M26" s="65"/>
      <c r="N26" s="65"/>
      <c r="O26" s="65" t="s">
        <v>3546</v>
      </c>
      <c r="P26" s="65" t="s">
        <v>3246</v>
      </c>
      <c r="Q26" s="54" t="s">
        <v>3247</v>
      </c>
      <c r="R26" s="41" t="s">
        <v>495</v>
      </c>
      <c r="S26" s="41"/>
      <c r="T26" s="41" t="s">
        <v>139</v>
      </c>
      <c r="U26" s="41" t="s">
        <v>496</v>
      </c>
      <c r="V26" s="41" t="s">
        <v>139</v>
      </c>
      <c r="W26" s="41" t="s">
        <v>139</v>
      </c>
      <c r="X26" s="41" t="s">
        <v>139</v>
      </c>
      <c r="Y26" s="41" t="s">
        <v>139</v>
      </c>
      <c r="Z26" s="73" t="s">
        <v>213</v>
      </c>
      <c r="AA26" s="54" t="s">
        <v>139</v>
      </c>
      <c r="AB26" s="54" t="s">
        <v>139</v>
      </c>
      <c r="AC26" s="54" t="s">
        <v>139</v>
      </c>
      <c r="AD26" s="54" t="s">
        <v>139</v>
      </c>
      <c r="AE26" s="55"/>
      <c r="AF26" s="56"/>
      <c r="AG26" s="56"/>
      <c r="AH26" s="57"/>
      <c r="AI26" s="56"/>
      <c r="AJ26" s="56"/>
      <c r="AK26" s="56"/>
      <c r="AL26" s="3" t="s">
        <v>1582</v>
      </c>
    </row>
    <row r="27" spans="2:38" ht="40.5" hidden="1">
      <c r="B27" s="144">
        <f t="shared" si="0"/>
        <v>24</v>
      </c>
      <c r="C27" s="148" t="s">
        <v>3732</v>
      </c>
      <c r="D27" s="148"/>
      <c r="E27" s="148"/>
      <c r="F27" s="148"/>
      <c r="G27" s="148"/>
      <c r="H27" s="148"/>
      <c r="I27" s="148"/>
      <c r="J27" s="148"/>
      <c r="K27" s="165" t="s">
        <v>3661</v>
      </c>
      <c r="L27" s="165" t="s">
        <v>3655</v>
      </c>
      <c r="M27" s="65"/>
      <c r="N27" s="165"/>
      <c r="O27" s="165" t="s">
        <v>1325</v>
      </c>
      <c r="P27" s="165" t="s">
        <v>1325</v>
      </c>
      <c r="Q27" s="126" t="s">
        <v>1326</v>
      </c>
      <c r="R27" s="40" t="s">
        <v>1327</v>
      </c>
      <c r="S27" s="40"/>
      <c r="T27" s="40" t="s">
        <v>139</v>
      </c>
      <c r="U27" s="41" t="s">
        <v>1328</v>
      </c>
      <c r="V27" s="41" t="s">
        <v>139</v>
      </c>
      <c r="W27" s="41" t="s">
        <v>139</v>
      </c>
      <c r="X27" s="41" t="s">
        <v>139</v>
      </c>
      <c r="Y27" s="41" t="s">
        <v>139</v>
      </c>
      <c r="Z27" s="74" t="s">
        <v>117</v>
      </c>
      <c r="AA27" s="41" t="s">
        <v>139</v>
      </c>
      <c r="AB27" s="41" t="s">
        <v>139</v>
      </c>
      <c r="AC27" s="41" t="s">
        <v>139</v>
      </c>
      <c r="AD27" s="41" t="s">
        <v>139</v>
      </c>
      <c r="AE27" s="44"/>
      <c r="AF27" s="45"/>
      <c r="AG27" s="45"/>
      <c r="AH27" s="46"/>
      <c r="AI27" s="45"/>
      <c r="AJ27" s="45"/>
      <c r="AK27" s="45"/>
      <c r="AL27" s="3" t="s">
        <v>1582</v>
      </c>
    </row>
    <row r="28" spans="2:38" hidden="1">
      <c r="B28" s="144">
        <f t="shared" si="0"/>
        <v>25</v>
      </c>
      <c r="C28" s="148" t="s">
        <v>3732</v>
      </c>
      <c r="D28" s="148"/>
      <c r="E28" s="148"/>
      <c r="F28" s="148"/>
      <c r="G28" s="148"/>
      <c r="H28" s="148"/>
      <c r="I28" s="148"/>
      <c r="J28" s="148"/>
      <c r="K28" s="165" t="s">
        <v>3661</v>
      </c>
      <c r="L28" s="165" t="s">
        <v>3655</v>
      </c>
      <c r="M28" s="65"/>
      <c r="N28" s="65"/>
      <c r="O28" s="65" t="s">
        <v>3547</v>
      </c>
      <c r="P28" s="65" t="s">
        <v>3248</v>
      </c>
      <c r="Q28" s="54" t="s">
        <v>3249</v>
      </c>
      <c r="R28" s="41" t="s">
        <v>436</v>
      </c>
      <c r="S28" s="41"/>
      <c r="T28" s="41" t="s">
        <v>139</v>
      </c>
      <c r="U28" s="41" t="s">
        <v>437</v>
      </c>
      <c r="V28" s="41" t="s">
        <v>139</v>
      </c>
      <c r="W28" s="41" t="s">
        <v>139</v>
      </c>
      <c r="X28" s="41" t="s">
        <v>139</v>
      </c>
      <c r="Y28" s="41" t="s">
        <v>139</v>
      </c>
      <c r="Z28" s="73" t="s">
        <v>438</v>
      </c>
      <c r="AA28" s="54" t="s">
        <v>139</v>
      </c>
      <c r="AB28" s="54" t="s">
        <v>139</v>
      </c>
      <c r="AC28" s="54" t="s">
        <v>139</v>
      </c>
      <c r="AD28" s="54" t="s">
        <v>139</v>
      </c>
      <c r="AE28" s="55"/>
      <c r="AF28" s="56"/>
      <c r="AG28" s="56"/>
      <c r="AH28" s="57"/>
      <c r="AI28" s="56"/>
      <c r="AJ28" s="56"/>
      <c r="AK28" s="56"/>
      <c r="AL28" s="3" t="s">
        <v>1582</v>
      </c>
    </row>
    <row r="29" spans="2:38" ht="27">
      <c r="B29" s="144">
        <f t="shared" si="0"/>
        <v>26</v>
      </c>
      <c r="C29" s="148" t="s">
        <v>3731</v>
      </c>
      <c r="D29" s="148"/>
      <c r="E29" s="148"/>
      <c r="F29" s="148"/>
      <c r="G29" s="148"/>
      <c r="H29" s="148"/>
      <c r="I29" s="148"/>
      <c r="J29" s="148"/>
      <c r="K29" s="165" t="s">
        <v>3661</v>
      </c>
      <c r="L29" s="165" t="s">
        <v>3655</v>
      </c>
      <c r="M29" s="65"/>
      <c r="N29" s="65"/>
      <c r="O29" s="65" t="s">
        <v>3548</v>
      </c>
      <c r="P29" s="65" t="s">
        <v>2775</v>
      </c>
      <c r="Q29" s="54" t="s">
        <v>139</v>
      </c>
      <c r="R29" s="41" t="s">
        <v>2777</v>
      </c>
      <c r="S29" s="41"/>
      <c r="T29" s="41" t="s">
        <v>139</v>
      </c>
      <c r="U29" s="41" t="s">
        <v>464</v>
      </c>
      <c r="V29" s="41" t="s">
        <v>139</v>
      </c>
      <c r="W29" s="41" t="s">
        <v>139</v>
      </c>
      <c r="X29" s="41" t="s">
        <v>2779</v>
      </c>
      <c r="Y29" s="41" t="s">
        <v>139</v>
      </c>
      <c r="Z29" s="73" t="s">
        <v>163</v>
      </c>
      <c r="AA29" s="54" t="s">
        <v>139</v>
      </c>
      <c r="AB29" s="54" t="s">
        <v>139</v>
      </c>
      <c r="AC29" s="54" t="s">
        <v>2780</v>
      </c>
      <c r="AD29" s="54" t="s">
        <v>139</v>
      </c>
      <c r="AE29" s="55"/>
      <c r="AF29" s="56"/>
      <c r="AG29" s="56"/>
      <c r="AH29" s="57"/>
      <c r="AI29" s="56"/>
      <c r="AJ29" s="56"/>
      <c r="AK29" s="56"/>
      <c r="AL29" s="3" t="s">
        <v>1582</v>
      </c>
    </row>
    <row r="30" spans="2:38" ht="27">
      <c r="B30" s="144">
        <f t="shared" si="0"/>
        <v>27</v>
      </c>
      <c r="C30" s="148" t="s">
        <v>3731</v>
      </c>
      <c r="D30" s="148"/>
      <c r="E30" s="148"/>
      <c r="F30" s="148"/>
      <c r="G30" s="148"/>
      <c r="H30" s="148"/>
      <c r="I30" s="148"/>
      <c r="J30" s="148"/>
      <c r="K30" s="165" t="s">
        <v>3661</v>
      </c>
      <c r="L30" s="165" t="s">
        <v>3655</v>
      </c>
      <c r="M30" s="65"/>
      <c r="N30" s="65"/>
      <c r="O30" s="65" t="s">
        <v>3549</v>
      </c>
      <c r="P30" s="65" t="s">
        <v>2776</v>
      </c>
      <c r="Q30" s="54" t="s">
        <v>139</v>
      </c>
      <c r="R30" s="41" t="s">
        <v>2778</v>
      </c>
      <c r="S30" s="41"/>
      <c r="T30" s="41" t="s">
        <v>139</v>
      </c>
      <c r="U30" s="41" t="s">
        <v>464</v>
      </c>
      <c r="V30" s="41" t="s">
        <v>139</v>
      </c>
      <c r="W30" s="41" t="s">
        <v>139</v>
      </c>
      <c r="X30" s="41" t="s">
        <v>2779</v>
      </c>
      <c r="Y30" s="41" t="s">
        <v>139</v>
      </c>
      <c r="Z30" s="73" t="s">
        <v>163</v>
      </c>
      <c r="AA30" s="54" t="s">
        <v>139</v>
      </c>
      <c r="AB30" s="54" t="s">
        <v>139</v>
      </c>
      <c r="AC30" s="54" t="s">
        <v>2780</v>
      </c>
      <c r="AD30" s="54" t="s">
        <v>139</v>
      </c>
      <c r="AE30" s="55"/>
      <c r="AF30" s="56"/>
      <c r="AG30" s="56"/>
      <c r="AH30" s="57"/>
      <c r="AI30" s="56"/>
      <c r="AJ30" s="56"/>
      <c r="AK30" s="56"/>
      <c r="AL30" s="3" t="s">
        <v>1582</v>
      </c>
    </row>
    <row r="31" spans="2:38" ht="27" hidden="1">
      <c r="B31" s="144">
        <f t="shared" si="0"/>
        <v>28</v>
      </c>
      <c r="C31" s="148" t="s">
        <v>3732</v>
      </c>
      <c r="D31" s="148"/>
      <c r="E31" s="148"/>
      <c r="F31" s="148"/>
      <c r="G31" s="148"/>
      <c r="H31" s="148"/>
      <c r="I31" s="148"/>
      <c r="J31" s="148"/>
      <c r="K31" s="165" t="s">
        <v>3661</v>
      </c>
      <c r="L31" s="165" t="s">
        <v>3655</v>
      </c>
      <c r="M31" s="65"/>
      <c r="N31" s="65"/>
      <c r="O31" s="65" t="s">
        <v>3550</v>
      </c>
      <c r="P31" s="65" t="s">
        <v>3283</v>
      </c>
      <c r="Q31" s="54" t="s">
        <v>3284</v>
      </c>
      <c r="R31" s="41" t="s">
        <v>398</v>
      </c>
      <c r="S31" s="41" t="s">
        <v>399</v>
      </c>
      <c r="T31" s="41" t="s">
        <v>139</v>
      </c>
      <c r="U31" s="41" t="s">
        <v>400</v>
      </c>
      <c r="V31" s="41" t="s">
        <v>139</v>
      </c>
      <c r="W31" s="41" t="s">
        <v>139</v>
      </c>
      <c r="X31" s="41" t="s">
        <v>139</v>
      </c>
      <c r="Y31" s="41" t="s">
        <v>139</v>
      </c>
      <c r="Z31" s="73" t="s">
        <v>401</v>
      </c>
      <c r="AA31" s="54" t="s">
        <v>139</v>
      </c>
      <c r="AB31" s="54" t="s">
        <v>139</v>
      </c>
      <c r="AC31" s="54" t="s">
        <v>139</v>
      </c>
      <c r="AD31" s="54" t="s">
        <v>139</v>
      </c>
      <c r="AE31" s="55"/>
      <c r="AF31" s="56"/>
      <c r="AG31" s="56"/>
      <c r="AH31" s="57"/>
      <c r="AI31" s="56"/>
      <c r="AJ31" s="56"/>
      <c r="AK31" s="56"/>
      <c r="AL31" s="3" t="s">
        <v>1582</v>
      </c>
    </row>
    <row r="32" spans="2:38" ht="40.5" hidden="1">
      <c r="B32" s="144">
        <f t="shared" si="0"/>
        <v>29</v>
      </c>
      <c r="C32" s="148" t="s">
        <v>3732</v>
      </c>
      <c r="D32" s="148"/>
      <c r="E32" s="148"/>
      <c r="F32" s="148"/>
      <c r="G32" s="148"/>
      <c r="H32" s="148"/>
      <c r="I32" s="148"/>
      <c r="J32" s="148"/>
      <c r="K32" s="165" t="s">
        <v>3661</v>
      </c>
      <c r="L32" s="165" t="s">
        <v>3655</v>
      </c>
      <c r="M32" s="165"/>
      <c r="N32" s="165"/>
      <c r="O32" s="165" t="s">
        <v>3551</v>
      </c>
      <c r="P32" s="165" t="s">
        <v>3287</v>
      </c>
      <c r="Q32" s="126" t="s">
        <v>3288</v>
      </c>
      <c r="R32" s="40" t="s">
        <v>1149</v>
      </c>
      <c r="S32" s="40"/>
      <c r="T32" s="40" t="s">
        <v>139</v>
      </c>
      <c r="U32" s="41" t="s">
        <v>1150</v>
      </c>
      <c r="V32" s="41" t="s">
        <v>139</v>
      </c>
      <c r="W32" s="41" t="s">
        <v>139</v>
      </c>
      <c r="X32" s="41" t="s">
        <v>139</v>
      </c>
      <c r="Y32" s="41" t="s">
        <v>139</v>
      </c>
      <c r="Z32" s="74" t="s">
        <v>235</v>
      </c>
      <c r="AA32" s="41" t="s">
        <v>139</v>
      </c>
      <c r="AB32" s="41" t="s">
        <v>139</v>
      </c>
      <c r="AC32" s="41" t="s">
        <v>139</v>
      </c>
      <c r="AD32" s="41" t="s">
        <v>139</v>
      </c>
      <c r="AE32" s="44"/>
      <c r="AF32" s="45"/>
      <c r="AG32" s="45"/>
      <c r="AH32" s="46"/>
      <c r="AI32" s="45"/>
      <c r="AJ32" s="45"/>
      <c r="AK32" s="45"/>
      <c r="AL32" s="3" t="s">
        <v>1582</v>
      </c>
    </row>
    <row r="33" spans="2:38" ht="40.5" hidden="1">
      <c r="B33" s="144">
        <f t="shared" si="0"/>
        <v>30</v>
      </c>
      <c r="C33" s="148" t="s">
        <v>3732</v>
      </c>
      <c r="D33" s="148"/>
      <c r="E33" s="148"/>
      <c r="F33" s="148"/>
      <c r="G33" s="148"/>
      <c r="H33" s="148"/>
      <c r="I33" s="148"/>
      <c r="J33" s="148"/>
      <c r="K33" s="165" t="s">
        <v>3661</v>
      </c>
      <c r="L33" s="165" t="s">
        <v>3655</v>
      </c>
      <c r="M33" s="165"/>
      <c r="N33" s="165"/>
      <c r="O33" s="165" t="s">
        <v>1329</v>
      </c>
      <c r="P33" s="165" t="s">
        <v>1329</v>
      </c>
      <c r="Q33" s="126" t="s">
        <v>1330</v>
      </c>
      <c r="R33" s="40" t="s">
        <v>1331</v>
      </c>
      <c r="S33" s="40"/>
      <c r="T33" s="40" t="s">
        <v>139</v>
      </c>
      <c r="U33" s="41" t="s">
        <v>1332</v>
      </c>
      <c r="V33" s="41" t="s">
        <v>139</v>
      </c>
      <c r="W33" s="41" t="s">
        <v>139</v>
      </c>
      <c r="X33" s="41" t="s">
        <v>139</v>
      </c>
      <c r="Y33" s="41" t="s">
        <v>139</v>
      </c>
      <c r="Z33" s="74" t="s">
        <v>1277</v>
      </c>
      <c r="AA33" s="41" t="s">
        <v>139</v>
      </c>
      <c r="AB33" s="41" t="s">
        <v>139</v>
      </c>
      <c r="AC33" s="41" t="s">
        <v>139</v>
      </c>
      <c r="AD33" s="41" t="s">
        <v>139</v>
      </c>
      <c r="AE33" s="44"/>
      <c r="AF33" s="45"/>
      <c r="AG33" s="45"/>
      <c r="AH33" s="46"/>
      <c r="AI33" s="45"/>
      <c r="AJ33" s="45"/>
      <c r="AK33" s="45"/>
      <c r="AL33" s="3" t="s">
        <v>1582</v>
      </c>
    </row>
    <row r="34" spans="2:38" ht="40.5" hidden="1">
      <c r="B34" s="144">
        <f t="shared" si="0"/>
        <v>31</v>
      </c>
      <c r="C34" s="148" t="s">
        <v>3732</v>
      </c>
      <c r="D34" s="148"/>
      <c r="E34" s="148"/>
      <c r="F34" s="148"/>
      <c r="G34" s="148"/>
      <c r="H34" s="148"/>
      <c r="I34" s="148"/>
      <c r="J34" s="148"/>
      <c r="K34" s="165" t="s">
        <v>3661</v>
      </c>
      <c r="L34" s="165" t="s">
        <v>3655</v>
      </c>
      <c r="M34" s="165"/>
      <c r="N34" s="165"/>
      <c r="O34" s="165" t="s">
        <v>1226</v>
      </c>
      <c r="P34" s="165" t="s">
        <v>1226</v>
      </c>
      <c r="Q34" s="126" t="s">
        <v>1227</v>
      </c>
      <c r="R34" s="40" t="s">
        <v>1228</v>
      </c>
      <c r="S34" s="40"/>
      <c r="T34" s="40" t="s">
        <v>139</v>
      </c>
      <c r="U34" s="41" t="s">
        <v>1229</v>
      </c>
      <c r="V34" s="41" t="s">
        <v>139</v>
      </c>
      <c r="W34" s="41" t="s">
        <v>139</v>
      </c>
      <c r="X34" s="41" t="s">
        <v>139</v>
      </c>
      <c r="Y34" s="41" t="s">
        <v>139</v>
      </c>
      <c r="Z34" s="74" t="s">
        <v>163</v>
      </c>
      <c r="AA34" s="41" t="s">
        <v>139</v>
      </c>
      <c r="AB34" s="41" t="s">
        <v>139</v>
      </c>
      <c r="AC34" s="41" t="s">
        <v>139</v>
      </c>
      <c r="AD34" s="41" t="s">
        <v>139</v>
      </c>
      <c r="AE34" s="44"/>
      <c r="AF34" s="45"/>
      <c r="AG34" s="45"/>
      <c r="AH34" s="46"/>
      <c r="AI34" s="45"/>
      <c r="AJ34" s="45"/>
      <c r="AK34" s="45"/>
      <c r="AL34" s="3" t="s">
        <v>1582</v>
      </c>
    </row>
    <row r="35" spans="2:38" ht="67.5" hidden="1">
      <c r="B35" s="144">
        <f t="shared" si="0"/>
        <v>32</v>
      </c>
      <c r="C35" s="148" t="s">
        <v>3732</v>
      </c>
      <c r="D35" s="148"/>
      <c r="E35" s="148"/>
      <c r="F35" s="148"/>
      <c r="G35" s="148"/>
      <c r="H35" s="148"/>
      <c r="I35" s="148"/>
      <c r="J35" s="148"/>
      <c r="K35" s="165" t="s">
        <v>3661</v>
      </c>
      <c r="L35" s="165" t="s">
        <v>3655</v>
      </c>
      <c r="M35" s="165"/>
      <c r="N35" s="165"/>
      <c r="O35" s="165" t="s">
        <v>1177</v>
      </c>
      <c r="P35" s="165" t="s">
        <v>1177</v>
      </c>
      <c r="Q35" s="126" t="s">
        <v>1178</v>
      </c>
      <c r="R35" s="40" t="s">
        <v>1179</v>
      </c>
      <c r="S35" s="40"/>
      <c r="T35" s="40" t="s">
        <v>192</v>
      </c>
      <c r="U35" s="41" t="s">
        <v>1180</v>
      </c>
      <c r="V35" s="41" t="s">
        <v>139</v>
      </c>
      <c r="W35" s="41" t="s">
        <v>139</v>
      </c>
      <c r="X35" s="41" t="s">
        <v>139</v>
      </c>
      <c r="Y35" s="41" t="s">
        <v>139</v>
      </c>
      <c r="Z35" s="74" t="s">
        <v>361</v>
      </c>
      <c r="AA35" s="41" t="s">
        <v>139</v>
      </c>
      <c r="AB35" s="41" t="s">
        <v>139</v>
      </c>
      <c r="AC35" s="41" t="s">
        <v>139</v>
      </c>
      <c r="AD35" s="41" t="s">
        <v>139</v>
      </c>
      <c r="AE35" s="44"/>
      <c r="AF35" s="45"/>
      <c r="AG35" s="45"/>
      <c r="AH35" s="46"/>
      <c r="AI35" s="45"/>
      <c r="AJ35" s="45"/>
      <c r="AK35" s="45"/>
      <c r="AL35" s="3" t="s">
        <v>1582</v>
      </c>
    </row>
    <row r="36" spans="2:38" ht="40.5" hidden="1">
      <c r="B36" s="144">
        <f t="shared" si="0"/>
        <v>33</v>
      </c>
      <c r="C36" s="148" t="s">
        <v>3732</v>
      </c>
      <c r="D36" s="148"/>
      <c r="E36" s="148"/>
      <c r="F36" s="148"/>
      <c r="G36" s="148"/>
      <c r="H36" s="148"/>
      <c r="I36" s="148"/>
      <c r="J36" s="148"/>
      <c r="K36" s="165" t="s">
        <v>3661</v>
      </c>
      <c r="L36" s="165" t="s">
        <v>3655</v>
      </c>
      <c r="M36" s="165"/>
      <c r="N36" s="165"/>
      <c r="O36" s="165" t="s">
        <v>1181</v>
      </c>
      <c r="P36" s="165" t="s">
        <v>1181</v>
      </c>
      <c r="Q36" s="126" t="s">
        <v>1182</v>
      </c>
      <c r="R36" s="40" t="s">
        <v>1183</v>
      </c>
      <c r="S36" s="40"/>
      <c r="T36" s="40" t="s">
        <v>139</v>
      </c>
      <c r="U36" s="41" t="s">
        <v>1184</v>
      </c>
      <c r="V36" s="41" t="s">
        <v>139</v>
      </c>
      <c r="W36" s="41" t="s">
        <v>139</v>
      </c>
      <c r="X36" s="41" t="s">
        <v>139</v>
      </c>
      <c r="Y36" s="41" t="s">
        <v>139</v>
      </c>
      <c r="Z36" s="74" t="s">
        <v>163</v>
      </c>
      <c r="AA36" s="41" t="s">
        <v>139</v>
      </c>
      <c r="AB36" s="41" t="s">
        <v>139</v>
      </c>
      <c r="AC36" s="41" t="s">
        <v>139</v>
      </c>
      <c r="AD36" s="41" t="s">
        <v>139</v>
      </c>
      <c r="AE36" s="44"/>
      <c r="AF36" s="45"/>
      <c r="AG36" s="45"/>
      <c r="AH36" s="46"/>
      <c r="AI36" s="45"/>
      <c r="AJ36" s="45"/>
      <c r="AK36" s="45"/>
      <c r="AL36" s="3" t="s">
        <v>1582</v>
      </c>
    </row>
    <row r="37" spans="2:38" ht="27" hidden="1">
      <c r="B37" s="144">
        <f t="shared" si="0"/>
        <v>34</v>
      </c>
      <c r="C37" s="148" t="s">
        <v>3732</v>
      </c>
      <c r="D37" s="148"/>
      <c r="E37" s="148"/>
      <c r="F37" s="148"/>
      <c r="G37" s="148"/>
      <c r="H37" s="148"/>
      <c r="I37" s="148"/>
      <c r="J37" s="148"/>
      <c r="K37" s="165" t="s">
        <v>3661</v>
      </c>
      <c r="L37" s="165" t="s">
        <v>3655</v>
      </c>
      <c r="M37" s="165"/>
      <c r="N37" s="165"/>
      <c r="O37" s="165" t="s">
        <v>3553</v>
      </c>
      <c r="P37" s="165" t="s">
        <v>3259</v>
      </c>
      <c r="Q37" s="126" t="s">
        <v>3260</v>
      </c>
      <c r="R37" s="40" t="s">
        <v>866</v>
      </c>
      <c r="S37" s="40"/>
      <c r="T37" s="40" t="s">
        <v>139</v>
      </c>
      <c r="U37" s="41" t="s">
        <v>139</v>
      </c>
      <c r="V37" s="41" t="s">
        <v>139</v>
      </c>
      <c r="W37" s="41" t="s">
        <v>139</v>
      </c>
      <c r="X37" s="41" t="s">
        <v>867</v>
      </c>
      <c r="Y37" s="41" t="s">
        <v>139</v>
      </c>
      <c r="Z37" s="74" t="s">
        <v>139</v>
      </c>
      <c r="AA37" s="41" t="s">
        <v>139</v>
      </c>
      <c r="AB37" s="41" t="s">
        <v>139</v>
      </c>
      <c r="AC37" s="41" t="s">
        <v>2705</v>
      </c>
      <c r="AD37" s="41" t="s">
        <v>139</v>
      </c>
      <c r="AE37" s="44"/>
      <c r="AF37" s="45"/>
      <c r="AG37" s="45"/>
      <c r="AH37" s="46"/>
      <c r="AI37" s="45"/>
      <c r="AJ37" s="45"/>
      <c r="AK37" s="45"/>
      <c r="AL37" s="3" t="s">
        <v>1582</v>
      </c>
    </row>
    <row r="38" spans="2:38" ht="40.5" hidden="1">
      <c r="B38" s="144">
        <f t="shared" si="0"/>
        <v>35</v>
      </c>
      <c r="C38" s="148" t="s">
        <v>3732</v>
      </c>
      <c r="D38" s="148"/>
      <c r="E38" s="148"/>
      <c r="F38" s="148"/>
      <c r="G38" s="148"/>
      <c r="H38" s="148"/>
      <c r="I38" s="148"/>
      <c r="J38" s="148"/>
      <c r="K38" s="165" t="s">
        <v>3661</v>
      </c>
      <c r="L38" s="165" t="s">
        <v>3655</v>
      </c>
      <c r="M38" s="165"/>
      <c r="N38" s="165"/>
      <c r="O38" s="165" t="s">
        <v>3554</v>
      </c>
      <c r="P38" s="165" t="s">
        <v>3261</v>
      </c>
      <c r="Q38" s="126" t="s">
        <v>3262</v>
      </c>
      <c r="R38" s="40" t="s">
        <v>1230</v>
      </c>
      <c r="S38" s="40"/>
      <c r="T38" s="40" t="s">
        <v>192</v>
      </c>
      <c r="U38" s="41" t="s">
        <v>1231</v>
      </c>
      <c r="V38" s="41" t="s">
        <v>139</v>
      </c>
      <c r="W38" s="41" t="s">
        <v>139</v>
      </c>
      <c r="X38" s="41" t="s">
        <v>139</v>
      </c>
      <c r="Y38" s="41" t="s">
        <v>139</v>
      </c>
      <c r="Z38" s="74" t="s">
        <v>163</v>
      </c>
      <c r="AA38" s="41" t="s">
        <v>139</v>
      </c>
      <c r="AB38" s="41" t="s">
        <v>139</v>
      </c>
      <c r="AC38" s="41" t="s">
        <v>139</v>
      </c>
      <c r="AD38" s="41" t="s">
        <v>139</v>
      </c>
      <c r="AE38" s="44"/>
      <c r="AF38" s="45"/>
      <c r="AG38" s="45"/>
      <c r="AH38" s="46"/>
      <c r="AI38" s="45"/>
      <c r="AJ38" s="45"/>
      <c r="AK38" s="45"/>
      <c r="AL38" s="3" t="s">
        <v>1582</v>
      </c>
    </row>
    <row r="39" spans="2:38" hidden="1">
      <c r="B39" s="144">
        <f t="shared" si="0"/>
        <v>36</v>
      </c>
      <c r="C39" s="148" t="s">
        <v>3732</v>
      </c>
      <c r="D39" s="148"/>
      <c r="E39" s="148"/>
      <c r="F39" s="148"/>
      <c r="G39" s="148"/>
      <c r="H39" s="148"/>
      <c r="I39" s="148"/>
      <c r="J39" s="148"/>
      <c r="K39" s="165" t="s">
        <v>3661</v>
      </c>
      <c r="L39" s="165" t="s">
        <v>3655</v>
      </c>
      <c r="M39" s="165"/>
      <c r="N39" s="65"/>
      <c r="O39" s="65" t="s">
        <v>3555</v>
      </c>
      <c r="P39" s="65" t="s">
        <v>3289</v>
      </c>
      <c r="Q39" s="54" t="s">
        <v>3290</v>
      </c>
      <c r="R39" s="41" t="s">
        <v>481</v>
      </c>
      <c r="S39" s="41"/>
      <c r="T39" s="41" t="s">
        <v>139</v>
      </c>
      <c r="U39" s="41" t="s">
        <v>482</v>
      </c>
      <c r="V39" s="41" t="s">
        <v>139</v>
      </c>
      <c r="W39" s="41" t="s">
        <v>139</v>
      </c>
      <c r="X39" s="41" t="s">
        <v>139</v>
      </c>
      <c r="Y39" s="41" t="s">
        <v>139</v>
      </c>
      <c r="Z39" s="73" t="s">
        <v>483</v>
      </c>
      <c r="AA39" s="54" t="s">
        <v>139</v>
      </c>
      <c r="AB39" s="54" t="s">
        <v>139</v>
      </c>
      <c r="AC39" s="54" t="s">
        <v>139</v>
      </c>
      <c r="AD39" s="54" t="s">
        <v>139</v>
      </c>
      <c r="AE39" s="55"/>
      <c r="AF39" s="56"/>
      <c r="AG39" s="56"/>
      <c r="AH39" s="57"/>
      <c r="AI39" s="56"/>
      <c r="AJ39" s="56"/>
      <c r="AK39" s="56"/>
      <c r="AL39" s="3" t="s">
        <v>1582</v>
      </c>
    </row>
    <row r="40" spans="2:38" hidden="1">
      <c r="B40" s="144">
        <f t="shared" si="0"/>
        <v>37</v>
      </c>
      <c r="C40" s="148" t="s">
        <v>3732</v>
      </c>
      <c r="D40" s="148"/>
      <c r="E40" s="148"/>
      <c r="F40" s="148"/>
      <c r="G40" s="148"/>
      <c r="H40" s="148"/>
      <c r="I40" s="148"/>
      <c r="J40" s="148"/>
      <c r="K40" s="165" t="s">
        <v>3661</v>
      </c>
      <c r="L40" s="165" t="s">
        <v>3655</v>
      </c>
      <c r="M40" s="165"/>
      <c r="N40" s="65"/>
      <c r="O40" s="65" t="s">
        <v>3556</v>
      </c>
      <c r="P40" s="65" t="s">
        <v>3291</v>
      </c>
      <c r="Q40" s="54" t="s">
        <v>3292</v>
      </c>
      <c r="R40" s="41" t="s">
        <v>484</v>
      </c>
      <c r="S40" s="41"/>
      <c r="T40" s="41" t="s">
        <v>139</v>
      </c>
      <c r="U40" s="41" t="s">
        <v>485</v>
      </c>
      <c r="V40" s="41" t="s">
        <v>139</v>
      </c>
      <c r="W40" s="41" t="s">
        <v>139</v>
      </c>
      <c r="X40" s="41" t="s">
        <v>139</v>
      </c>
      <c r="Y40" s="41" t="s">
        <v>139</v>
      </c>
      <c r="Z40" s="73" t="s">
        <v>218</v>
      </c>
      <c r="AA40" s="54" t="s">
        <v>139</v>
      </c>
      <c r="AB40" s="54" t="s">
        <v>139</v>
      </c>
      <c r="AC40" s="54" t="s">
        <v>139</v>
      </c>
      <c r="AD40" s="54" t="s">
        <v>139</v>
      </c>
      <c r="AE40" s="55"/>
      <c r="AF40" s="56"/>
      <c r="AG40" s="56"/>
      <c r="AH40" s="57"/>
      <c r="AI40" s="56"/>
      <c r="AJ40" s="56"/>
      <c r="AK40" s="56"/>
      <c r="AL40" s="3" t="s">
        <v>1582</v>
      </c>
    </row>
    <row r="41" spans="2:38" hidden="1">
      <c r="B41" s="144">
        <f t="shared" si="0"/>
        <v>38</v>
      </c>
      <c r="C41" s="148" t="s">
        <v>3732</v>
      </c>
      <c r="D41" s="148"/>
      <c r="E41" s="148"/>
      <c r="F41" s="148"/>
      <c r="G41" s="148"/>
      <c r="H41" s="148"/>
      <c r="I41" s="148"/>
      <c r="J41" s="148"/>
      <c r="K41" s="165" t="s">
        <v>3661</v>
      </c>
      <c r="L41" s="165" t="s">
        <v>3655</v>
      </c>
      <c r="M41" s="165"/>
      <c r="N41" s="65"/>
      <c r="O41" s="65" t="s">
        <v>486</v>
      </c>
      <c r="P41" s="65" t="s">
        <v>486</v>
      </c>
      <c r="Q41" s="54" t="s">
        <v>139</v>
      </c>
      <c r="R41" s="41" t="s">
        <v>487</v>
      </c>
      <c r="S41" s="41"/>
      <c r="T41" s="41" t="s">
        <v>139</v>
      </c>
      <c r="U41" s="41" t="s">
        <v>442</v>
      </c>
      <c r="V41" s="41" t="s">
        <v>139</v>
      </c>
      <c r="W41" s="41" t="s">
        <v>139</v>
      </c>
      <c r="X41" s="41" t="s">
        <v>139</v>
      </c>
      <c r="Y41" s="41" t="s">
        <v>139</v>
      </c>
      <c r="Z41" s="73" t="s">
        <v>218</v>
      </c>
      <c r="AA41" s="54" t="s">
        <v>139</v>
      </c>
      <c r="AB41" s="54" t="s">
        <v>139</v>
      </c>
      <c r="AC41" s="54" t="s">
        <v>139</v>
      </c>
      <c r="AD41" s="54" t="s">
        <v>139</v>
      </c>
      <c r="AE41" s="55"/>
      <c r="AF41" s="56"/>
      <c r="AG41" s="56"/>
      <c r="AH41" s="57"/>
      <c r="AI41" s="56"/>
      <c r="AJ41" s="56"/>
      <c r="AK41" s="56"/>
      <c r="AL41" s="3" t="s">
        <v>1582</v>
      </c>
    </row>
    <row r="42" spans="2:38" hidden="1">
      <c r="B42" s="144">
        <f t="shared" si="0"/>
        <v>39</v>
      </c>
      <c r="C42" s="148" t="s">
        <v>3732</v>
      </c>
      <c r="D42" s="148"/>
      <c r="E42" s="148"/>
      <c r="F42" s="148"/>
      <c r="G42" s="148"/>
      <c r="H42" s="148"/>
      <c r="I42" s="148"/>
      <c r="J42" s="148"/>
      <c r="K42" s="165" t="s">
        <v>3661</v>
      </c>
      <c r="L42" s="165" t="s">
        <v>3655</v>
      </c>
      <c r="M42" s="165"/>
      <c r="N42" s="65"/>
      <c r="O42" s="65" t="s">
        <v>3557</v>
      </c>
      <c r="P42" s="65" t="s">
        <v>3294</v>
      </c>
      <c r="Q42" s="54" t="s">
        <v>3293</v>
      </c>
      <c r="R42" s="41" t="s">
        <v>488</v>
      </c>
      <c r="S42" s="41"/>
      <c r="T42" s="41" t="s">
        <v>139</v>
      </c>
      <c r="U42" s="41" t="s">
        <v>442</v>
      </c>
      <c r="V42" s="41" t="s">
        <v>139</v>
      </c>
      <c r="W42" s="41" t="s">
        <v>139</v>
      </c>
      <c r="X42" s="41" t="s">
        <v>139</v>
      </c>
      <c r="Y42" s="41" t="s">
        <v>139</v>
      </c>
      <c r="Z42" s="73" t="s">
        <v>218</v>
      </c>
      <c r="AA42" s="54" t="s">
        <v>139</v>
      </c>
      <c r="AB42" s="54" t="s">
        <v>139</v>
      </c>
      <c r="AC42" s="54" t="s">
        <v>139</v>
      </c>
      <c r="AD42" s="54" t="s">
        <v>139</v>
      </c>
      <c r="AE42" s="55"/>
      <c r="AF42" s="56"/>
      <c r="AG42" s="56"/>
      <c r="AH42" s="57"/>
      <c r="AI42" s="56"/>
      <c r="AJ42" s="56"/>
      <c r="AK42" s="56"/>
      <c r="AL42" s="3" t="s">
        <v>1582</v>
      </c>
    </row>
    <row r="43" spans="2:38" ht="27" hidden="1">
      <c r="B43" s="144">
        <f t="shared" si="0"/>
        <v>40</v>
      </c>
      <c r="C43" s="148" t="s">
        <v>3732</v>
      </c>
      <c r="D43" s="148"/>
      <c r="E43" s="148"/>
      <c r="F43" s="148"/>
      <c r="G43" s="148"/>
      <c r="H43" s="148"/>
      <c r="I43" s="148"/>
      <c r="J43" s="148"/>
      <c r="K43" s="165" t="s">
        <v>3661</v>
      </c>
      <c r="L43" s="165" t="s">
        <v>3655</v>
      </c>
      <c r="M43" s="165"/>
      <c r="N43" s="65"/>
      <c r="O43" s="65" t="s">
        <v>437</v>
      </c>
      <c r="P43" s="65" t="s">
        <v>437</v>
      </c>
      <c r="Q43" s="54" t="s">
        <v>139</v>
      </c>
      <c r="R43" s="41" t="s">
        <v>499</v>
      </c>
      <c r="S43" s="41"/>
      <c r="T43" s="41" t="s">
        <v>139</v>
      </c>
      <c r="U43" s="41" t="s">
        <v>500</v>
      </c>
      <c r="V43" s="41" t="s">
        <v>139</v>
      </c>
      <c r="W43" s="41" t="s">
        <v>139</v>
      </c>
      <c r="X43" s="41" t="s">
        <v>139</v>
      </c>
      <c r="Y43" s="41" t="s">
        <v>139</v>
      </c>
      <c r="Z43" s="73" t="s">
        <v>438</v>
      </c>
      <c r="AA43" s="54" t="s">
        <v>139</v>
      </c>
      <c r="AB43" s="54" t="s">
        <v>139</v>
      </c>
      <c r="AC43" s="54" t="s">
        <v>139</v>
      </c>
      <c r="AD43" s="54" t="s">
        <v>139</v>
      </c>
      <c r="AE43" s="55"/>
      <c r="AF43" s="56"/>
      <c r="AG43" s="56"/>
      <c r="AH43" s="57"/>
      <c r="AI43" s="56"/>
      <c r="AJ43" s="56"/>
      <c r="AK43" s="56"/>
      <c r="AL43" s="3" t="s">
        <v>1582</v>
      </c>
    </row>
    <row r="44" spans="2:38" ht="40.5" hidden="1">
      <c r="B44" s="144">
        <f t="shared" si="0"/>
        <v>41</v>
      </c>
      <c r="C44" s="148" t="s">
        <v>3732</v>
      </c>
      <c r="D44" s="148"/>
      <c r="E44" s="148"/>
      <c r="F44" s="148"/>
      <c r="G44" s="148"/>
      <c r="H44" s="148"/>
      <c r="I44" s="148"/>
      <c r="J44" s="148"/>
      <c r="K44" s="165" t="s">
        <v>3661</v>
      </c>
      <c r="L44" s="165" t="s">
        <v>3655</v>
      </c>
      <c r="M44" s="165"/>
      <c r="N44" s="165"/>
      <c r="O44" s="165" t="s">
        <v>3558</v>
      </c>
      <c r="P44" s="165" t="s">
        <v>3032</v>
      </c>
      <c r="Q44" s="126" t="s">
        <v>3031</v>
      </c>
      <c r="R44" s="40" t="s">
        <v>1297</v>
      </c>
      <c r="S44" s="40"/>
      <c r="T44" s="40" t="s">
        <v>139</v>
      </c>
      <c r="U44" s="41" t="s">
        <v>1298</v>
      </c>
      <c r="V44" s="41" t="s">
        <v>139</v>
      </c>
      <c r="W44" s="41" t="s">
        <v>139</v>
      </c>
      <c r="X44" s="41" t="s">
        <v>139</v>
      </c>
      <c r="Y44" s="41" t="s">
        <v>139</v>
      </c>
      <c r="Z44" s="74" t="s">
        <v>1277</v>
      </c>
      <c r="AA44" s="41" t="s">
        <v>139</v>
      </c>
      <c r="AB44" s="41" t="s">
        <v>139</v>
      </c>
      <c r="AC44" s="41" t="s">
        <v>139</v>
      </c>
      <c r="AD44" s="41" t="s">
        <v>139</v>
      </c>
      <c r="AE44" s="44"/>
      <c r="AF44" s="45"/>
      <c r="AG44" s="45"/>
      <c r="AH44" s="46"/>
      <c r="AI44" s="45"/>
      <c r="AJ44" s="45"/>
      <c r="AK44" s="45"/>
      <c r="AL44" s="3" t="s">
        <v>1582</v>
      </c>
    </row>
    <row r="45" spans="2:38" ht="40.5" hidden="1">
      <c r="B45" s="144">
        <f t="shared" si="0"/>
        <v>42</v>
      </c>
      <c r="C45" s="148" t="s">
        <v>3732</v>
      </c>
      <c r="D45" s="148"/>
      <c r="E45" s="148"/>
      <c r="F45" s="148"/>
      <c r="G45" s="148"/>
      <c r="H45" s="148"/>
      <c r="I45" s="148"/>
      <c r="J45" s="148"/>
      <c r="K45" s="165" t="s">
        <v>3661</v>
      </c>
      <c r="L45" s="165" t="s">
        <v>3655</v>
      </c>
      <c r="M45" s="165"/>
      <c r="N45" s="165"/>
      <c r="O45" s="165" t="s">
        <v>3559</v>
      </c>
      <c r="P45" s="165" t="s">
        <v>3034</v>
      </c>
      <c r="Q45" s="126" t="s">
        <v>3033</v>
      </c>
      <c r="R45" s="40" t="s">
        <v>3035</v>
      </c>
      <c r="S45" s="40"/>
      <c r="T45" s="40" t="s">
        <v>139</v>
      </c>
      <c r="U45" s="41" t="s">
        <v>139</v>
      </c>
      <c r="V45" s="41" t="s">
        <v>766</v>
      </c>
      <c r="W45" s="41" t="s">
        <v>139</v>
      </c>
      <c r="X45" s="41" t="s">
        <v>139</v>
      </c>
      <c r="Y45" s="41" t="s">
        <v>139</v>
      </c>
      <c r="Z45" s="74" t="s">
        <v>139</v>
      </c>
      <c r="AA45" s="41" t="s">
        <v>767</v>
      </c>
      <c r="AB45" s="41" t="s">
        <v>139</v>
      </c>
      <c r="AC45" s="41" t="s">
        <v>139</v>
      </c>
      <c r="AD45" s="41" t="s">
        <v>139</v>
      </c>
      <c r="AE45" s="44"/>
      <c r="AF45" s="45"/>
      <c r="AG45" s="45"/>
      <c r="AH45" s="46"/>
      <c r="AI45" s="45"/>
      <c r="AJ45" s="45"/>
      <c r="AK45" s="45"/>
      <c r="AL45" s="3" t="s">
        <v>1582</v>
      </c>
    </row>
    <row r="46" spans="2:38" hidden="1">
      <c r="B46" s="144">
        <f t="shared" si="0"/>
        <v>43</v>
      </c>
      <c r="C46" s="148" t="s">
        <v>3732</v>
      </c>
      <c r="D46" s="148"/>
      <c r="E46" s="148"/>
      <c r="F46" s="148"/>
      <c r="G46" s="148"/>
      <c r="H46" s="148"/>
      <c r="I46" s="148"/>
      <c r="J46" s="148"/>
      <c r="K46" s="165" t="s">
        <v>3661</v>
      </c>
      <c r="L46" s="165" t="s">
        <v>3655</v>
      </c>
      <c r="M46" s="65"/>
      <c r="N46" s="65"/>
      <c r="O46" s="65" t="s">
        <v>432</v>
      </c>
      <c r="P46" s="65" t="s">
        <v>432</v>
      </c>
      <c r="Q46" s="54" t="s">
        <v>139</v>
      </c>
      <c r="R46" s="41" t="s">
        <v>433</v>
      </c>
      <c r="S46" s="41"/>
      <c r="T46" s="41" t="s">
        <v>139</v>
      </c>
      <c r="U46" s="41" t="s">
        <v>434</v>
      </c>
      <c r="V46" s="41" t="s">
        <v>139</v>
      </c>
      <c r="W46" s="41" t="s">
        <v>139</v>
      </c>
      <c r="X46" s="41" t="s">
        <v>139</v>
      </c>
      <c r="Y46" s="41" t="s">
        <v>139</v>
      </c>
      <c r="Z46" s="73" t="s">
        <v>435</v>
      </c>
      <c r="AA46" s="54" t="s">
        <v>139</v>
      </c>
      <c r="AB46" s="54" t="s">
        <v>139</v>
      </c>
      <c r="AC46" s="54" t="s">
        <v>139</v>
      </c>
      <c r="AD46" s="54" t="s">
        <v>139</v>
      </c>
      <c r="AE46" s="55"/>
      <c r="AF46" s="56"/>
      <c r="AG46" s="56"/>
      <c r="AH46" s="57"/>
      <c r="AI46" s="56"/>
      <c r="AJ46" s="56"/>
      <c r="AK46" s="56"/>
      <c r="AL46" s="3" t="s">
        <v>1582</v>
      </c>
    </row>
    <row r="47" spans="2:38" hidden="1">
      <c r="B47" s="144">
        <f t="shared" si="0"/>
        <v>44</v>
      </c>
      <c r="C47" s="148" t="s">
        <v>3732</v>
      </c>
      <c r="D47" s="148"/>
      <c r="E47" s="148"/>
      <c r="F47" s="148"/>
      <c r="G47" s="148"/>
      <c r="H47" s="148"/>
      <c r="I47" s="148"/>
      <c r="J47" s="148"/>
      <c r="K47" s="165" t="s">
        <v>3661</v>
      </c>
      <c r="L47" s="165" t="s">
        <v>3655</v>
      </c>
      <c r="M47" s="65"/>
      <c r="N47" s="65"/>
      <c r="O47" s="65" t="s">
        <v>501</v>
      </c>
      <c r="P47" s="65" t="s">
        <v>501</v>
      </c>
      <c r="Q47" s="54" t="s">
        <v>139</v>
      </c>
      <c r="R47" s="41" t="s">
        <v>502</v>
      </c>
      <c r="S47" s="41"/>
      <c r="T47" s="41" t="s">
        <v>139</v>
      </c>
      <c r="U47" s="41" t="s">
        <v>503</v>
      </c>
      <c r="V47" s="41" t="s">
        <v>139</v>
      </c>
      <c r="W47" s="41" t="s">
        <v>139</v>
      </c>
      <c r="X47" s="41" t="s">
        <v>139</v>
      </c>
      <c r="Y47" s="41" t="s">
        <v>139</v>
      </c>
      <c r="Z47" s="73" t="s">
        <v>438</v>
      </c>
      <c r="AA47" s="54" t="s">
        <v>139</v>
      </c>
      <c r="AB47" s="54" t="s">
        <v>139</v>
      </c>
      <c r="AC47" s="54" t="s">
        <v>139</v>
      </c>
      <c r="AD47" s="54" t="s">
        <v>139</v>
      </c>
      <c r="AE47" s="55"/>
      <c r="AF47" s="56"/>
      <c r="AG47" s="56"/>
      <c r="AH47" s="57"/>
      <c r="AI47" s="56"/>
      <c r="AJ47" s="56"/>
      <c r="AK47" s="56"/>
      <c r="AL47" s="3" t="s">
        <v>1582</v>
      </c>
    </row>
    <row r="48" spans="2:38" ht="27" hidden="1">
      <c r="B48" s="144">
        <f t="shared" si="0"/>
        <v>45</v>
      </c>
      <c r="C48" s="148" t="s">
        <v>3732</v>
      </c>
      <c r="D48" s="148"/>
      <c r="E48" s="148"/>
      <c r="F48" s="148"/>
      <c r="G48" s="148"/>
      <c r="H48" s="148"/>
      <c r="I48" s="148"/>
      <c r="J48" s="148"/>
      <c r="K48" s="165" t="s">
        <v>3661</v>
      </c>
      <c r="L48" s="165" t="s">
        <v>3655</v>
      </c>
      <c r="M48" s="165"/>
      <c r="N48" s="165"/>
      <c r="O48" s="165" t="s">
        <v>3560</v>
      </c>
      <c r="P48" s="165" t="s">
        <v>3061</v>
      </c>
      <c r="Q48" s="126" t="s">
        <v>1304</v>
      </c>
      <c r="R48" s="40" t="s">
        <v>1305</v>
      </c>
      <c r="S48" s="40"/>
      <c r="T48" s="40" t="s">
        <v>139</v>
      </c>
      <c r="U48" s="41" t="s">
        <v>1306</v>
      </c>
      <c r="V48" s="41" t="s">
        <v>139</v>
      </c>
      <c r="W48" s="41" t="s">
        <v>139</v>
      </c>
      <c r="X48" s="41" t="s">
        <v>139</v>
      </c>
      <c r="Y48" s="41" t="s">
        <v>139</v>
      </c>
      <c r="Z48" s="74" t="s">
        <v>117</v>
      </c>
      <c r="AA48" s="41" t="s">
        <v>139</v>
      </c>
      <c r="AB48" s="41" t="s">
        <v>139</v>
      </c>
      <c r="AC48" s="41" t="s">
        <v>139</v>
      </c>
      <c r="AD48" s="41" t="s">
        <v>139</v>
      </c>
      <c r="AE48" s="44"/>
      <c r="AF48" s="45"/>
      <c r="AG48" s="45"/>
      <c r="AH48" s="46"/>
      <c r="AI48" s="45"/>
      <c r="AJ48" s="45"/>
      <c r="AK48" s="45"/>
      <c r="AL48" s="3" t="s">
        <v>1582</v>
      </c>
    </row>
    <row r="49" spans="2:38" ht="40.5" hidden="1">
      <c r="B49" s="144">
        <f t="shared" si="0"/>
        <v>46</v>
      </c>
      <c r="C49" s="148" t="s">
        <v>3732</v>
      </c>
      <c r="D49" s="148"/>
      <c r="E49" s="148"/>
      <c r="F49" s="148"/>
      <c r="G49" s="148"/>
      <c r="H49" s="148"/>
      <c r="I49" s="148"/>
      <c r="J49" s="148"/>
      <c r="K49" s="165" t="s">
        <v>3661</v>
      </c>
      <c r="L49" s="165" t="s">
        <v>3655</v>
      </c>
      <c r="M49" s="165"/>
      <c r="N49" s="165"/>
      <c r="O49" s="165" t="s">
        <v>758</v>
      </c>
      <c r="P49" s="165" t="s">
        <v>758</v>
      </c>
      <c r="Q49" s="126" t="s">
        <v>759</v>
      </c>
      <c r="R49" s="40" t="s">
        <v>760</v>
      </c>
      <c r="S49" s="40"/>
      <c r="T49" s="40" t="s">
        <v>3065</v>
      </c>
      <c r="U49" s="41" t="s">
        <v>139</v>
      </c>
      <c r="V49" s="41" t="s">
        <v>761</v>
      </c>
      <c r="W49" s="41" t="s">
        <v>139</v>
      </c>
      <c r="X49" s="41" t="s">
        <v>139</v>
      </c>
      <c r="Y49" s="41" t="s">
        <v>139</v>
      </c>
      <c r="Z49" s="74" t="s">
        <v>139</v>
      </c>
      <c r="AA49" s="41" t="s">
        <v>758</v>
      </c>
      <c r="AB49" s="41" t="s">
        <v>139</v>
      </c>
      <c r="AC49" s="41" t="s">
        <v>139</v>
      </c>
      <c r="AD49" s="41" t="s">
        <v>139</v>
      </c>
      <c r="AE49" s="44"/>
      <c r="AF49" s="45"/>
      <c r="AG49" s="45"/>
      <c r="AH49" s="46"/>
      <c r="AI49" s="45"/>
      <c r="AJ49" s="45"/>
      <c r="AK49" s="45"/>
      <c r="AL49" s="3" t="s">
        <v>1582</v>
      </c>
    </row>
    <row r="50" spans="2:38" hidden="1">
      <c r="B50" s="144">
        <f t="shared" si="0"/>
        <v>47</v>
      </c>
      <c r="C50" s="148" t="s">
        <v>3732</v>
      </c>
      <c r="D50" s="148"/>
      <c r="E50" s="148"/>
      <c r="F50" s="148"/>
      <c r="G50" s="148"/>
      <c r="H50" s="148"/>
      <c r="I50" s="148"/>
      <c r="J50" s="148"/>
      <c r="K50" s="165" t="s">
        <v>3661</v>
      </c>
      <c r="L50" s="165" t="s">
        <v>3655</v>
      </c>
      <c r="M50" s="65"/>
      <c r="N50" s="65"/>
      <c r="O50" s="65" t="s">
        <v>278</v>
      </c>
      <c r="P50" s="65" t="s">
        <v>278</v>
      </c>
      <c r="Q50" s="54" t="s">
        <v>1637</v>
      </c>
      <c r="R50" s="41" t="s">
        <v>279</v>
      </c>
      <c r="S50" s="41"/>
      <c r="T50" s="41" t="s">
        <v>139</v>
      </c>
      <c r="U50" s="41" t="s">
        <v>280</v>
      </c>
      <c r="V50" s="41" t="s">
        <v>139</v>
      </c>
      <c r="W50" s="41" t="s">
        <v>139</v>
      </c>
      <c r="X50" s="41" t="s">
        <v>139</v>
      </c>
      <c r="Y50" s="41" t="s">
        <v>139</v>
      </c>
      <c r="Z50" s="73" t="s">
        <v>218</v>
      </c>
      <c r="AA50" s="54" t="s">
        <v>139</v>
      </c>
      <c r="AB50" s="54" t="s">
        <v>139</v>
      </c>
      <c r="AC50" s="54" t="s">
        <v>139</v>
      </c>
      <c r="AD50" s="54" t="s">
        <v>139</v>
      </c>
      <c r="AE50" s="55"/>
      <c r="AF50" s="56"/>
      <c r="AG50" s="56"/>
      <c r="AH50" s="57"/>
      <c r="AI50" s="56"/>
      <c r="AJ50" s="56"/>
      <c r="AK50" s="56"/>
      <c r="AL50" s="3" t="s">
        <v>1582</v>
      </c>
    </row>
    <row r="51" spans="2:38" ht="27" hidden="1">
      <c r="B51" s="144">
        <f t="shared" si="0"/>
        <v>48</v>
      </c>
      <c r="C51" s="148" t="s">
        <v>3732</v>
      </c>
      <c r="D51" s="148"/>
      <c r="E51" s="148"/>
      <c r="F51" s="148"/>
      <c r="G51" s="148"/>
      <c r="H51" s="148"/>
      <c r="I51" s="148"/>
      <c r="J51" s="148"/>
      <c r="K51" s="165" t="s">
        <v>3661</v>
      </c>
      <c r="L51" s="165" t="s">
        <v>3655</v>
      </c>
      <c r="M51" s="65"/>
      <c r="N51" s="65"/>
      <c r="O51" s="65" t="s">
        <v>586</v>
      </c>
      <c r="P51" s="65" t="s">
        <v>586</v>
      </c>
      <c r="Q51" s="54" t="s">
        <v>587</v>
      </c>
      <c r="R51" s="41" t="s">
        <v>588</v>
      </c>
      <c r="S51" s="41"/>
      <c r="T51" s="41" t="s">
        <v>139</v>
      </c>
      <c r="U51" s="41" t="s">
        <v>589</v>
      </c>
      <c r="V51" s="41" t="s">
        <v>139</v>
      </c>
      <c r="W51" s="41" t="s">
        <v>139</v>
      </c>
      <c r="X51" s="41" t="s">
        <v>139</v>
      </c>
      <c r="Y51" s="41" t="s">
        <v>139</v>
      </c>
      <c r="Z51" s="73" t="s">
        <v>163</v>
      </c>
      <c r="AA51" s="54" t="s">
        <v>139</v>
      </c>
      <c r="AB51" s="54" t="s">
        <v>139</v>
      </c>
      <c r="AC51" s="54" t="s">
        <v>139</v>
      </c>
      <c r="AD51" s="54" t="s">
        <v>139</v>
      </c>
      <c r="AE51" s="55"/>
      <c r="AF51" s="56"/>
      <c r="AG51" s="56"/>
      <c r="AH51" s="57"/>
      <c r="AI51" s="56"/>
      <c r="AJ51" s="56"/>
      <c r="AK51" s="56"/>
      <c r="AL51" s="3" t="s">
        <v>1582</v>
      </c>
    </row>
    <row r="52" spans="2:38" ht="40.5" hidden="1">
      <c r="B52" s="144">
        <f t="shared" si="0"/>
        <v>49</v>
      </c>
      <c r="C52" s="148" t="s">
        <v>3732</v>
      </c>
      <c r="D52" s="148"/>
      <c r="E52" s="148"/>
      <c r="F52" s="148"/>
      <c r="G52" s="148"/>
      <c r="H52" s="148"/>
      <c r="I52" s="148"/>
      <c r="J52" s="148"/>
      <c r="K52" s="165" t="s">
        <v>3661</v>
      </c>
      <c r="L52" s="165" t="s">
        <v>3655</v>
      </c>
      <c r="M52" s="165"/>
      <c r="N52" s="165"/>
      <c r="O52" s="165" t="s">
        <v>3561</v>
      </c>
      <c r="P52" s="165" t="s">
        <v>2100</v>
      </c>
      <c r="Q52" s="126" t="s">
        <v>1205</v>
      </c>
      <c r="R52" s="40" t="s">
        <v>1206</v>
      </c>
      <c r="S52" s="40"/>
      <c r="T52" s="40" t="s">
        <v>139</v>
      </c>
      <c r="U52" s="41" t="s">
        <v>1207</v>
      </c>
      <c r="V52" s="41" t="s">
        <v>139</v>
      </c>
      <c r="W52" s="41" t="s">
        <v>139</v>
      </c>
      <c r="X52" s="41" t="s">
        <v>139</v>
      </c>
      <c r="Y52" s="41" t="s">
        <v>139</v>
      </c>
      <c r="Z52" s="74" t="s">
        <v>163</v>
      </c>
      <c r="AA52" s="41" t="s">
        <v>139</v>
      </c>
      <c r="AB52" s="41" t="s">
        <v>139</v>
      </c>
      <c r="AC52" s="41" t="s">
        <v>139</v>
      </c>
      <c r="AD52" s="41" t="s">
        <v>139</v>
      </c>
      <c r="AE52" s="44"/>
      <c r="AF52" s="45"/>
      <c r="AG52" s="45"/>
      <c r="AH52" s="46"/>
      <c r="AI52" s="45"/>
      <c r="AJ52" s="45"/>
      <c r="AK52" s="45"/>
      <c r="AL52" s="3" t="s">
        <v>1582</v>
      </c>
    </row>
    <row r="53" spans="2:38" ht="27" hidden="1">
      <c r="B53" s="144">
        <f t="shared" si="0"/>
        <v>50</v>
      </c>
      <c r="C53" s="148" t="s">
        <v>3732</v>
      </c>
      <c r="D53" s="148"/>
      <c r="E53" s="148"/>
      <c r="F53" s="148"/>
      <c r="G53" s="148"/>
      <c r="H53" s="148"/>
      <c r="I53" s="148"/>
      <c r="J53" s="148"/>
      <c r="K53" s="165" t="s">
        <v>3661</v>
      </c>
      <c r="L53" s="165" t="s">
        <v>3655</v>
      </c>
      <c r="M53" s="65"/>
      <c r="N53" s="65"/>
      <c r="O53" s="65" t="s">
        <v>390</v>
      </c>
      <c r="P53" s="65" t="s">
        <v>390</v>
      </c>
      <c r="Q53" s="54" t="s">
        <v>139</v>
      </c>
      <c r="R53" s="41" t="s">
        <v>391</v>
      </c>
      <c r="S53" s="41" t="s">
        <v>392</v>
      </c>
      <c r="T53" s="41" t="s">
        <v>139</v>
      </c>
      <c r="U53" s="41" t="s">
        <v>374</v>
      </c>
      <c r="V53" s="41" t="s">
        <v>139</v>
      </c>
      <c r="W53" s="41" t="s">
        <v>139</v>
      </c>
      <c r="X53" s="41" t="s">
        <v>139</v>
      </c>
      <c r="Y53" s="41" t="s">
        <v>139</v>
      </c>
      <c r="Z53" s="73" t="s">
        <v>163</v>
      </c>
      <c r="AA53" s="54" t="s">
        <v>139</v>
      </c>
      <c r="AB53" s="54" t="s">
        <v>139</v>
      </c>
      <c r="AC53" s="54" t="s">
        <v>139</v>
      </c>
      <c r="AD53" s="54" t="s">
        <v>139</v>
      </c>
      <c r="AE53" s="55"/>
      <c r="AF53" s="56"/>
      <c r="AG53" s="56"/>
      <c r="AH53" s="57"/>
      <c r="AI53" s="56"/>
      <c r="AJ53" s="56"/>
      <c r="AK53" s="56"/>
      <c r="AL53" s="3" t="s">
        <v>1582</v>
      </c>
    </row>
    <row r="54" spans="2:38" ht="27" hidden="1">
      <c r="B54" s="144">
        <f t="shared" si="0"/>
        <v>51</v>
      </c>
      <c r="C54" s="148" t="s">
        <v>3732</v>
      </c>
      <c r="D54" s="148"/>
      <c r="E54" s="148"/>
      <c r="F54" s="148"/>
      <c r="G54" s="148"/>
      <c r="H54" s="148"/>
      <c r="I54" s="148"/>
      <c r="J54" s="148"/>
      <c r="K54" s="165" t="s">
        <v>3661</v>
      </c>
      <c r="L54" s="165" t="s">
        <v>3655</v>
      </c>
      <c r="M54" s="65"/>
      <c r="N54" s="65"/>
      <c r="O54" s="65" t="s">
        <v>2909</v>
      </c>
      <c r="P54" s="65" t="s">
        <v>2909</v>
      </c>
      <c r="Q54" s="54" t="s">
        <v>1637</v>
      </c>
      <c r="R54" s="41" t="s">
        <v>2914</v>
      </c>
      <c r="S54" s="41"/>
      <c r="T54" s="41" t="s">
        <v>1637</v>
      </c>
      <c r="U54" s="41" t="s">
        <v>429</v>
      </c>
      <c r="V54" s="41" t="s">
        <v>139</v>
      </c>
      <c r="W54" s="41" t="s">
        <v>139</v>
      </c>
      <c r="X54" s="41" t="s">
        <v>139</v>
      </c>
      <c r="Y54" s="41" t="s">
        <v>139</v>
      </c>
      <c r="Z54" s="73" t="s">
        <v>218</v>
      </c>
      <c r="AA54" s="54" t="s">
        <v>139</v>
      </c>
      <c r="AB54" s="54" t="s">
        <v>139</v>
      </c>
      <c r="AC54" s="54" t="s">
        <v>139</v>
      </c>
      <c r="AD54" s="54" t="s">
        <v>139</v>
      </c>
      <c r="AE54" s="55"/>
      <c r="AF54" s="56"/>
      <c r="AG54" s="56"/>
      <c r="AH54" s="57"/>
      <c r="AI54" s="56"/>
      <c r="AJ54" s="56"/>
      <c r="AK54" s="56"/>
      <c r="AL54" s="3" t="s">
        <v>1582</v>
      </c>
    </row>
    <row r="55" spans="2:38" ht="40.5" hidden="1">
      <c r="B55" s="144">
        <f t="shared" si="0"/>
        <v>52</v>
      </c>
      <c r="C55" s="148" t="s">
        <v>3732</v>
      </c>
      <c r="D55" s="148"/>
      <c r="E55" s="148"/>
      <c r="F55" s="148"/>
      <c r="G55" s="148"/>
      <c r="H55" s="148"/>
      <c r="I55" s="148"/>
      <c r="J55" s="148"/>
      <c r="K55" s="165" t="s">
        <v>3661</v>
      </c>
      <c r="L55" s="165" t="s">
        <v>3655</v>
      </c>
      <c r="M55" s="165"/>
      <c r="N55" s="165"/>
      <c r="O55" s="165" t="s">
        <v>1266</v>
      </c>
      <c r="P55" s="165" t="s">
        <v>1266</v>
      </c>
      <c r="Q55" s="126" t="s">
        <v>1267</v>
      </c>
      <c r="R55" s="40" t="s">
        <v>3073</v>
      </c>
      <c r="S55" s="40" t="s">
        <v>1268</v>
      </c>
      <c r="T55" s="40" t="s">
        <v>1269</v>
      </c>
      <c r="U55" s="41" t="s">
        <v>1270</v>
      </c>
      <c r="V55" s="41" t="s">
        <v>139</v>
      </c>
      <c r="W55" s="41" t="s">
        <v>139</v>
      </c>
      <c r="X55" s="41" t="s">
        <v>139</v>
      </c>
      <c r="Y55" s="41" t="s">
        <v>139</v>
      </c>
      <c r="Z55" s="74" t="s">
        <v>1271</v>
      </c>
      <c r="AA55" s="41" t="s">
        <v>139</v>
      </c>
      <c r="AB55" s="41" t="s">
        <v>139</v>
      </c>
      <c r="AC55" s="41" t="s">
        <v>139</v>
      </c>
      <c r="AD55" s="41" t="s">
        <v>139</v>
      </c>
      <c r="AE55" s="44"/>
      <c r="AF55" s="45"/>
      <c r="AG55" s="45"/>
      <c r="AH55" s="46"/>
      <c r="AI55" s="45"/>
      <c r="AJ55" s="45"/>
      <c r="AK55" s="45"/>
      <c r="AL55" s="3" t="s">
        <v>1582</v>
      </c>
    </row>
    <row r="56" spans="2:38" hidden="1">
      <c r="B56" s="144">
        <f t="shared" si="0"/>
        <v>53</v>
      </c>
      <c r="C56" s="148" t="s">
        <v>3732</v>
      </c>
      <c r="D56" s="148"/>
      <c r="E56" s="148"/>
      <c r="F56" s="148"/>
      <c r="G56" s="148"/>
      <c r="H56" s="148"/>
      <c r="I56" s="148"/>
      <c r="J56" s="148"/>
      <c r="K56" s="165" t="s">
        <v>3661</v>
      </c>
      <c r="L56" s="165" t="s">
        <v>3655</v>
      </c>
      <c r="M56" s="165"/>
      <c r="N56" s="65"/>
      <c r="O56" s="65" t="s">
        <v>504</v>
      </c>
      <c r="P56" s="65" t="s">
        <v>504</v>
      </c>
      <c r="Q56" s="54" t="s">
        <v>139</v>
      </c>
      <c r="R56" s="41" t="s">
        <v>505</v>
      </c>
      <c r="S56" s="41"/>
      <c r="T56" s="41" t="s">
        <v>139</v>
      </c>
      <c r="U56" s="41" t="s">
        <v>506</v>
      </c>
      <c r="V56" s="41" t="s">
        <v>139</v>
      </c>
      <c r="W56" s="41" t="s">
        <v>139</v>
      </c>
      <c r="X56" s="41" t="s">
        <v>139</v>
      </c>
      <c r="Y56" s="41" t="s">
        <v>139</v>
      </c>
      <c r="Z56" s="73" t="s">
        <v>438</v>
      </c>
      <c r="AA56" s="54" t="s">
        <v>139</v>
      </c>
      <c r="AB56" s="54" t="s">
        <v>139</v>
      </c>
      <c r="AC56" s="54" t="s">
        <v>139</v>
      </c>
      <c r="AD56" s="54" t="s">
        <v>139</v>
      </c>
      <c r="AE56" s="55"/>
      <c r="AF56" s="56"/>
      <c r="AG56" s="56"/>
      <c r="AH56" s="57"/>
      <c r="AI56" s="56"/>
      <c r="AJ56" s="56"/>
      <c r="AK56" s="56"/>
      <c r="AL56" s="3" t="s">
        <v>1582</v>
      </c>
    </row>
    <row r="57" spans="2:38" hidden="1">
      <c r="B57" s="144">
        <f t="shared" si="0"/>
        <v>54</v>
      </c>
      <c r="C57" s="148" t="s">
        <v>3732</v>
      </c>
      <c r="D57" s="148"/>
      <c r="E57" s="148"/>
      <c r="F57" s="148"/>
      <c r="G57" s="148"/>
      <c r="H57" s="148"/>
      <c r="I57" s="148"/>
      <c r="J57" s="148"/>
      <c r="K57" s="165" t="s">
        <v>3661</v>
      </c>
      <c r="L57" s="165" t="s">
        <v>3655</v>
      </c>
      <c r="M57" s="65"/>
      <c r="N57" s="65"/>
      <c r="O57" s="65" t="s">
        <v>444</v>
      </c>
      <c r="P57" s="65" t="s">
        <v>444</v>
      </c>
      <c r="Q57" s="54" t="s">
        <v>139</v>
      </c>
      <c r="R57" s="41" t="s">
        <v>445</v>
      </c>
      <c r="S57" s="41"/>
      <c r="T57" s="41" t="s">
        <v>139</v>
      </c>
      <c r="U57" s="41" t="s">
        <v>437</v>
      </c>
      <c r="V57" s="41" t="s">
        <v>139</v>
      </c>
      <c r="W57" s="41" t="s">
        <v>139</v>
      </c>
      <c r="X57" s="41" t="s">
        <v>139</v>
      </c>
      <c r="Y57" s="41" t="s">
        <v>139</v>
      </c>
      <c r="Z57" s="73" t="s">
        <v>438</v>
      </c>
      <c r="AA57" s="54" t="s">
        <v>139</v>
      </c>
      <c r="AB57" s="54" t="s">
        <v>139</v>
      </c>
      <c r="AC57" s="54" t="s">
        <v>139</v>
      </c>
      <c r="AD57" s="54" t="s">
        <v>139</v>
      </c>
      <c r="AE57" s="55"/>
      <c r="AF57" s="56"/>
      <c r="AG57" s="56"/>
      <c r="AH57" s="57"/>
      <c r="AI57" s="56"/>
      <c r="AJ57" s="56"/>
      <c r="AK57" s="56"/>
      <c r="AL57" s="3" t="s">
        <v>1582</v>
      </c>
    </row>
    <row r="58" spans="2:38" ht="67.5" hidden="1">
      <c r="B58" s="144">
        <f t="shared" si="0"/>
        <v>55</v>
      </c>
      <c r="C58" s="148" t="s">
        <v>3732</v>
      </c>
      <c r="D58" s="148"/>
      <c r="E58" s="148"/>
      <c r="F58" s="148"/>
      <c r="G58" s="148"/>
      <c r="H58" s="148"/>
      <c r="I58" s="148"/>
      <c r="J58" s="148"/>
      <c r="K58" s="165" t="s">
        <v>3661</v>
      </c>
      <c r="L58" s="165" t="s">
        <v>3655</v>
      </c>
      <c r="M58" s="65"/>
      <c r="N58" s="165"/>
      <c r="O58" s="165" t="s">
        <v>3562</v>
      </c>
      <c r="P58" s="165" t="s">
        <v>2110</v>
      </c>
      <c r="Q58" s="126" t="s">
        <v>1637</v>
      </c>
      <c r="R58" s="40" t="s">
        <v>2112</v>
      </c>
      <c r="S58" s="40"/>
      <c r="T58" s="40" t="s">
        <v>408</v>
      </c>
      <c r="U58" s="41" t="s">
        <v>139</v>
      </c>
      <c r="V58" s="41" t="s">
        <v>139</v>
      </c>
      <c r="W58" s="41" t="s">
        <v>139</v>
      </c>
      <c r="X58" s="41" t="s">
        <v>2122</v>
      </c>
      <c r="Y58" s="41" t="s">
        <v>139</v>
      </c>
      <c r="Z58" s="74" t="s">
        <v>139</v>
      </c>
      <c r="AA58" s="41" t="s">
        <v>139</v>
      </c>
      <c r="AB58" s="41" t="s">
        <v>139</v>
      </c>
      <c r="AC58" s="41" t="s">
        <v>668</v>
      </c>
      <c r="AD58" s="41" t="s">
        <v>139</v>
      </c>
      <c r="AE58" s="44"/>
      <c r="AF58" s="45"/>
      <c r="AG58" s="45"/>
      <c r="AH58" s="46"/>
      <c r="AI58" s="45"/>
      <c r="AJ58" s="45"/>
      <c r="AK58" s="45"/>
      <c r="AL58" s="3" t="s">
        <v>1582</v>
      </c>
    </row>
    <row r="59" spans="2:38" ht="27" hidden="1">
      <c r="B59" s="144">
        <f t="shared" si="0"/>
        <v>56</v>
      </c>
      <c r="C59" s="148" t="s">
        <v>3732</v>
      </c>
      <c r="D59" s="148"/>
      <c r="E59" s="148"/>
      <c r="F59" s="148"/>
      <c r="G59" s="148"/>
      <c r="H59" s="148"/>
      <c r="I59" s="148"/>
      <c r="J59" s="148"/>
      <c r="K59" s="165" t="s">
        <v>3661</v>
      </c>
      <c r="L59" s="165" t="s">
        <v>3655</v>
      </c>
      <c r="M59" s="65"/>
      <c r="N59" s="65"/>
      <c r="O59" s="65" t="s">
        <v>320</v>
      </c>
      <c r="P59" s="65" t="s">
        <v>320</v>
      </c>
      <c r="Q59" s="54" t="s">
        <v>1637</v>
      </c>
      <c r="R59" s="41" t="s">
        <v>321</v>
      </c>
      <c r="S59" s="41"/>
      <c r="T59" s="41" t="s">
        <v>192</v>
      </c>
      <c r="U59" s="41" t="s">
        <v>322</v>
      </c>
      <c r="V59" s="41" t="s">
        <v>139</v>
      </c>
      <c r="W59" s="41" t="s">
        <v>139</v>
      </c>
      <c r="X59" s="41" t="s">
        <v>323</v>
      </c>
      <c r="Y59" s="41" t="s">
        <v>139</v>
      </c>
      <c r="Z59" s="73" t="s">
        <v>127</v>
      </c>
      <c r="AA59" s="54" t="s">
        <v>139</v>
      </c>
      <c r="AB59" s="54" t="s">
        <v>139</v>
      </c>
      <c r="AC59" s="54" t="s">
        <v>324</v>
      </c>
      <c r="AD59" s="54" t="s">
        <v>139</v>
      </c>
      <c r="AE59" s="55"/>
      <c r="AF59" s="56"/>
      <c r="AG59" s="56"/>
      <c r="AH59" s="57"/>
      <c r="AI59" s="56"/>
      <c r="AJ59" s="56"/>
      <c r="AK59" s="56"/>
      <c r="AL59" s="3" t="s">
        <v>1582</v>
      </c>
    </row>
    <row r="60" spans="2:38" ht="27" hidden="1">
      <c r="B60" s="144">
        <f t="shared" si="0"/>
        <v>57</v>
      </c>
      <c r="C60" s="148" t="s">
        <v>3732</v>
      </c>
      <c r="D60" s="148"/>
      <c r="E60" s="148"/>
      <c r="F60" s="148"/>
      <c r="G60" s="148"/>
      <c r="H60" s="148"/>
      <c r="I60" s="148"/>
      <c r="J60" s="148"/>
      <c r="K60" s="165" t="s">
        <v>3661</v>
      </c>
      <c r="L60" s="165" t="s">
        <v>3655</v>
      </c>
      <c r="M60" s="65"/>
      <c r="N60" s="65"/>
      <c r="O60" s="65" t="s">
        <v>567</v>
      </c>
      <c r="P60" s="65" t="s">
        <v>567</v>
      </c>
      <c r="Q60" s="54" t="s">
        <v>139</v>
      </c>
      <c r="R60" s="41" t="s">
        <v>568</v>
      </c>
      <c r="S60" s="41"/>
      <c r="T60" s="41" t="s">
        <v>139</v>
      </c>
      <c r="U60" s="41" t="s">
        <v>569</v>
      </c>
      <c r="V60" s="41" t="s">
        <v>139</v>
      </c>
      <c r="W60" s="41" t="s">
        <v>139</v>
      </c>
      <c r="X60" s="41" t="s">
        <v>139</v>
      </c>
      <c r="Y60" s="41" t="s">
        <v>139</v>
      </c>
      <c r="Z60" s="73" t="s">
        <v>218</v>
      </c>
      <c r="AA60" s="54" t="s">
        <v>139</v>
      </c>
      <c r="AB60" s="54" t="s">
        <v>139</v>
      </c>
      <c r="AC60" s="54" t="s">
        <v>139</v>
      </c>
      <c r="AD60" s="54" t="s">
        <v>139</v>
      </c>
      <c r="AE60" s="55"/>
      <c r="AF60" s="56"/>
      <c r="AG60" s="56"/>
      <c r="AH60" s="57"/>
      <c r="AI60" s="56"/>
      <c r="AJ60" s="56"/>
      <c r="AK60" s="56"/>
      <c r="AL60" s="3" t="s">
        <v>1582</v>
      </c>
    </row>
    <row r="61" spans="2:38" ht="54" hidden="1">
      <c r="B61" s="144">
        <f t="shared" si="0"/>
        <v>58</v>
      </c>
      <c r="C61" s="148" t="s">
        <v>3732</v>
      </c>
      <c r="D61" s="148"/>
      <c r="E61" s="148"/>
      <c r="F61" s="148"/>
      <c r="G61" s="148"/>
      <c r="H61" s="148"/>
      <c r="I61" s="148"/>
      <c r="J61" s="148"/>
      <c r="K61" s="165" t="s">
        <v>3661</v>
      </c>
      <c r="L61" s="165" t="s">
        <v>3655</v>
      </c>
      <c r="M61" s="165"/>
      <c r="N61" s="165"/>
      <c r="O61" s="165" t="s">
        <v>1318</v>
      </c>
      <c r="P61" s="165" t="s">
        <v>1318</v>
      </c>
      <c r="Q61" s="126" t="s">
        <v>1319</v>
      </c>
      <c r="R61" s="40" t="s">
        <v>1320</v>
      </c>
      <c r="S61" s="40"/>
      <c r="T61" s="40" t="s">
        <v>161</v>
      </c>
      <c r="U61" s="41" t="s">
        <v>1321</v>
      </c>
      <c r="V61" s="41" t="s">
        <v>139</v>
      </c>
      <c r="W61" s="41" t="s">
        <v>139</v>
      </c>
      <c r="X61" s="41" t="s">
        <v>139</v>
      </c>
      <c r="Y61" s="41" t="s">
        <v>139</v>
      </c>
      <c r="Z61" s="74" t="s">
        <v>1322</v>
      </c>
      <c r="AA61" s="41" t="s">
        <v>139</v>
      </c>
      <c r="AB61" s="41" t="s">
        <v>139</v>
      </c>
      <c r="AC61" s="41" t="s">
        <v>139</v>
      </c>
      <c r="AD61" s="41" t="s">
        <v>139</v>
      </c>
      <c r="AE61" s="44"/>
      <c r="AF61" s="45"/>
      <c r="AG61" s="45"/>
      <c r="AH61" s="46"/>
      <c r="AI61" s="45"/>
      <c r="AJ61" s="45"/>
      <c r="AK61" s="45"/>
      <c r="AL61" s="3" t="s">
        <v>1582</v>
      </c>
    </row>
    <row r="62" spans="2:38" ht="40.5" hidden="1">
      <c r="B62" s="144">
        <f t="shared" si="0"/>
        <v>59</v>
      </c>
      <c r="C62" s="148" t="s">
        <v>3732</v>
      </c>
      <c r="D62" s="148"/>
      <c r="E62" s="148"/>
      <c r="F62" s="148"/>
      <c r="G62" s="148"/>
      <c r="H62" s="148"/>
      <c r="I62" s="148"/>
      <c r="J62" s="148"/>
      <c r="K62" s="165" t="s">
        <v>3661</v>
      </c>
      <c r="L62" s="165" t="s">
        <v>3655</v>
      </c>
      <c r="M62" s="165"/>
      <c r="N62" s="165"/>
      <c r="O62" s="165" t="s">
        <v>3563</v>
      </c>
      <c r="P62" s="165" t="s">
        <v>3268</v>
      </c>
      <c r="Q62" s="126" t="s">
        <v>3269</v>
      </c>
      <c r="R62" s="40" t="s">
        <v>1323</v>
      </c>
      <c r="S62" s="40"/>
      <c r="T62" s="40" t="s">
        <v>139</v>
      </c>
      <c r="U62" s="41" t="s">
        <v>1324</v>
      </c>
      <c r="V62" s="41" t="s">
        <v>139</v>
      </c>
      <c r="W62" s="41" t="s">
        <v>139</v>
      </c>
      <c r="X62" s="41" t="s">
        <v>139</v>
      </c>
      <c r="Y62" s="41" t="s">
        <v>139</v>
      </c>
      <c r="Z62" s="74" t="s">
        <v>117</v>
      </c>
      <c r="AA62" s="41" t="s">
        <v>139</v>
      </c>
      <c r="AB62" s="41" t="s">
        <v>139</v>
      </c>
      <c r="AC62" s="41" t="s">
        <v>139</v>
      </c>
      <c r="AD62" s="41" t="s">
        <v>139</v>
      </c>
      <c r="AE62" s="44"/>
      <c r="AF62" s="45"/>
      <c r="AG62" s="45"/>
      <c r="AH62" s="46"/>
      <c r="AI62" s="45"/>
      <c r="AJ62" s="45"/>
      <c r="AK62" s="45"/>
      <c r="AL62" s="3" t="s">
        <v>1582</v>
      </c>
    </row>
    <row r="63" spans="2:38" ht="40.5" hidden="1">
      <c r="B63" s="144">
        <f t="shared" si="0"/>
        <v>60</v>
      </c>
      <c r="C63" s="148" t="s">
        <v>3732</v>
      </c>
      <c r="D63" s="148"/>
      <c r="E63" s="148"/>
      <c r="F63" s="148"/>
      <c r="G63" s="148"/>
      <c r="H63" s="148"/>
      <c r="I63" s="148"/>
      <c r="J63" s="148"/>
      <c r="K63" s="165" t="s">
        <v>3661</v>
      </c>
      <c r="L63" s="165" t="s">
        <v>3655</v>
      </c>
      <c r="M63" s="165"/>
      <c r="N63" s="165"/>
      <c r="O63" s="165" t="s">
        <v>1159</v>
      </c>
      <c r="P63" s="165" t="s">
        <v>1159</v>
      </c>
      <c r="Q63" s="126" t="s">
        <v>1160</v>
      </c>
      <c r="R63" s="40" t="s">
        <v>1161</v>
      </c>
      <c r="S63" s="40" t="s">
        <v>3099</v>
      </c>
      <c r="T63" s="40" t="s">
        <v>192</v>
      </c>
      <c r="U63" s="41" t="s">
        <v>1162</v>
      </c>
      <c r="V63" s="41" t="s">
        <v>139</v>
      </c>
      <c r="W63" s="41" t="s">
        <v>139</v>
      </c>
      <c r="X63" s="41" t="s">
        <v>139</v>
      </c>
      <c r="Y63" s="41" t="s">
        <v>139</v>
      </c>
      <c r="Z63" s="74" t="s">
        <v>163</v>
      </c>
      <c r="AA63" s="41" t="s">
        <v>139</v>
      </c>
      <c r="AB63" s="41" t="s">
        <v>139</v>
      </c>
      <c r="AC63" s="41" t="s">
        <v>139</v>
      </c>
      <c r="AD63" s="41" t="s">
        <v>139</v>
      </c>
      <c r="AE63" s="44"/>
      <c r="AF63" s="45"/>
      <c r="AG63" s="45"/>
      <c r="AH63" s="46"/>
      <c r="AI63" s="45"/>
      <c r="AJ63" s="45"/>
      <c r="AK63" s="45"/>
      <c r="AL63" s="3" t="s">
        <v>1582</v>
      </c>
    </row>
    <row r="64" spans="2:38" ht="40.5" hidden="1">
      <c r="B64" s="144">
        <f t="shared" si="0"/>
        <v>61</v>
      </c>
      <c r="C64" s="148" t="s">
        <v>3732</v>
      </c>
      <c r="D64" s="148"/>
      <c r="E64" s="148"/>
      <c r="F64" s="148"/>
      <c r="G64" s="148"/>
      <c r="H64" s="148"/>
      <c r="I64" s="148"/>
      <c r="J64" s="148"/>
      <c r="K64" s="165" t="s">
        <v>3661</v>
      </c>
      <c r="L64" s="165" t="s">
        <v>3655</v>
      </c>
      <c r="M64" s="165"/>
      <c r="N64" s="165"/>
      <c r="O64" s="165" t="s">
        <v>1262</v>
      </c>
      <c r="P64" s="165" t="s">
        <v>1262</v>
      </c>
      <c r="Q64" s="126" t="s">
        <v>1263</v>
      </c>
      <c r="R64" s="62" t="s">
        <v>1264</v>
      </c>
      <c r="S64" s="62"/>
      <c r="T64" s="40" t="s">
        <v>1637</v>
      </c>
      <c r="U64" s="41" t="s">
        <v>1265</v>
      </c>
      <c r="V64" s="41" t="s">
        <v>139</v>
      </c>
      <c r="W64" s="41" t="s">
        <v>139</v>
      </c>
      <c r="X64" s="41" t="s">
        <v>139</v>
      </c>
      <c r="Y64" s="41" t="s">
        <v>139</v>
      </c>
      <c r="Z64" s="74" t="s">
        <v>163</v>
      </c>
      <c r="AA64" s="41" t="s">
        <v>139</v>
      </c>
      <c r="AB64" s="41" t="s">
        <v>139</v>
      </c>
      <c r="AC64" s="41" t="s">
        <v>139</v>
      </c>
      <c r="AD64" s="41" t="s">
        <v>139</v>
      </c>
      <c r="AE64" s="44"/>
      <c r="AF64" s="45"/>
      <c r="AG64" s="45"/>
      <c r="AH64" s="46"/>
      <c r="AI64" s="45"/>
      <c r="AJ64" s="45"/>
      <c r="AK64" s="45"/>
      <c r="AL64" s="3" t="s">
        <v>1582</v>
      </c>
    </row>
    <row r="65" spans="2:38" ht="27" hidden="1">
      <c r="B65" s="144">
        <f t="shared" si="0"/>
        <v>62</v>
      </c>
      <c r="C65" s="148" t="s">
        <v>3732</v>
      </c>
      <c r="D65" s="148"/>
      <c r="E65" s="148"/>
      <c r="F65" s="148"/>
      <c r="G65" s="148"/>
      <c r="H65" s="148"/>
      <c r="I65" s="148"/>
      <c r="J65" s="148"/>
      <c r="K65" s="165" t="s">
        <v>3661</v>
      </c>
      <c r="L65" s="165" t="s">
        <v>3655</v>
      </c>
      <c r="M65" s="65"/>
      <c r="N65" s="65"/>
      <c r="O65" s="65" t="s">
        <v>219</v>
      </c>
      <c r="P65" s="65" t="s">
        <v>219</v>
      </c>
      <c r="Q65" s="54" t="s">
        <v>139</v>
      </c>
      <c r="R65" s="41" t="s">
        <v>220</v>
      </c>
      <c r="S65" s="41" t="s">
        <v>221</v>
      </c>
      <c r="T65" s="41" t="s">
        <v>139</v>
      </c>
      <c r="U65" s="41" t="s">
        <v>222</v>
      </c>
      <c r="V65" s="41" t="s">
        <v>139</v>
      </c>
      <c r="W65" s="41" t="s">
        <v>139</v>
      </c>
      <c r="X65" s="41" t="s">
        <v>139</v>
      </c>
      <c r="Y65" s="41" t="s">
        <v>139</v>
      </c>
      <c r="Z65" s="73" t="s">
        <v>218</v>
      </c>
      <c r="AA65" s="54" t="s">
        <v>139</v>
      </c>
      <c r="AB65" s="54" t="s">
        <v>139</v>
      </c>
      <c r="AC65" s="54" t="s">
        <v>139</v>
      </c>
      <c r="AD65" s="54" t="s">
        <v>139</v>
      </c>
      <c r="AE65" s="55"/>
      <c r="AF65" s="56"/>
      <c r="AG65" s="56"/>
      <c r="AH65" s="57"/>
      <c r="AI65" s="56"/>
      <c r="AJ65" s="56"/>
      <c r="AK65" s="56"/>
      <c r="AL65" s="3" t="s">
        <v>1582</v>
      </c>
    </row>
    <row r="66" spans="2:38">
      <c r="B66" s="144">
        <f t="shared" si="0"/>
        <v>63</v>
      </c>
      <c r="C66" s="148" t="s">
        <v>3731</v>
      </c>
      <c r="D66" s="148"/>
      <c r="E66" s="148"/>
      <c r="F66" s="148"/>
      <c r="G66" s="148"/>
      <c r="H66" s="148"/>
      <c r="I66" s="148"/>
      <c r="J66" s="148"/>
      <c r="K66" s="165" t="s">
        <v>3661</v>
      </c>
      <c r="L66" s="165" t="s">
        <v>3655</v>
      </c>
      <c r="M66" s="65"/>
      <c r="N66" s="65"/>
      <c r="O66" s="65" t="s">
        <v>3707</v>
      </c>
      <c r="P66" s="65" t="s">
        <v>395</v>
      </c>
      <c r="Q66" s="54" t="s">
        <v>139</v>
      </c>
      <c r="R66" s="41" t="s">
        <v>396</v>
      </c>
      <c r="S66" s="41"/>
      <c r="T66" s="41" t="s">
        <v>192</v>
      </c>
      <c r="U66" s="41" t="s">
        <v>397</v>
      </c>
      <c r="V66" s="41" t="s">
        <v>139</v>
      </c>
      <c r="W66" s="41" t="s">
        <v>139</v>
      </c>
      <c r="X66" s="41" t="s">
        <v>139</v>
      </c>
      <c r="Y66" s="41" t="s">
        <v>139</v>
      </c>
      <c r="Z66" s="73" t="s">
        <v>114</v>
      </c>
      <c r="AA66" s="54" t="s">
        <v>139</v>
      </c>
      <c r="AB66" s="54" t="s">
        <v>139</v>
      </c>
      <c r="AC66" s="54" t="s">
        <v>139</v>
      </c>
      <c r="AD66" s="54" t="s">
        <v>139</v>
      </c>
      <c r="AE66" s="55"/>
      <c r="AF66" s="56"/>
      <c r="AG66" s="56"/>
      <c r="AH66" s="57"/>
      <c r="AI66" s="56"/>
      <c r="AJ66" s="56"/>
      <c r="AK66" s="56"/>
      <c r="AL66" s="3" t="s">
        <v>1582</v>
      </c>
    </row>
    <row r="67" spans="2:38" ht="40.5" hidden="1">
      <c r="B67" s="144">
        <f t="shared" si="0"/>
        <v>64</v>
      </c>
      <c r="C67" s="148" t="s">
        <v>3732</v>
      </c>
      <c r="D67" s="148"/>
      <c r="E67" s="148"/>
      <c r="F67" s="148"/>
      <c r="G67" s="148"/>
      <c r="H67" s="148"/>
      <c r="I67" s="148"/>
      <c r="J67" s="148"/>
      <c r="K67" s="165" t="s">
        <v>3661</v>
      </c>
      <c r="L67" s="165" t="s">
        <v>3655</v>
      </c>
      <c r="M67" s="65"/>
      <c r="N67" s="65"/>
      <c r="O67" s="65" t="s">
        <v>223</v>
      </c>
      <c r="P67" s="65" t="s">
        <v>223</v>
      </c>
      <c r="Q67" s="54" t="s">
        <v>139</v>
      </c>
      <c r="R67" s="41" t="s">
        <v>224</v>
      </c>
      <c r="S67" s="41" t="s">
        <v>225</v>
      </c>
      <c r="T67" s="41" t="s">
        <v>192</v>
      </c>
      <c r="U67" s="41" t="s">
        <v>226</v>
      </c>
      <c r="V67" s="41" t="s">
        <v>139</v>
      </c>
      <c r="W67" s="41" t="s">
        <v>139</v>
      </c>
      <c r="X67" s="41" t="s">
        <v>227</v>
      </c>
      <c r="Y67" s="41" t="s">
        <v>139</v>
      </c>
      <c r="Z67" s="73" t="s">
        <v>228</v>
      </c>
      <c r="AA67" s="54" t="s">
        <v>139</v>
      </c>
      <c r="AB67" s="54" t="s">
        <v>139</v>
      </c>
      <c r="AC67" s="54" t="s">
        <v>229</v>
      </c>
      <c r="AD67" s="54" t="s">
        <v>139</v>
      </c>
      <c r="AE67" s="55"/>
      <c r="AF67" s="56"/>
      <c r="AG67" s="56"/>
      <c r="AH67" s="57"/>
      <c r="AI67" s="56"/>
      <c r="AJ67" s="56"/>
      <c r="AK67" s="56"/>
      <c r="AL67" s="3" t="s">
        <v>1582</v>
      </c>
    </row>
    <row r="68" spans="2:38" ht="40.5" hidden="1">
      <c r="B68" s="144">
        <f t="shared" si="0"/>
        <v>65</v>
      </c>
      <c r="C68" s="148" t="s">
        <v>3732</v>
      </c>
      <c r="D68" s="148"/>
      <c r="E68" s="148"/>
      <c r="F68" s="148"/>
      <c r="G68" s="148"/>
      <c r="H68" s="148"/>
      <c r="I68" s="148"/>
      <c r="J68" s="148"/>
      <c r="K68" s="165" t="s">
        <v>3661</v>
      </c>
      <c r="L68" s="165" t="s">
        <v>3655</v>
      </c>
      <c r="M68" s="165"/>
      <c r="N68" s="165"/>
      <c r="O68" s="165" t="s">
        <v>1299</v>
      </c>
      <c r="P68" s="165" t="s">
        <v>1299</v>
      </c>
      <c r="Q68" s="126" t="s">
        <v>1300</v>
      </c>
      <c r="R68" s="40" t="s">
        <v>1301</v>
      </c>
      <c r="S68" s="40" t="s">
        <v>1302</v>
      </c>
      <c r="T68" s="40" t="s">
        <v>161</v>
      </c>
      <c r="U68" s="41" t="s">
        <v>1303</v>
      </c>
      <c r="V68" s="41" t="s">
        <v>139</v>
      </c>
      <c r="W68" s="41" t="s">
        <v>139</v>
      </c>
      <c r="X68" s="41" t="s">
        <v>139</v>
      </c>
      <c r="Y68" s="41" t="s">
        <v>139</v>
      </c>
      <c r="Z68" s="74" t="s">
        <v>1277</v>
      </c>
      <c r="AA68" s="41" t="s">
        <v>139</v>
      </c>
      <c r="AB68" s="41" t="s">
        <v>139</v>
      </c>
      <c r="AC68" s="41" t="s">
        <v>139</v>
      </c>
      <c r="AD68" s="41" t="s">
        <v>139</v>
      </c>
      <c r="AE68" s="44"/>
      <c r="AF68" s="45"/>
      <c r="AG68" s="45"/>
      <c r="AH68" s="46"/>
      <c r="AI68" s="45"/>
      <c r="AJ68" s="45"/>
      <c r="AK68" s="45"/>
      <c r="AL68" s="3" t="s">
        <v>1582</v>
      </c>
    </row>
    <row r="69" spans="2:38" hidden="1">
      <c r="B69" s="144">
        <f t="shared" ref="B69:B132" si="1">ROW()-3</f>
        <v>66</v>
      </c>
      <c r="C69" s="148" t="s">
        <v>3732</v>
      </c>
      <c r="D69" s="148"/>
      <c r="E69" s="148"/>
      <c r="F69" s="148"/>
      <c r="G69" s="148"/>
      <c r="H69" s="148"/>
      <c r="I69" s="148"/>
      <c r="J69" s="148"/>
      <c r="K69" s="165" t="s">
        <v>3661</v>
      </c>
      <c r="L69" s="165" t="s">
        <v>3655</v>
      </c>
      <c r="M69" s="65"/>
      <c r="N69" s="65"/>
      <c r="O69" s="65" t="s">
        <v>427</v>
      </c>
      <c r="P69" s="65" t="s">
        <v>427</v>
      </c>
      <c r="Q69" s="54" t="s">
        <v>139</v>
      </c>
      <c r="R69" s="41" t="s">
        <v>428</v>
      </c>
      <c r="S69" s="41"/>
      <c r="T69" s="41" t="s">
        <v>139</v>
      </c>
      <c r="U69" s="41" t="s">
        <v>429</v>
      </c>
      <c r="V69" s="41" t="s">
        <v>139</v>
      </c>
      <c r="W69" s="41" t="s">
        <v>139</v>
      </c>
      <c r="X69" s="41" t="s">
        <v>139</v>
      </c>
      <c r="Y69" s="41" t="s">
        <v>139</v>
      </c>
      <c r="Z69" s="73" t="s">
        <v>218</v>
      </c>
      <c r="AA69" s="54" t="s">
        <v>139</v>
      </c>
      <c r="AB69" s="54" t="s">
        <v>139</v>
      </c>
      <c r="AC69" s="54" t="s">
        <v>139</v>
      </c>
      <c r="AD69" s="54" t="s">
        <v>139</v>
      </c>
      <c r="AE69" s="55"/>
      <c r="AF69" s="56"/>
      <c r="AG69" s="56"/>
      <c r="AH69" s="57"/>
      <c r="AI69" s="56"/>
      <c r="AJ69" s="56"/>
      <c r="AK69" s="56"/>
      <c r="AL69" s="3" t="s">
        <v>1582</v>
      </c>
    </row>
    <row r="70" spans="2:38" ht="27" hidden="1">
      <c r="B70" s="144">
        <f t="shared" si="1"/>
        <v>67</v>
      </c>
      <c r="C70" s="148" t="s">
        <v>3732</v>
      </c>
      <c r="D70" s="148"/>
      <c r="E70" s="148"/>
      <c r="F70" s="148"/>
      <c r="G70" s="148"/>
      <c r="H70" s="148"/>
      <c r="I70" s="148"/>
      <c r="J70" s="148"/>
      <c r="K70" s="165" t="s">
        <v>3661</v>
      </c>
      <c r="L70" s="165" t="s">
        <v>3655</v>
      </c>
      <c r="M70" s="65"/>
      <c r="N70" s="165"/>
      <c r="O70" s="165" t="s">
        <v>634</v>
      </c>
      <c r="P70" s="165" t="s">
        <v>634</v>
      </c>
      <c r="Q70" s="126" t="s">
        <v>139</v>
      </c>
      <c r="R70" s="40" t="s">
        <v>635</v>
      </c>
      <c r="S70" s="40"/>
      <c r="T70" s="40" t="s">
        <v>139</v>
      </c>
      <c r="U70" s="41" t="s">
        <v>139</v>
      </c>
      <c r="V70" s="41" t="s">
        <v>139</v>
      </c>
      <c r="W70" s="41" t="s">
        <v>139</v>
      </c>
      <c r="X70" s="41" t="s">
        <v>636</v>
      </c>
      <c r="Y70" s="41" t="s">
        <v>139</v>
      </c>
      <c r="Z70" s="74" t="s">
        <v>139</v>
      </c>
      <c r="AA70" s="41" t="s">
        <v>139</v>
      </c>
      <c r="AB70" s="41" t="s">
        <v>139</v>
      </c>
      <c r="AC70" s="41" t="s">
        <v>532</v>
      </c>
      <c r="AD70" s="41" t="s">
        <v>139</v>
      </c>
      <c r="AE70" s="44"/>
      <c r="AF70" s="45"/>
      <c r="AG70" s="45"/>
      <c r="AH70" s="46"/>
      <c r="AI70" s="45"/>
      <c r="AJ70" s="45"/>
      <c r="AK70" s="45"/>
      <c r="AL70" s="3" t="s">
        <v>1582</v>
      </c>
    </row>
    <row r="71" spans="2:38" hidden="1">
      <c r="B71" s="144">
        <f t="shared" si="1"/>
        <v>68</v>
      </c>
      <c r="C71" s="148" t="s">
        <v>3732</v>
      </c>
      <c r="D71" s="148"/>
      <c r="E71" s="148"/>
      <c r="F71" s="148"/>
      <c r="G71" s="148"/>
      <c r="H71" s="148"/>
      <c r="I71" s="148"/>
      <c r="J71" s="148"/>
      <c r="K71" s="165" t="s">
        <v>3661</v>
      </c>
      <c r="L71" s="165" t="s">
        <v>3655</v>
      </c>
      <c r="M71" s="165"/>
      <c r="N71" s="65"/>
      <c r="O71" s="65" t="s">
        <v>3564</v>
      </c>
      <c r="P71" s="65" t="s">
        <v>3295</v>
      </c>
      <c r="Q71" s="54" t="s">
        <v>3296</v>
      </c>
      <c r="R71" s="41" t="s">
        <v>491</v>
      </c>
      <c r="S71" s="41"/>
      <c r="T71" s="41" t="s">
        <v>139</v>
      </c>
      <c r="U71" s="41" t="s">
        <v>442</v>
      </c>
      <c r="V71" s="41" t="s">
        <v>139</v>
      </c>
      <c r="W71" s="41" t="s">
        <v>139</v>
      </c>
      <c r="X71" s="41" t="s">
        <v>139</v>
      </c>
      <c r="Y71" s="41" t="s">
        <v>139</v>
      </c>
      <c r="Z71" s="73" t="s">
        <v>200</v>
      </c>
      <c r="AA71" s="54" t="s">
        <v>139</v>
      </c>
      <c r="AB71" s="54" t="s">
        <v>139</v>
      </c>
      <c r="AC71" s="54" t="s">
        <v>139</v>
      </c>
      <c r="AD71" s="54" t="s">
        <v>139</v>
      </c>
      <c r="AE71" s="55"/>
      <c r="AF71" s="56"/>
      <c r="AG71" s="56"/>
      <c r="AH71" s="57"/>
      <c r="AI71" s="56"/>
      <c r="AJ71" s="56"/>
      <c r="AK71" s="56"/>
      <c r="AL71" s="3" t="s">
        <v>1582</v>
      </c>
    </row>
    <row r="72" spans="2:38" hidden="1">
      <c r="B72" s="144">
        <f t="shared" si="1"/>
        <v>69</v>
      </c>
      <c r="C72" s="148" t="s">
        <v>3732</v>
      </c>
      <c r="D72" s="148"/>
      <c r="E72" s="148"/>
      <c r="F72" s="148"/>
      <c r="G72" s="148"/>
      <c r="H72" s="148"/>
      <c r="I72" s="148"/>
      <c r="J72" s="148"/>
      <c r="K72" s="165" t="s">
        <v>3661</v>
      </c>
      <c r="L72" s="165" t="s">
        <v>3655</v>
      </c>
      <c r="M72" s="65"/>
      <c r="N72" s="65"/>
      <c r="O72" s="65" t="s">
        <v>335</v>
      </c>
      <c r="P72" s="65" t="s">
        <v>335</v>
      </c>
      <c r="Q72" s="54" t="s">
        <v>139</v>
      </c>
      <c r="R72" s="41" t="s">
        <v>336</v>
      </c>
      <c r="S72" s="41" t="s">
        <v>337</v>
      </c>
      <c r="T72" s="41" t="s">
        <v>1140</v>
      </c>
      <c r="U72" s="41" t="s">
        <v>328</v>
      </c>
      <c r="V72" s="41" t="s">
        <v>139</v>
      </c>
      <c r="W72" s="41" t="s">
        <v>139</v>
      </c>
      <c r="X72" s="41" t="s">
        <v>139</v>
      </c>
      <c r="Y72" s="41" t="s">
        <v>139</v>
      </c>
      <c r="Z72" s="73" t="s">
        <v>117</v>
      </c>
      <c r="AA72" s="54" t="s">
        <v>139</v>
      </c>
      <c r="AB72" s="54" t="s">
        <v>139</v>
      </c>
      <c r="AC72" s="54" t="s">
        <v>139</v>
      </c>
      <c r="AD72" s="54" t="s">
        <v>139</v>
      </c>
      <c r="AE72" s="55"/>
      <c r="AF72" s="56"/>
      <c r="AG72" s="56"/>
      <c r="AH72" s="57"/>
      <c r="AI72" s="56"/>
      <c r="AJ72" s="56"/>
      <c r="AK72" s="56"/>
      <c r="AL72" s="3" t="s">
        <v>1582</v>
      </c>
    </row>
    <row r="73" spans="2:38" ht="40.5" hidden="1">
      <c r="B73" s="144">
        <f t="shared" si="1"/>
        <v>70</v>
      </c>
      <c r="C73" s="148" t="s">
        <v>3732</v>
      </c>
      <c r="D73" s="148"/>
      <c r="E73" s="148"/>
      <c r="F73" s="148"/>
      <c r="G73" s="148"/>
      <c r="H73" s="148"/>
      <c r="I73" s="148"/>
      <c r="J73" s="148"/>
      <c r="K73" s="165" t="s">
        <v>3661</v>
      </c>
      <c r="L73" s="165" t="s">
        <v>3655</v>
      </c>
      <c r="M73" s="165"/>
      <c r="N73" s="65"/>
      <c r="O73" s="65" t="s">
        <v>3565</v>
      </c>
      <c r="P73" s="65" t="s">
        <v>2890</v>
      </c>
      <c r="Q73" s="54" t="s">
        <v>1637</v>
      </c>
      <c r="R73" s="41" t="s">
        <v>2892</v>
      </c>
      <c r="S73" s="41"/>
      <c r="T73" s="41" t="s">
        <v>139</v>
      </c>
      <c r="U73" s="41" t="s">
        <v>494</v>
      </c>
      <c r="V73" s="41" t="s">
        <v>139</v>
      </c>
      <c r="W73" s="41" t="s">
        <v>139</v>
      </c>
      <c r="X73" s="41" t="s">
        <v>139</v>
      </c>
      <c r="Y73" s="41" t="s">
        <v>139</v>
      </c>
      <c r="Z73" s="73" t="s">
        <v>235</v>
      </c>
      <c r="AA73" s="54" t="s">
        <v>139</v>
      </c>
      <c r="AB73" s="54" t="s">
        <v>139</v>
      </c>
      <c r="AC73" s="54" t="s">
        <v>139</v>
      </c>
      <c r="AD73" s="54" t="s">
        <v>139</v>
      </c>
      <c r="AE73" s="55"/>
      <c r="AF73" s="56"/>
      <c r="AG73" s="56"/>
      <c r="AH73" s="57"/>
      <c r="AI73" s="56"/>
      <c r="AJ73" s="56"/>
      <c r="AK73" s="56"/>
      <c r="AL73" s="3" t="s">
        <v>1582</v>
      </c>
    </row>
    <row r="74" spans="2:38" hidden="1">
      <c r="B74" s="144">
        <f t="shared" si="1"/>
        <v>71</v>
      </c>
      <c r="C74" s="148" t="s">
        <v>3732</v>
      </c>
      <c r="D74" s="148"/>
      <c r="E74" s="148"/>
      <c r="F74" s="148"/>
      <c r="G74" s="148"/>
      <c r="H74" s="148"/>
      <c r="I74" s="148"/>
      <c r="J74" s="148"/>
      <c r="K74" s="165" t="s">
        <v>3661</v>
      </c>
      <c r="L74" s="165" t="s">
        <v>3655</v>
      </c>
      <c r="M74" s="65"/>
      <c r="N74" s="65"/>
      <c r="O74" s="65" t="s">
        <v>471</v>
      </c>
      <c r="P74" s="65" t="s">
        <v>471</v>
      </c>
      <c r="Q74" s="54" t="s">
        <v>139</v>
      </c>
      <c r="R74" s="41" t="s">
        <v>472</v>
      </c>
      <c r="S74" s="41"/>
      <c r="T74" s="41" t="s">
        <v>139</v>
      </c>
      <c r="U74" s="41" t="s">
        <v>473</v>
      </c>
      <c r="V74" s="41" t="s">
        <v>139</v>
      </c>
      <c r="W74" s="41" t="s">
        <v>139</v>
      </c>
      <c r="X74" s="41" t="s">
        <v>139</v>
      </c>
      <c r="Y74" s="41" t="s">
        <v>139</v>
      </c>
      <c r="Z74" s="73" t="s">
        <v>474</v>
      </c>
      <c r="AA74" s="54" t="s">
        <v>139</v>
      </c>
      <c r="AB74" s="54" t="s">
        <v>139</v>
      </c>
      <c r="AC74" s="54" t="s">
        <v>139</v>
      </c>
      <c r="AD74" s="54" t="s">
        <v>139</v>
      </c>
      <c r="AE74" s="55"/>
      <c r="AF74" s="56"/>
      <c r="AG74" s="56"/>
      <c r="AH74" s="57"/>
      <c r="AI74" s="56"/>
      <c r="AJ74" s="56"/>
      <c r="AK74" s="56"/>
      <c r="AL74" s="3" t="s">
        <v>1582</v>
      </c>
    </row>
    <row r="75" spans="2:38" ht="40.5" hidden="1">
      <c r="B75" s="144">
        <f t="shared" si="1"/>
        <v>72</v>
      </c>
      <c r="C75" s="148" t="s">
        <v>3732</v>
      </c>
      <c r="D75" s="148"/>
      <c r="E75" s="148"/>
      <c r="F75" s="148"/>
      <c r="G75" s="148"/>
      <c r="H75" s="148"/>
      <c r="I75" s="148"/>
      <c r="J75" s="148"/>
      <c r="K75" s="165" t="s">
        <v>3661</v>
      </c>
      <c r="L75" s="165" t="s">
        <v>3655</v>
      </c>
      <c r="M75" s="165"/>
      <c r="N75" s="165"/>
      <c r="O75" s="165" t="s">
        <v>746</v>
      </c>
      <c r="P75" s="165" t="s">
        <v>746</v>
      </c>
      <c r="Q75" s="126" t="s">
        <v>747</v>
      </c>
      <c r="R75" s="40" t="s">
        <v>748</v>
      </c>
      <c r="S75" s="40"/>
      <c r="T75" s="40" t="s">
        <v>3067</v>
      </c>
      <c r="U75" s="41" t="s">
        <v>139</v>
      </c>
      <c r="V75" s="41" t="s">
        <v>749</v>
      </c>
      <c r="W75" s="41" t="s">
        <v>139</v>
      </c>
      <c r="X75" s="41" t="s">
        <v>139</v>
      </c>
      <c r="Y75" s="41" t="s">
        <v>139</v>
      </c>
      <c r="Z75" s="74" t="s">
        <v>139</v>
      </c>
      <c r="AA75" s="41" t="s">
        <v>613</v>
      </c>
      <c r="AB75" s="41" t="s">
        <v>139</v>
      </c>
      <c r="AC75" s="41" t="s">
        <v>139</v>
      </c>
      <c r="AD75" s="41" t="s">
        <v>139</v>
      </c>
      <c r="AE75" s="44"/>
      <c r="AF75" s="45"/>
      <c r="AG75" s="45"/>
      <c r="AH75" s="46"/>
      <c r="AI75" s="45"/>
      <c r="AJ75" s="45"/>
      <c r="AK75" s="45"/>
      <c r="AL75" s="3" t="s">
        <v>1582</v>
      </c>
    </row>
    <row r="76" spans="2:38" ht="40.5" hidden="1">
      <c r="B76" s="144">
        <f t="shared" si="1"/>
        <v>73</v>
      </c>
      <c r="C76" s="148" t="s">
        <v>3732</v>
      </c>
      <c r="D76" s="148"/>
      <c r="E76" s="148"/>
      <c r="F76" s="148"/>
      <c r="G76" s="148"/>
      <c r="H76" s="148"/>
      <c r="I76" s="148"/>
      <c r="J76" s="148"/>
      <c r="K76" s="165" t="s">
        <v>3661</v>
      </c>
      <c r="L76" s="165" t="s">
        <v>3655</v>
      </c>
      <c r="M76" s="165"/>
      <c r="N76" s="165"/>
      <c r="O76" s="165" t="s">
        <v>1347</v>
      </c>
      <c r="P76" s="165" t="s">
        <v>1347</v>
      </c>
      <c r="Q76" s="126" t="s">
        <v>1348</v>
      </c>
      <c r="R76" s="40" t="s">
        <v>1349</v>
      </c>
      <c r="S76" s="40" t="s">
        <v>1350</v>
      </c>
      <c r="T76" s="40" t="s">
        <v>139</v>
      </c>
      <c r="U76" s="41" t="s">
        <v>1351</v>
      </c>
      <c r="V76" s="41" t="s">
        <v>139</v>
      </c>
      <c r="W76" s="41" t="s">
        <v>139</v>
      </c>
      <c r="X76" s="41" t="s">
        <v>139</v>
      </c>
      <c r="Y76" s="41" t="s">
        <v>139</v>
      </c>
      <c r="Z76" s="74" t="s">
        <v>438</v>
      </c>
      <c r="AA76" s="41" t="s">
        <v>139</v>
      </c>
      <c r="AB76" s="41" t="s">
        <v>139</v>
      </c>
      <c r="AC76" s="41" t="s">
        <v>139</v>
      </c>
      <c r="AD76" s="41" t="s">
        <v>139</v>
      </c>
      <c r="AE76" s="44"/>
      <c r="AF76" s="45"/>
      <c r="AG76" s="45"/>
      <c r="AH76" s="46"/>
      <c r="AI76" s="45"/>
      <c r="AJ76" s="45"/>
      <c r="AK76" s="45"/>
      <c r="AL76" s="3" t="s">
        <v>1582</v>
      </c>
    </row>
    <row r="77" spans="2:38" ht="40.5" hidden="1">
      <c r="B77" s="144">
        <f t="shared" si="1"/>
        <v>74</v>
      </c>
      <c r="C77" s="148" t="s">
        <v>3732</v>
      </c>
      <c r="D77" s="148"/>
      <c r="E77" s="148"/>
      <c r="F77" s="148"/>
      <c r="G77" s="148"/>
      <c r="H77" s="148"/>
      <c r="I77" s="148"/>
      <c r="J77" s="148"/>
      <c r="K77" s="165" t="s">
        <v>3661</v>
      </c>
      <c r="L77" s="165" t="s">
        <v>3655</v>
      </c>
      <c r="M77" s="165"/>
      <c r="N77" s="165"/>
      <c r="O77" s="165" t="s">
        <v>3566</v>
      </c>
      <c r="P77" s="165" t="s">
        <v>3272</v>
      </c>
      <c r="Q77" s="126" t="s">
        <v>3270</v>
      </c>
      <c r="R77" s="40" t="s">
        <v>743</v>
      </c>
      <c r="S77" s="40"/>
      <c r="T77" s="40" t="s">
        <v>139</v>
      </c>
      <c r="U77" s="41" t="s">
        <v>139</v>
      </c>
      <c r="V77" s="41" t="s">
        <v>744</v>
      </c>
      <c r="W77" s="41" t="s">
        <v>139</v>
      </c>
      <c r="X77" s="41" t="s">
        <v>139</v>
      </c>
      <c r="Y77" s="41" t="s">
        <v>139</v>
      </c>
      <c r="Z77" s="74" t="s">
        <v>139</v>
      </c>
      <c r="AA77" s="41" t="s">
        <v>745</v>
      </c>
      <c r="AB77" s="41" t="s">
        <v>139</v>
      </c>
      <c r="AC77" s="41" t="s">
        <v>139</v>
      </c>
      <c r="AD77" s="41" t="s">
        <v>139</v>
      </c>
      <c r="AE77" s="44"/>
      <c r="AF77" s="45"/>
      <c r="AG77" s="45"/>
      <c r="AH77" s="46"/>
      <c r="AI77" s="45"/>
      <c r="AJ77" s="45"/>
      <c r="AK77" s="45"/>
      <c r="AL77" s="3" t="s">
        <v>1582</v>
      </c>
    </row>
    <row r="78" spans="2:38" ht="40.5" hidden="1">
      <c r="B78" s="144">
        <f t="shared" si="1"/>
        <v>75</v>
      </c>
      <c r="C78" s="148" t="s">
        <v>3732</v>
      </c>
      <c r="D78" s="148"/>
      <c r="E78" s="148"/>
      <c r="F78" s="148"/>
      <c r="G78" s="148"/>
      <c r="H78" s="148"/>
      <c r="I78" s="148"/>
      <c r="J78" s="148"/>
      <c r="K78" s="165" t="s">
        <v>3661</v>
      </c>
      <c r="L78" s="165" t="s">
        <v>3655</v>
      </c>
      <c r="M78" s="165"/>
      <c r="N78" s="165"/>
      <c r="O78" s="165" t="s">
        <v>750</v>
      </c>
      <c r="P78" s="165" t="s">
        <v>750</v>
      </c>
      <c r="Q78" s="126" t="s">
        <v>751</v>
      </c>
      <c r="R78" s="40" t="s">
        <v>752</v>
      </c>
      <c r="S78" s="40"/>
      <c r="T78" s="40" t="s">
        <v>139</v>
      </c>
      <c r="U78" s="41" t="s">
        <v>139</v>
      </c>
      <c r="V78" s="41" t="s">
        <v>753</v>
      </c>
      <c r="W78" s="41" t="s">
        <v>139</v>
      </c>
      <c r="X78" s="41" t="s">
        <v>139</v>
      </c>
      <c r="Y78" s="41" t="s">
        <v>139</v>
      </c>
      <c r="Z78" s="74" t="s">
        <v>139</v>
      </c>
      <c r="AA78" s="41" t="s">
        <v>754</v>
      </c>
      <c r="AB78" s="41" t="s">
        <v>139</v>
      </c>
      <c r="AC78" s="41" t="s">
        <v>139</v>
      </c>
      <c r="AD78" s="41" t="s">
        <v>139</v>
      </c>
      <c r="AE78" s="44"/>
      <c r="AF78" s="45"/>
      <c r="AG78" s="45"/>
      <c r="AH78" s="46"/>
      <c r="AI78" s="45"/>
      <c r="AJ78" s="45"/>
      <c r="AK78" s="45"/>
      <c r="AL78" s="3" t="s">
        <v>1582</v>
      </c>
    </row>
    <row r="79" spans="2:38" hidden="1">
      <c r="B79" s="144">
        <f t="shared" si="1"/>
        <v>76</v>
      </c>
      <c r="C79" s="148" t="s">
        <v>3732</v>
      </c>
      <c r="D79" s="148"/>
      <c r="E79" s="148"/>
      <c r="F79" s="148"/>
      <c r="G79" s="148"/>
      <c r="H79" s="148"/>
      <c r="I79" s="148"/>
      <c r="J79" s="148"/>
      <c r="K79" s="165" t="s">
        <v>3661</v>
      </c>
      <c r="L79" s="165" t="s">
        <v>3655</v>
      </c>
      <c r="M79" s="65"/>
      <c r="N79" s="65"/>
      <c r="O79" s="65" t="s">
        <v>439</v>
      </c>
      <c r="P79" s="65" t="s">
        <v>439</v>
      </c>
      <c r="Q79" s="54" t="s">
        <v>139</v>
      </c>
      <c r="R79" s="41" t="s">
        <v>440</v>
      </c>
      <c r="S79" s="41"/>
      <c r="T79" s="41" t="s">
        <v>284</v>
      </c>
      <c r="U79" s="41" t="s">
        <v>441</v>
      </c>
      <c r="V79" s="41" t="s">
        <v>139</v>
      </c>
      <c r="W79" s="41" t="s">
        <v>139</v>
      </c>
      <c r="X79" s="41" t="s">
        <v>139</v>
      </c>
      <c r="Y79" s="41" t="s">
        <v>139</v>
      </c>
      <c r="Z79" s="73" t="s">
        <v>438</v>
      </c>
      <c r="AA79" s="54" t="s">
        <v>139</v>
      </c>
      <c r="AB79" s="54" t="s">
        <v>139</v>
      </c>
      <c r="AC79" s="54" t="s">
        <v>139</v>
      </c>
      <c r="AD79" s="54" t="s">
        <v>139</v>
      </c>
      <c r="AE79" s="55"/>
      <c r="AF79" s="56"/>
      <c r="AG79" s="56"/>
      <c r="AH79" s="57"/>
      <c r="AI79" s="56"/>
      <c r="AJ79" s="56"/>
      <c r="AK79" s="56"/>
      <c r="AL79" s="3" t="s">
        <v>1582</v>
      </c>
    </row>
    <row r="80" spans="2:38" hidden="1">
      <c r="B80" s="144">
        <f t="shared" si="1"/>
        <v>77</v>
      </c>
      <c r="C80" s="148" t="s">
        <v>3732</v>
      </c>
      <c r="D80" s="148"/>
      <c r="E80" s="148"/>
      <c r="F80" s="148"/>
      <c r="G80" s="148"/>
      <c r="H80" s="148"/>
      <c r="I80" s="148"/>
      <c r="J80" s="148"/>
      <c r="K80" s="165" t="s">
        <v>3661</v>
      </c>
      <c r="L80" s="165" t="s">
        <v>3655</v>
      </c>
      <c r="M80" s="65"/>
      <c r="N80" s="65"/>
      <c r="O80" s="65" t="s">
        <v>325</v>
      </c>
      <c r="P80" s="65" t="s">
        <v>325</v>
      </c>
      <c r="Q80" s="54" t="s">
        <v>139</v>
      </c>
      <c r="R80" s="41" t="s">
        <v>326</v>
      </c>
      <c r="S80" s="41" t="s">
        <v>327</v>
      </c>
      <c r="T80" s="41" t="s">
        <v>1140</v>
      </c>
      <c r="U80" s="41" t="s">
        <v>328</v>
      </c>
      <c r="V80" s="41" t="s">
        <v>139</v>
      </c>
      <c r="W80" s="41" t="s">
        <v>139</v>
      </c>
      <c r="X80" s="41" t="s">
        <v>139</v>
      </c>
      <c r="Y80" s="41" t="s">
        <v>139</v>
      </c>
      <c r="Z80" s="73" t="s">
        <v>117</v>
      </c>
      <c r="AA80" s="54" t="s">
        <v>139</v>
      </c>
      <c r="AB80" s="54" t="s">
        <v>139</v>
      </c>
      <c r="AC80" s="54" t="s">
        <v>139</v>
      </c>
      <c r="AD80" s="54" t="s">
        <v>139</v>
      </c>
      <c r="AE80" s="55"/>
      <c r="AF80" s="56"/>
      <c r="AG80" s="56"/>
      <c r="AH80" s="57"/>
      <c r="AI80" s="56"/>
      <c r="AJ80" s="56"/>
      <c r="AK80" s="56"/>
      <c r="AL80" s="3" t="s">
        <v>1582</v>
      </c>
    </row>
    <row r="81" spans="2:38" ht="27" hidden="1">
      <c r="B81" s="144">
        <f t="shared" si="1"/>
        <v>78</v>
      </c>
      <c r="C81" s="148" t="s">
        <v>3732</v>
      </c>
      <c r="D81" s="148"/>
      <c r="E81" s="148"/>
      <c r="F81" s="148"/>
      <c r="G81" s="148"/>
      <c r="H81" s="148"/>
      <c r="I81" s="148"/>
      <c r="J81" s="148"/>
      <c r="K81" s="165" t="s">
        <v>3661</v>
      </c>
      <c r="L81" s="165" t="s">
        <v>3655</v>
      </c>
      <c r="M81" s="65"/>
      <c r="N81" s="65"/>
      <c r="O81" s="65" t="s">
        <v>3567</v>
      </c>
      <c r="P81" s="65" t="s">
        <v>3300</v>
      </c>
      <c r="Q81" s="54" t="s">
        <v>139</v>
      </c>
      <c r="R81" s="41" t="s">
        <v>3302</v>
      </c>
      <c r="S81" s="41"/>
      <c r="T81" s="41" t="s">
        <v>139</v>
      </c>
      <c r="U81" s="41" t="s">
        <v>443</v>
      </c>
      <c r="V81" s="41" t="s">
        <v>139</v>
      </c>
      <c r="W81" s="41" t="s">
        <v>139</v>
      </c>
      <c r="X81" s="41" t="s">
        <v>139</v>
      </c>
      <c r="Y81" s="41" t="s">
        <v>139</v>
      </c>
      <c r="Z81" s="73" t="s">
        <v>200</v>
      </c>
      <c r="AA81" s="54" t="s">
        <v>139</v>
      </c>
      <c r="AB81" s="54" t="s">
        <v>139</v>
      </c>
      <c r="AC81" s="54" t="s">
        <v>139</v>
      </c>
      <c r="AD81" s="54" t="s">
        <v>139</v>
      </c>
      <c r="AE81" s="55"/>
      <c r="AF81" s="56"/>
      <c r="AG81" s="56"/>
      <c r="AH81" s="57"/>
      <c r="AI81" s="56"/>
      <c r="AJ81" s="56"/>
      <c r="AK81" s="56"/>
      <c r="AL81" s="3" t="s">
        <v>1582</v>
      </c>
    </row>
    <row r="82" spans="2:38" ht="27" hidden="1">
      <c r="B82" s="144">
        <f t="shared" si="1"/>
        <v>79</v>
      </c>
      <c r="C82" s="148" t="s">
        <v>3732</v>
      </c>
      <c r="D82" s="148"/>
      <c r="E82" s="148"/>
      <c r="F82" s="148"/>
      <c r="G82" s="148"/>
      <c r="H82" s="148"/>
      <c r="I82" s="148"/>
      <c r="J82" s="148"/>
      <c r="K82" s="165" t="s">
        <v>3661</v>
      </c>
      <c r="L82" s="165" t="s">
        <v>3655</v>
      </c>
      <c r="M82" s="65"/>
      <c r="N82" s="65"/>
      <c r="O82" s="65" t="s">
        <v>3568</v>
      </c>
      <c r="P82" s="65" t="s">
        <v>3301</v>
      </c>
      <c r="Q82" s="54" t="s">
        <v>139</v>
      </c>
      <c r="R82" s="41" t="s">
        <v>3303</v>
      </c>
      <c r="S82" s="41"/>
      <c r="T82" s="41" t="s">
        <v>139</v>
      </c>
      <c r="U82" s="41" t="s">
        <v>443</v>
      </c>
      <c r="V82" s="41" t="s">
        <v>139</v>
      </c>
      <c r="W82" s="41" t="s">
        <v>139</v>
      </c>
      <c r="X82" s="41" t="s">
        <v>139</v>
      </c>
      <c r="Y82" s="41" t="s">
        <v>139</v>
      </c>
      <c r="Z82" s="73" t="s">
        <v>200</v>
      </c>
      <c r="AA82" s="54" t="s">
        <v>139</v>
      </c>
      <c r="AB82" s="54" t="s">
        <v>139</v>
      </c>
      <c r="AC82" s="54" t="s">
        <v>139</v>
      </c>
      <c r="AD82" s="54" t="s">
        <v>139</v>
      </c>
      <c r="AE82" s="55"/>
      <c r="AF82" s="56"/>
      <c r="AG82" s="56"/>
      <c r="AH82" s="57"/>
      <c r="AI82" s="56"/>
      <c r="AJ82" s="56"/>
      <c r="AK82" s="56"/>
      <c r="AL82" s="3" t="s">
        <v>1582</v>
      </c>
    </row>
    <row r="83" spans="2:38" ht="54" hidden="1">
      <c r="B83" s="144">
        <f t="shared" si="1"/>
        <v>80</v>
      </c>
      <c r="C83" s="148" t="s">
        <v>3732</v>
      </c>
      <c r="D83" s="148"/>
      <c r="E83" s="148"/>
      <c r="F83" s="148"/>
      <c r="G83" s="148"/>
      <c r="H83" s="148"/>
      <c r="I83" s="148"/>
      <c r="J83" s="148"/>
      <c r="K83" s="165" t="s">
        <v>3661</v>
      </c>
      <c r="L83" s="165" t="s">
        <v>3655</v>
      </c>
      <c r="M83" s="165"/>
      <c r="N83" s="165"/>
      <c r="O83" s="165" t="s">
        <v>3569</v>
      </c>
      <c r="P83" s="165" t="s">
        <v>2217</v>
      </c>
      <c r="Q83" s="126" t="s">
        <v>1637</v>
      </c>
      <c r="R83" s="40" t="s">
        <v>2218</v>
      </c>
      <c r="S83" s="40"/>
      <c r="T83" s="40" t="s">
        <v>139</v>
      </c>
      <c r="U83" s="41" t="s">
        <v>139</v>
      </c>
      <c r="V83" s="41" t="s">
        <v>139</v>
      </c>
      <c r="W83" s="41" t="s">
        <v>139</v>
      </c>
      <c r="X83" s="41" t="s">
        <v>999</v>
      </c>
      <c r="Y83" s="41" t="s">
        <v>139</v>
      </c>
      <c r="Z83" s="74" t="s">
        <v>139</v>
      </c>
      <c r="AA83" s="41" t="s">
        <v>139</v>
      </c>
      <c r="AB83" s="41" t="s">
        <v>139</v>
      </c>
      <c r="AC83" s="41" t="s">
        <v>1000</v>
      </c>
      <c r="AD83" s="41" t="s">
        <v>139</v>
      </c>
      <c r="AE83" s="44"/>
      <c r="AF83" s="45"/>
      <c r="AG83" s="45"/>
      <c r="AH83" s="46"/>
      <c r="AI83" s="45"/>
      <c r="AJ83" s="45"/>
      <c r="AK83" s="45"/>
      <c r="AL83" s="3" t="s">
        <v>1582</v>
      </c>
    </row>
    <row r="84" spans="2:38" ht="40.5" hidden="1">
      <c r="B84" s="144">
        <f t="shared" si="1"/>
        <v>81</v>
      </c>
      <c r="C84" s="148" t="s">
        <v>3732</v>
      </c>
      <c r="D84" s="148"/>
      <c r="E84" s="148"/>
      <c r="F84" s="148"/>
      <c r="G84" s="148"/>
      <c r="H84" s="148"/>
      <c r="I84" s="148"/>
      <c r="J84" s="148"/>
      <c r="K84" s="165" t="s">
        <v>3661</v>
      </c>
      <c r="L84" s="165" t="s">
        <v>3655</v>
      </c>
      <c r="M84" s="165"/>
      <c r="N84" s="165"/>
      <c r="O84" s="165" t="s">
        <v>1190</v>
      </c>
      <c r="P84" s="165" t="s">
        <v>1190</v>
      </c>
      <c r="Q84" s="126" t="s">
        <v>1191</v>
      </c>
      <c r="R84" s="40" t="s">
        <v>1192</v>
      </c>
      <c r="S84" s="40" t="s">
        <v>1193</v>
      </c>
      <c r="T84" s="40" t="s">
        <v>192</v>
      </c>
      <c r="U84" s="41" t="s">
        <v>1194</v>
      </c>
      <c r="V84" s="41" t="s">
        <v>139</v>
      </c>
      <c r="W84" s="41" t="s">
        <v>139</v>
      </c>
      <c r="X84" s="41" t="s">
        <v>139</v>
      </c>
      <c r="Y84" s="41" t="s">
        <v>139</v>
      </c>
      <c r="Z84" s="74" t="s">
        <v>163</v>
      </c>
      <c r="AA84" s="41" t="s">
        <v>139</v>
      </c>
      <c r="AB84" s="41" t="s">
        <v>139</v>
      </c>
      <c r="AC84" s="41" t="s">
        <v>139</v>
      </c>
      <c r="AD84" s="41" t="s">
        <v>139</v>
      </c>
      <c r="AE84" s="44"/>
      <c r="AF84" s="45"/>
      <c r="AG84" s="45"/>
      <c r="AH84" s="46"/>
      <c r="AI84" s="45"/>
      <c r="AJ84" s="45"/>
      <c r="AK84" s="45"/>
      <c r="AL84" s="3" t="s">
        <v>1582</v>
      </c>
    </row>
    <row r="85" spans="2:38" ht="27" hidden="1">
      <c r="B85" s="144">
        <f t="shared" si="1"/>
        <v>82</v>
      </c>
      <c r="C85" s="148" t="s">
        <v>3732</v>
      </c>
      <c r="D85" s="148"/>
      <c r="E85" s="148"/>
      <c r="F85" s="148"/>
      <c r="G85" s="148"/>
      <c r="H85" s="148"/>
      <c r="I85" s="148"/>
      <c r="J85" s="148"/>
      <c r="K85" s="165" t="s">
        <v>3661</v>
      </c>
      <c r="L85" s="165" t="s">
        <v>3655</v>
      </c>
      <c r="M85" s="65"/>
      <c r="N85" s="65"/>
      <c r="O85" s="65" t="s">
        <v>2906</v>
      </c>
      <c r="P85" s="65" t="s">
        <v>2906</v>
      </c>
      <c r="Q85" s="54" t="s">
        <v>1637</v>
      </c>
      <c r="R85" s="41" t="s">
        <v>2911</v>
      </c>
      <c r="S85" s="41"/>
      <c r="T85" s="41"/>
      <c r="U85" s="41" t="s">
        <v>429</v>
      </c>
      <c r="V85" s="41" t="s">
        <v>139</v>
      </c>
      <c r="W85" s="41" t="s">
        <v>139</v>
      </c>
      <c r="X85" s="41" t="s">
        <v>139</v>
      </c>
      <c r="Y85" s="41" t="s">
        <v>139</v>
      </c>
      <c r="Z85" s="53" t="s">
        <v>218</v>
      </c>
      <c r="AA85" s="54" t="s">
        <v>139</v>
      </c>
      <c r="AB85" s="54" t="s">
        <v>139</v>
      </c>
      <c r="AC85" s="54" t="s">
        <v>139</v>
      </c>
      <c r="AD85" s="54" t="s">
        <v>139</v>
      </c>
      <c r="AE85" s="55"/>
      <c r="AF85" s="56"/>
      <c r="AG85" s="56"/>
      <c r="AH85" s="57"/>
      <c r="AI85" s="56"/>
      <c r="AJ85" s="56"/>
      <c r="AK85" s="56"/>
      <c r="AL85" s="3" t="s">
        <v>1582</v>
      </c>
    </row>
    <row r="86" spans="2:38" ht="40.5" hidden="1">
      <c r="B86" s="144">
        <f t="shared" si="1"/>
        <v>83</v>
      </c>
      <c r="C86" s="148" t="s">
        <v>3732</v>
      </c>
      <c r="D86" s="148"/>
      <c r="E86" s="148"/>
      <c r="F86" s="148"/>
      <c r="G86" s="148"/>
      <c r="H86" s="148"/>
      <c r="I86" s="148"/>
      <c r="J86" s="148"/>
      <c r="K86" s="165" t="s">
        <v>3661</v>
      </c>
      <c r="L86" s="165" t="s">
        <v>3655</v>
      </c>
      <c r="M86" s="165"/>
      <c r="N86" s="165"/>
      <c r="O86" s="165" t="s">
        <v>1195</v>
      </c>
      <c r="P86" s="165" t="s">
        <v>1195</v>
      </c>
      <c r="Q86" s="126" t="s">
        <v>1196</v>
      </c>
      <c r="R86" s="40" t="s">
        <v>1197</v>
      </c>
      <c r="S86" s="40" t="s">
        <v>1198</v>
      </c>
      <c r="T86" s="40" t="s">
        <v>192</v>
      </c>
      <c r="U86" s="41" t="s">
        <v>1199</v>
      </c>
      <c r="V86" s="41" t="s">
        <v>139</v>
      </c>
      <c r="W86" s="41" t="s">
        <v>139</v>
      </c>
      <c r="X86" s="41" t="s">
        <v>139</v>
      </c>
      <c r="Y86" s="41" t="s">
        <v>139</v>
      </c>
      <c r="Z86" s="74" t="s">
        <v>163</v>
      </c>
      <c r="AA86" s="41" t="s">
        <v>139</v>
      </c>
      <c r="AB86" s="41" t="s">
        <v>139</v>
      </c>
      <c r="AC86" s="41" t="s">
        <v>139</v>
      </c>
      <c r="AD86" s="41" t="s">
        <v>139</v>
      </c>
      <c r="AE86" s="44"/>
      <c r="AF86" s="45"/>
      <c r="AG86" s="45"/>
      <c r="AH86" s="46"/>
      <c r="AI86" s="45"/>
      <c r="AJ86" s="45"/>
      <c r="AK86" s="45"/>
      <c r="AL86" s="3" t="s">
        <v>1582</v>
      </c>
    </row>
    <row r="87" spans="2:38" hidden="1">
      <c r="B87" s="144">
        <f t="shared" si="1"/>
        <v>84</v>
      </c>
      <c r="C87" s="148" t="s">
        <v>3732</v>
      </c>
      <c r="D87" s="148"/>
      <c r="E87" s="148"/>
      <c r="F87" s="148"/>
      <c r="G87" s="148"/>
      <c r="H87" s="148"/>
      <c r="I87" s="148"/>
      <c r="J87" s="148"/>
      <c r="K87" s="165" t="s">
        <v>3661</v>
      </c>
      <c r="L87" s="165" t="s">
        <v>3655</v>
      </c>
      <c r="M87" s="65"/>
      <c r="N87" s="65"/>
      <c r="O87" s="65" t="s">
        <v>579</v>
      </c>
      <c r="P87" s="65" t="s">
        <v>579</v>
      </c>
      <c r="Q87" s="54" t="s">
        <v>139</v>
      </c>
      <c r="R87" s="41" t="s">
        <v>580</v>
      </c>
      <c r="S87" s="41"/>
      <c r="T87" s="41" t="s">
        <v>139</v>
      </c>
      <c r="U87" s="41" t="s">
        <v>581</v>
      </c>
      <c r="V87" s="41" t="s">
        <v>139</v>
      </c>
      <c r="W87" s="41" t="s">
        <v>139</v>
      </c>
      <c r="X87" s="41" t="s">
        <v>139</v>
      </c>
      <c r="Y87" s="41" t="s">
        <v>139</v>
      </c>
      <c r="Z87" s="73" t="s">
        <v>133</v>
      </c>
      <c r="AA87" s="54" t="s">
        <v>139</v>
      </c>
      <c r="AB87" s="54" t="s">
        <v>139</v>
      </c>
      <c r="AC87" s="54" t="s">
        <v>139</v>
      </c>
      <c r="AD87" s="54" t="s">
        <v>139</v>
      </c>
      <c r="AE87" s="55"/>
      <c r="AF87" s="56"/>
      <c r="AG87" s="56"/>
      <c r="AH87" s="57"/>
      <c r="AI87" s="56"/>
      <c r="AJ87" s="56"/>
      <c r="AK87" s="56"/>
      <c r="AL87" s="3" t="s">
        <v>1582</v>
      </c>
    </row>
    <row r="88" spans="2:38" ht="27" hidden="1">
      <c r="B88" s="144">
        <f t="shared" si="1"/>
        <v>85</v>
      </c>
      <c r="C88" s="148" t="s">
        <v>3732</v>
      </c>
      <c r="D88" s="148"/>
      <c r="E88" s="148"/>
      <c r="F88" s="148"/>
      <c r="G88" s="148"/>
      <c r="H88" s="148"/>
      <c r="I88" s="148"/>
      <c r="J88" s="148"/>
      <c r="K88" s="165" t="s">
        <v>3661</v>
      </c>
      <c r="L88" s="165" t="s">
        <v>3655</v>
      </c>
      <c r="M88" s="65"/>
      <c r="N88" s="65"/>
      <c r="O88" s="65" t="s">
        <v>2908</v>
      </c>
      <c r="P88" s="65" t="s">
        <v>2908</v>
      </c>
      <c r="Q88" s="54" t="s">
        <v>1637</v>
      </c>
      <c r="R88" s="41" t="s">
        <v>2913</v>
      </c>
      <c r="S88" s="41"/>
      <c r="T88" s="41"/>
      <c r="U88" s="41" t="s">
        <v>429</v>
      </c>
      <c r="V88" s="41" t="s">
        <v>139</v>
      </c>
      <c r="W88" s="41" t="s">
        <v>139</v>
      </c>
      <c r="X88" s="41" t="s">
        <v>139</v>
      </c>
      <c r="Y88" s="41" t="s">
        <v>139</v>
      </c>
      <c r="Z88" s="73" t="s">
        <v>218</v>
      </c>
      <c r="AA88" s="54" t="s">
        <v>139</v>
      </c>
      <c r="AB88" s="54" t="s">
        <v>139</v>
      </c>
      <c r="AC88" s="54" t="s">
        <v>139</v>
      </c>
      <c r="AD88" s="54" t="s">
        <v>139</v>
      </c>
      <c r="AE88" s="55"/>
      <c r="AF88" s="56"/>
      <c r="AG88" s="56"/>
      <c r="AH88" s="57"/>
      <c r="AI88" s="56"/>
      <c r="AJ88" s="56"/>
      <c r="AK88" s="56"/>
      <c r="AL88" s="3" t="s">
        <v>1582</v>
      </c>
    </row>
    <row r="89" spans="2:38" hidden="1">
      <c r="B89" s="144">
        <f t="shared" si="1"/>
        <v>86</v>
      </c>
      <c r="C89" s="148" t="s">
        <v>3732</v>
      </c>
      <c r="D89" s="148"/>
      <c r="E89" s="148"/>
      <c r="F89" s="148"/>
      <c r="G89" s="148"/>
      <c r="H89" s="148"/>
      <c r="I89" s="148"/>
      <c r="J89" s="148"/>
      <c r="K89" s="165" t="s">
        <v>3661</v>
      </c>
      <c r="L89" s="165" t="s">
        <v>3655</v>
      </c>
      <c r="M89" s="65"/>
      <c r="N89" s="65"/>
      <c r="O89" s="65" t="s">
        <v>2910</v>
      </c>
      <c r="P89" s="65" t="s">
        <v>2910</v>
      </c>
      <c r="Q89" s="54" t="s">
        <v>1637</v>
      </c>
      <c r="R89" s="41" t="s">
        <v>2915</v>
      </c>
      <c r="S89" s="41"/>
      <c r="T89" s="41"/>
      <c r="U89" s="41" t="s">
        <v>429</v>
      </c>
      <c r="V89" s="41" t="s">
        <v>139</v>
      </c>
      <c r="W89" s="41" t="s">
        <v>139</v>
      </c>
      <c r="X89" s="41" t="s">
        <v>139</v>
      </c>
      <c r="Y89" s="41" t="s">
        <v>139</v>
      </c>
      <c r="Z89" s="73" t="s">
        <v>218</v>
      </c>
      <c r="AA89" s="54" t="s">
        <v>139</v>
      </c>
      <c r="AB89" s="54" t="s">
        <v>139</v>
      </c>
      <c r="AC89" s="54" t="s">
        <v>139</v>
      </c>
      <c r="AD89" s="54" t="s">
        <v>139</v>
      </c>
      <c r="AE89" s="55"/>
      <c r="AF89" s="56"/>
      <c r="AG89" s="56"/>
      <c r="AH89" s="57"/>
      <c r="AI89" s="56"/>
      <c r="AJ89" s="56"/>
      <c r="AK89" s="56"/>
      <c r="AL89" s="3" t="s">
        <v>1582</v>
      </c>
    </row>
    <row r="90" spans="2:38" ht="40.5" hidden="1">
      <c r="B90" s="144">
        <f t="shared" si="1"/>
        <v>87</v>
      </c>
      <c r="C90" s="148" t="s">
        <v>3732</v>
      </c>
      <c r="D90" s="148"/>
      <c r="E90" s="148"/>
      <c r="F90" s="148"/>
      <c r="G90" s="148"/>
      <c r="H90" s="148"/>
      <c r="I90" s="148"/>
      <c r="J90" s="148"/>
      <c r="K90" s="165" t="s">
        <v>3661</v>
      </c>
      <c r="L90" s="165" t="s">
        <v>3655</v>
      </c>
      <c r="M90" s="165"/>
      <c r="N90" s="165"/>
      <c r="O90" s="165" t="s">
        <v>659</v>
      </c>
      <c r="P90" s="165" t="s">
        <v>659</v>
      </c>
      <c r="Q90" s="126" t="s">
        <v>660</v>
      </c>
      <c r="R90" s="40" t="s">
        <v>661</v>
      </c>
      <c r="S90" s="40"/>
      <c r="T90" s="40" t="s">
        <v>139</v>
      </c>
      <c r="U90" s="41" t="s">
        <v>139</v>
      </c>
      <c r="V90" s="41" t="s">
        <v>139</v>
      </c>
      <c r="W90" s="41" t="s">
        <v>139</v>
      </c>
      <c r="X90" s="41" t="s">
        <v>662</v>
      </c>
      <c r="Y90" s="41" t="s">
        <v>139</v>
      </c>
      <c r="Z90" s="74" t="s">
        <v>139</v>
      </c>
      <c r="AA90" s="41" t="s">
        <v>139</v>
      </c>
      <c r="AB90" s="41" t="s">
        <v>139</v>
      </c>
      <c r="AC90" s="41" t="s">
        <v>655</v>
      </c>
      <c r="AD90" s="41" t="s">
        <v>139</v>
      </c>
      <c r="AE90" s="44"/>
      <c r="AF90" s="45"/>
      <c r="AG90" s="45"/>
      <c r="AH90" s="46"/>
      <c r="AI90" s="45"/>
      <c r="AJ90" s="45"/>
      <c r="AK90" s="45"/>
      <c r="AL90" s="3" t="s">
        <v>1582</v>
      </c>
    </row>
    <row r="91" spans="2:38" ht="40.5" hidden="1">
      <c r="B91" s="144">
        <f t="shared" si="1"/>
        <v>88</v>
      </c>
      <c r="C91" s="148" t="s">
        <v>3732</v>
      </c>
      <c r="D91" s="148"/>
      <c r="E91" s="148"/>
      <c r="F91" s="148"/>
      <c r="G91" s="148"/>
      <c r="H91" s="148"/>
      <c r="I91" s="148"/>
      <c r="J91" s="148"/>
      <c r="K91" s="165" t="s">
        <v>3661</v>
      </c>
      <c r="L91" s="165" t="s">
        <v>3655</v>
      </c>
      <c r="M91" s="165"/>
      <c r="N91" s="165"/>
      <c r="O91" s="165" t="s">
        <v>1175</v>
      </c>
      <c r="P91" s="165" t="s">
        <v>1175</v>
      </c>
      <c r="Q91" s="126" t="s">
        <v>139</v>
      </c>
      <c r="R91" s="40" t="s">
        <v>1986</v>
      </c>
      <c r="S91" s="40"/>
      <c r="T91" s="40" t="s">
        <v>1140</v>
      </c>
      <c r="U91" s="41" t="s">
        <v>1176</v>
      </c>
      <c r="V91" s="41" t="s">
        <v>139</v>
      </c>
      <c r="W91" s="41" t="s">
        <v>139</v>
      </c>
      <c r="X91" s="41" t="s">
        <v>139</v>
      </c>
      <c r="Y91" s="41" t="s">
        <v>139</v>
      </c>
      <c r="Z91" s="74" t="s">
        <v>163</v>
      </c>
      <c r="AA91" s="41" t="s">
        <v>139</v>
      </c>
      <c r="AB91" s="41" t="s">
        <v>139</v>
      </c>
      <c r="AC91" s="41" t="s">
        <v>139</v>
      </c>
      <c r="AD91" s="41" t="s">
        <v>139</v>
      </c>
      <c r="AE91" s="44"/>
      <c r="AF91" s="45"/>
      <c r="AG91" s="45"/>
      <c r="AH91" s="46"/>
      <c r="AI91" s="45"/>
      <c r="AJ91" s="45"/>
      <c r="AK91" s="45"/>
      <c r="AL91" s="3" t="s">
        <v>1582</v>
      </c>
    </row>
    <row r="92" spans="2:38" hidden="1">
      <c r="B92" s="144">
        <f t="shared" si="1"/>
        <v>89</v>
      </c>
      <c r="C92" s="148" t="s">
        <v>3732</v>
      </c>
      <c r="D92" s="148"/>
      <c r="E92" s="148"/>
      <c r="F92" s="148"/>
      <c r="G92" s="148"/>
      <c r="H92" s="148"/>
      <c r="I92" s="148"/>
      <c r="J92" s="148"/>
      <c r="K92" s="165" t="s">
        <v>3661</v>
      </c>
      <c r="L92" s="165" t="s">
        <v>3655</v>
      </c>
      <c r="M92" s="165"/>
      <c r="N92" s="65"/>
      <c r="O92" s="65" t="s">
        <v>489</v>
      </c>
      <c r="P92" s="65" t="s">
        <v>489</v>
      </c>
      <c r="Q92" s="54" t="s">
        <v>139</v>
      </c>
      <c r="R92" s="41" t="s">
        <v>490</v>
      </c>
      <c r="S92" s="41"/>
      <c r="T92" s="41" t="s">
        <v>139</v>
      </c>
      <c r="U92" s="41" t="s">
        <v>442</v>
      </c>
      <c r="V92" s="41" t="s">
        <v>139</v>
      </c>
      <c r="W92" s="41" t="s">
        <v>139</v>
      </c>
      <c r="X92" s="41" t="s">
        <v>139</v>
      </c>
      <c r="Y92" s="41" t="s">
        <v>139</v>
      </c>
      <c r="Z92" s="73" t="s">
        <v>218</v>
      </c>
      <c r="AA92" s="54" t="s">
        <v>139</v>
      </c>
      <c r="AB92" s="54" t="s">
        <v>139</v>
      </c>
      <c r="AC92" s="54" t="s">
        <v>139</v>
      </c>
      <c r="AD92" s="54" t="s">
        <v>139</v>
      </c>
      <c r="AE92" s="55"/>
      <c r="AF92" s="56"/>
      <c r="AG92" s="56"/>
      <c r="AH92" s="57"/>
      <c r="AI92" s="56"/>
      <c r="AJ92" s="56"/>
      <c r="AK92" s="56"/>
      <c r="AL92" s="3" t="s">
        <v>1582</v>
      </c>
    </row>
    <row r="93" spans="2:38" ht="40.5" hidden="1">
      <c r="B93" s="144">
        <f t="shared" si="1"/>
        <v>90</v>
      </c>
      <c r="C93" s="148" t="s">
        <v>3732</v>
      </c>
      <c r="D93" s="148"/>
      <c r="E93" s="148"/>
      <c r="F93" s="148"/>
      <c r="G93" s="148"/>
      <c r="H93" s="148"/>
      <c r="I93" s="148"/>
      <c r="J93" s="148"/>
      <c r="K93" s="165" t="s">
        <v>3661</v>
      </c>
      <c r="L93" s="165" t="s">
        <v>3655</v>
      </c>
      <c r="M93" s="165"/>
      <c r="N93" s="165"/>
      <c r="O93" s="165" t="s">
        <v>1185</v>
      </c>
      <c r="P93" s="165" t="s">
        <v>1185</v>
      </c>
      <c r="Q93" s="126" t="s">
        <v>1186</v>
      </c>
      <c r="R93" s="40" t="s">
        <v>1187</v>
      </c>
      <c r="S93" s="40"/>
      <c r="T93" s="40" t="s">
        <v>1188</v>
      </c>
      <c r="U93" s="41" t="s">
        <v>1189</v>
      </c>
      <c r="V93" s="41" t="s">
        <v>139</v>
      </c>
      <c r="W93" s="41" t="s">
        <v>139</v>
      </c>
      <c r="X93" s="41" t="s">
        <v>139</v>
      </c>
      <c r="Y93" s="41" t="s">
        <v>139</v>
      </c>
      <c r="Z93" s="74" t="s">
        <v>163</v>
      </c>
      <c r="AA93" s="41" t="s">
        <v>139</v>
      </c>
      <c r="AB93" s="41" t="s">
        <v>139</v>
      </c>
      <c r="AC93" s="41" t="s">
        <v>139</v>
      </c>
      <c r="AD93" s="41" t="s">
        <v>139</v>
      </c>
      <c r="AE93" s="44"/>
      <c r="AF93" s="45"/>
      <c r="AG93" s="45"/>
      <c r="AH93" s="46"/>
      <c r="AI93" s="45"/>
      <c r="AJ93" s="45"/>
      <c r="AK93" s="45"/>
      <c r="AL93" s="3" t="s">
        <v>1582</v>
      </c>
    </row>
    <row r="94" spans="2:38" hidden="1">
      <c r="B94" s="144">
        <f t="shared" si="1"/>
        <v>91</v>
      </c>
      <c r="C94" s="148" t="s">
        <v>3732</v>
      </c>
      <c r="D94" s="148"/>
      <c r="E94" s="148"/>
      <c r="F94" s="148"/>
      <c r="G94" s="148"/>
      <c r="H94" s="148"/>
      <c r="I94" s="148"/>
      <c r="J94" s="148"/>
      <c r="K94" s="165" t="s">
        <v>3661</v>
      </c>
      <c r="L94" s="165" t="s">
        <v>3655</v>
      </c>
      <c r="M94" s="65"/>
      <c r="N94" s="65"/>
      <c r="O94" s="65" t="s">
        <v>3570</v>
      </c>
      <c r="P94" s="65" t="s">
        <v>3051</v>
      </c>
      <c r="Q94" s="54" t="s">
        <v>139</v>
      </c>
      <c r="R94" s="41" t="s">
        <v>3053</v>
      </c>
      <c r="S94" s="41"/>
      <c r="T94" s="41" t="s">
        <v>139</v>
      </c>
      <c r="U94" s="41" t="s">
        <v>442</v>
      </c>
      <c r="V94" s="41" t="s">
        <v>139</v>
      </c>
      <c r="W94" s="41" t="s">
        <v>139</v>
      </c>
      <c r="X94" s="41" t="s">
        <v>139</v>
      </c>
      <c r="Y94" s="41" t="s">
        <v>139</v>
      </c>
      <c r="Z94" s="73" t="s">
        <v>200</v>
      </c>
      <c r="AA94" s="54" t="s">
        <v>139</v>
      </c>
      <c r="AB94" s="54" t="s">
        <v>139</v>
      </c>
      <c r="AC94" s="54" t="s">
        <v>139</v>
      </c>
      <c r="AD94" s="54" t="s">
        <v>139</v>
      </c>
      <c r="AE94" s="55"/>
      <c r="AF94" s="56"/>
      <c r="AG94" s="56"/>
      <c r="AH94" s="57"/>
      <c r="AI94" s="56"/>
      <c r="AJ94" s="56"/>
      <c r="AK94" s="56"/>
      <c r="AL94" s="3" t="s">
        <v>1582</v>
      </c>
    </row>
    <row r="95" spans="2:38" hidden="1">
      <c r="B95" s="144">
        <f t="shared" si="1"/>
        <v>92</v>
      </c>
      <c r="C95" s="148" t="s">
        <v>3732</v>
      </c>
      <c r="D95" s="148"/>
      <c r="E95" s="148"/>
      <c r="F95" s="148"/>
      <c r="G95" s="148"/>
      <c r="H95" s="148"/>
      <c r="I95" s="148"/>
      <c r="J95" s="148"/>
      <c r="K95" s="165" t="s">
        <v>3661</v>
      </c>
      <c r="L95" s="165" t="s">
        <v>3655</v>
      </c>
      <c r="M95" s="65"/>
      <c r="N95" s="65"/>
      <c r="O95" s="65" t="s">
        <v>3571</v>
      </c>
      <c r="P95" s="65" t="s">
        <v>3052</v>
      </c>
      <c r="Q95" s="54" t="s">
        <v>139</v>
      </c>
      <c r="R95" s="41" t="s">
        <v>3054</v>
      </c>
      <c r="S95" s="41"/>
      <c r="T95" s="41" t="s">
        <v>139</v>
      </c>
      <c r="U95" s="41" t="s">
        <v>442</v>
      </c>
      <c r="V95" s="41" t="s">
        <v>139</v>
      </c>
      <c r="W95" s="41" t="s">
        <v>139</v>
      </c>
      <c r="X95" s="41" t="s">
        <v>139</v>
      </c>
      <c r="Y95" s="41" t="s">
        <v>139</v>
      </c>
      <c r="Z95" s="73" t="s">
        <v>200</v>
      </c>
      <c r="AA95" s="54" t="s">
        <v>139</v>
      </c>
      <c r="AB95" s="54" t="s">
        <v>139</v>
      </c>
      <c r="AC95" s="54" t="s">
        <v>139</v>
      </c>
      <c r="AD95" s="54" t="s">
        <v>139</v>
      </c>
      <c r="AE95" s="55"/>
      <c r="AF95" s="56"/>
      <c r="AG95" s="56"/>
      <c r="AH95" s="57"/>
      <c r="AI95" s="56"/>
      <c r="AJ95" s="56"/>
      <c r="AK95" s="56"/>
      <c r="AL95" s="3" t="s">
        <v>1582</v>
      </c>
    </row>
    <row r="96" spans="2:38" hidden="1">
      <c r="B96" s="144">
        <f t="shared" si="1"/>
        <v>93</v>
      </c>
      <c r="C96" s="148" t="s">
        <v>3732</v>
      </c>
      <c r="D96" s="148"/>
      <c r="E96" s="148"/>
      <c r="F96" s="148"/>
      <c r="G96" s="148"/>
      <c r="H96" s="148"/>
      <c r="I96" s="148"/>
      <c r="J96" s="148"/>
      <c r="K96" s="165" t="s">
        <v>3661</v>
      </c>
      <c r="L96" s="165" t="s">
        <v>3655</v>
      </c>
      <c r="M96" s="165"/>
      <c r="N96" s="65"/>
      <c r="O96" s="65" t="s">
        <v>507</v>
      </c>
      <c r="P96" s="65" t="s">
        <v>507</v>
      </c>
      <c r="Q96" s="54" t="s">
        <v>139</v>
      </c>
      <c r="R96" s="41" t="s">
        <v>508</v>
      </c>
      <c r="S96" s="41"/>
      <c r="T96" s="41" t="s">
        <v>139</v>
      </c>
      <c r="U96" s="41" t="s">
        <v>509</v>
      </c>
      <c r="V96" s="41" t="s">
        <v>139</v>
      </c>
      <c r="W96" s="41" t="s">
        <v>139</v>
      </c>
      <c r="X96" s="41" t="s">
        <v>139</v>
      </c>
      <c r="Y96" s="41" t="s">
        <v>139</v>
      </c>
      <c r="Z96" s="73" t="s">
        <v>218</v>
      </c>
      <c r="AA96" s="54" t="s">
        <v>139</v>
      </c>
      <c r="AB96" s="54" t="s">
        <v>139</v>
      </c>
      <c r="AC96" s="54" t="s">
        <v>139</v>
      </c>
      <c r="AD96" s="54" t="s">
        <v>139</v>
      </c>
      <c r="AE96" s="55"/>
      <c r="AF96" s="56"/>
      <c r="AG96" s="56"/>
      <c r="AH96" s="57"/>
      <c r="AI96" s="56"/>
      <c r="AJ96" s="56"/>
      <c r="AK96" s="56"/>
      <c r="AL96" s="3" t="s">
        <v>1582</v>
      </c>
    </row>
    <row r="97" spans="2:38" hidden="1">
      <c r="B97" s="144">
        <f t="shared" si="1"/>
        <v>94</v>
      </c>
      <c r="C97" s="148" t="s">
        <v>3732</v>
      </c>
      <c r="D97" s="148"/>
      <c r="E97" s="148"/>
      <c r="F97" s="148"/>
      <c r="G97" s="148"/>
      <c r="H97" s="148"/>
      <c r="I97" s="148"/>
      <c r="J97" s="148"/>
      <c r="K97" s="165" t="s">
        <v>3661</v>
      </c>
      <c r="L97" s="165" t="s">
        <v>3655</v>
      </c>
      <c r="M97" s="65"/>
      <c r="N97" s="65"/>
      <c r="O97" s="65" t="s">
        <v>2907</v>
      </c>
      <c r="P97" s="65" t="s">
        <v>2907</v>
      </c>
      <c r="Q97" s="54" t="s">
        <v>1637</v>
      </c>
      <c r="R97" s="41" t="s">
        <v>2912</v>
      </c>
      <c r="S97" s="41"/>
      <c r="T97" s="41"/>
      <c r="U97" s="41" t="s">
        <v>429</v>
      </c>
      <c r="V97" s="41" t="s">
        <v>139</v>
      </c>
      <c r="W97" s="41" t="s">
        <v>139</v>
      </c>
      <c r="X97" s="41" t="s">
        <v>139</v>
      </c>
      <c r="Y97" s="41" t="s">
        <v>139</v>
      </c>
      <c r="Z97" s="73" t="s">
        <v>218</v>
      </c>
      <c r="AA97" s="54" t="s">
        <v>139</v>
      </c>
      <c r="AB97" s="54" t="s">
        <v>139</v>
      </c>
      <c r="AC97" s="54" t="s">
        <v>139</v>
      </c>
      <c r="AD97" s="54" t="s">
        <v>139</v>
      </c>
      <c r="AE97" s="55"/>
      <c r="AF97" s="56"/>
      <c r="AG97" s="56"/>
      <c r="AH97" s="57"/>
      <c r="AI97" s="56"/>
      <c r="AJ97" s="56"/>
      <c r="AK97" s="56"/>
      <c r="AL97" s="3" t="s">
        <v>1582</v>
      </c>
    </row>
    <row r="98" spans="2:38" ht="40.5" hidden="1">
      <c r="B98" s="144">
        <f t="shared" si="1"/>
        <v>95</v>
      </c>
      <c r="C98" s="148" t="s">
        <v>3732</v>
      </c>
      <c r="D98" s="148"/>
      <c r="E98" s="148"/>
      <c r="F98" s="148"/>
      <c r="G98" s="148"/>
      <c r="H98" s="148"/>
      <c r="I98" s="148"/>
      <c r="J98" s="148"/>
      <c r="K98" s="165" t="s">
        <v>3661</v>
      </c>
      <c r="L98" s="165" t="s">
        <v>3655</v>
      </c>
      <c r="M98" s="165"/>
      <c r="N98" s="165"/>
      <c r="O98" s="165" t="s">
        <v>838</v>
      </c>
      <c r="P98" s="165" t="s">
        <v>838</v>
      </c>
      <c r="Q98" s="126" t="s">
        <v>839</v>
      </c>
      <c r="R98" s="40" t="s">
        <v>840</v>
      </c>
      <c r="S98" s="40"/>
      <c r="T98" s="40" t="s">
        <v>139</v>
      </c>
      <c r="U98" s="41" t="s">
        <v>841</v>
      </c>
      <c r="V98" s="41" t="s">
        <v>139</v>
      </c>
      <c r="W98" s="41" t="s">
        <v>139</v>
      </c>
      <c r="X98" s="41" t="s">
        <v>842</v>
      </c>
      <c r="Y98" s="41" t="s">
        <v>139</v>
      </c>
      <c r="Z98" s="74" t="s">
        <v>200</v>
      </c>
      <c r="AA98" s="41" t="s">
        <v>139</v>
      </c>
      <c r="AB98" s="41" t="s">
        <v>139</v>
      </c>
      <c r="AC98" s="41" t="s">
        <v>843</v>
      </c>
      <c r="AD98" s="41" t="s">
        <v>139</v>
      </c>
      <c r="AE98" s="44"/>
      <c r="AF98" s="45"/>
      <c r="AG98" s="45"/>
      <c r="AH98" s="46"/>
      <c r="AI98" s="45"/>
      <c r="AJ98" s="45"/>
      <c r="AK98" s="45"/>
      <c r="AL98" s="3" t="s">
        <v>1582</v>
      </c>
    </row>
    <row r="99" spans="2:38" hidden="1">
      <c r="B99" s="144">
        <f t="shared" si="1"/>
        <v>96</v>
      </c>
      <c r="C99" s="148" t="s">
        <v>3732</v>
      </c>
      <c r="D99" s="148"/>
      <c r="E99" s="148"/>
      <c r="F99" s="148"/>
      <c r="G99" s="148"/>
      <c r="H99" s="148"/>
      <c r="I99" s="148"/>
      <c r="J99" s="148"/>
      <c r="K99" s="165" t="s">
        <v>3661</v>
      </c>
      <c r="L99" s="65" t="s">
        <v>3655</v>
      </c>
      <c r="M99" s="65"/>
      <c r="N99" s="65"/>
      <c r="O99" s="65" t="s">
        <v>3608</v>
      </c>
      <c r="P99" s="65" t="s">
        <v>3050</v>
      </c>
      <c r="Q99" s="54" t="s">
        <v>3049</v>
      </c>
      <c r="R99" s="41" t="s">
        <v>467</v>
      </c>
      <c r="S99" s="41"/>
      <c r="T99" s="41" t="s">
        <v>139</v>
      </c>
      <c r="U99" s="41" t="s">
        <v>468</v>
      </c>
      <c r="V99" s="41" t="s">
        <v>139</v>
      </c>
      <c r="W99" s="41" t="s">
        <v>139</v>
      </c>
      <c r="X99" s="41" t="s">
        <v>139</v>
      </c>
      <c r="Y99" s="41" t="s">
        <v>139</v>
      </c>
      <c r="Z99" s="73" t="s">
        <v>469</v>
      </c>
      <c r="AA99" s="54" t="s">
        <v>139</v>
      </c>
      <c r="AB99" s="54" t="s">
        <v>139</v>
      </c>
      <c r="AC99" s="54" t="s">
        <v>139</v>
      </c>
      <c r="AD99" s="54" t="s">
        <v>139</v>
      </c>
      <c r="AE99" s="55"/>
      <c r="AF99" s="56"/>
      <c r="AG99" s="56"/>
      <c r="AH99" s="57"/>
      <c r="AI99" s="56"/>
      <c r="AJ99" s="56"/>
      <c r="AK99" s="56"/>
      <c r="AL99" s="3" t="s">
        <v>1582</v>
      </c>
    </row>
    <row r="100" spans="2:38" hidden="1">
      <c r="B100" s="144">
        <f t="shared" si="1"/>
        <v>97</v>
      </c>
      <c r="C100" s="148" t="s">
        <v>3732</v>
      </c>
      <c r="D100" s="148"/>
      <c r="E100" s="148"/>
      <c r="F100" s="148"/>
      <c r="G100" s="148"/>
      <c r="H100" s="148"/>
      <c r="I100" s="148"/>
      <c r="J100" s="148"/>
      <c r="K100" s="165" t="s">
        <v>3661</v>
      </c>
      <c r="L100" s="165" t="s">
        <v>3655</v>
      </c>
      <c r="M100" s="165"/>
      <c r="N100" s="65"/>
      <c r="O100" s="65" t="s">
        <v>339</v>
      </c>
      <c r="P100" s="65" t="s">
        <v>339</v>
      </c>
      <c r="Q100" s="54" t="s">
        <v>528</v>
      </c>
      <c r="R100" s="41" t="s">
        <v>529</v>
      </c>
      <c r="S100" s="41"/>
      <c r="T100" s="41" t="s">
        <v>139</v>
      </c>
      <c r="U100" s="41" t="s">
        <v>339</v>
      </c>
      <c r="V100" s="41" t="s">
        <v>139</v>
      </c>
      <c r="W100" s="41" t="s">
        <v>139</v>
      </c>
      <c r="X100" s="41" t="s">
        <v>139</v>
      </c>
      <c r="Y100" s="41" t="s">
        <v>139</v>
      </c>
      <c r="Z100" s="73" t="s">
        <v>410</v>
      </c>
      <c r="AA100" s="54" t="s">
        <v>139</v>
      </c>
      <c r="AB100" s="54" t="s">
        <v>139</v>
      </c>
      <c r="AC100" s="54" t="s">
        <v>139</v>
      </c>
      <c r="AD100" s="54" t="s">
        <v>139</v>
      </c>
      <c r="AE100" s="55"/>
      <c r="AF100" s="56"/>
      <c r="AG100" s="56"/>
      <c r="AH100" s="57"/>
      <c r="AI100" s="56"/>
      <c r="AJ100" s="56"/>
      <c r="AK100" s="56"/>
      <c r="AL100" s="3" t="s">
        <v>1582</v>
      </c>
    </row>
    <row r="101" spans="2:38" hidden="1">
      <c r="B101" s="144">
        <f t="shared" si="1"/>
        <v>98</v>
      </c>
      <c r="C101" s="148" t="s">
        <v>3732</v>
      </c>
      <c r="D101" s="148"/>
      <c r="E101" s="148"/>
      <c r="F101" s="148"/>
      <c r="G101" s="148"/>
      <c r="H101" s="148"/>
      <c r="I101" s="148"/>
      <c r="J101" s="148"/>
      <c r="K101" s="165" t="s">
        <v>3661</v>
      </c>
      <c r="L101" s="165" t="s">
        <v>3655</v>
      </c>
      <c r="M101" s="165"/>
      <c r="N101" s="65"/>
      <c r="O101" s="65" t="s">
        <v>275</v>
      </c>
      <c r="P101" s="65" t="s">
        <v>275</v>
      </c>
      <c r="Q101" s="54" t="s">
        <v>139</v>
      </c>
      <c r="R101" s="41" t="s">
        <v>526</v>
      </c>
      <c r="S101" s="41"/>
      <c r="T101" s="41" t="s">
        <v>139</v>
      </c>
      <c r="U101" s="41" t="s">
        <v>527</v>
      </c>
      <c r="V101" s="41" t="s">
        <v>139</v>
      </c>
      <c r="W101" s="41" t="s">
        <v>139</v>
      </c>
      <c r="X101" s="41" t="s">
        <v>139</v>
      </c>
      <c r="Y101" s="41" t="s">
        <v>139</v>
      </c>
      <c r="Z101" s="73" t="s">
        <v>410</v>
      </c>
      <c r="AA101" s="54" t="s">
        <v>139</v>
      </c>
      <c r="AB101" s="54" t="s">
        <v>139</v>
      </c>
      <c r="AC101" s="54" t="s">
        <v>139</v>
      </c>
      <c r="AD101" s="54" t="s">
        <v>139</v>
      </c>
      <c r="AE101" s="55"/>
      <c r="AF101" s="56"/>
      <c r="AG101" s="56"/>
      <c r="AH101" s="57"/>
      <c r="AI101" s="56"/>
      <c r="AJ101" s="56"/>
      <c r="AK101" s="56"/>
      <c r="AL101" s="3" t="s">
        <v>1582</v>
      </c>
    </row>
    <row r="102" spans="2:38" hidden="1">
      <c r="B102" s="144">
        <f t="shared" si="1"/>
        <v>99</v>
      </c>
      <c r="C102" s="148" t="s">
        <v>3732</v>
      </c>
      <c r="D102" s="148"/>
      <c r="E102" s="148"/>
      <c r="F102" s="148"/>
      <c r="G102" s="148"/>
      <c r="H102" s="148"/>
      <c r="I102" s="148"/>
      <c r="J102" s="148"/>
      <c r="K102" s="165" t="s">
        <v>3661</v>
      </c>
      <c r="L102" s="165" t="s">
        <v>3655</v>
      </c>
      <c r="M102" s="165"/>
      <c r="N102" s="65"/>
      <c r="O102" s="65" t="s">
        <v>545</v>
      </c>
      <c r="P102" s="65" t="s">
        <v>545</v>
      </c>
      <c r="Q102" s="54" t="s">
        <v>139</v>
      </c>
      <c r="R102" s="41" t="s">
        <v>546</v>
      </c>
      <c r="S102" s="41"/>
      <c r="T102" s="41" t="s">
        <v>139</v>
      </c>
      <c r="U102" s="41" t="s">
        <v>547</v>
      </c>
      <c r="V102" s="41" t="s">
        <v>139</v>
      </c>
      <c r="W102" s="41" t="s">
        <v>139</v>
      </c>
      <c r="X102" s="41" t="s">
        <v>139</v>
      </c>
      <c r="Y102" s="41" t="s">
        <v>139</v>
      </c>
      <c r="Z102" s="73" t="s">
        <v>218</v>
      </c>
      <c r="AA102" s="54" t="s">
        <v>139</v>
      </c>
      <c r="AB102" s="54" t="s">
        <v>139</v>
      </c>
      <c r="AC102" s="54" t="s">
        <v>139</v>
      </c>
      <c r="AD102" s="54" t="s">
        <v>139</v>
      </c>
      <c r="AE102" s="55"/>
      <c r="AF102" s="56"/>
      <c r="AG102" s="56"/>
      <c r="AH102" s="57"/>
      <c r="AI102" s="56"/>
      <c r="AJ102" s="56"/>
      <c r="AK102" s="56"/>
      <c r="AL102" s="3" t="s">
        <v>1582</v>
      </c>
    </row>
    <row r="103" spans="2:38" hidden="1">
      <c r="B103" s="144">
        <f t="shared" si="1"/>
        <v>100</v>
      </c>
      <c r="C103" s="148" t="s">
        <v>3732</v>
      </c>
      <c r="D103" s="148"/>
      <c r="E103" s="148"/>
      <c r="F103" s="148"/>
      <c r="G103" s="148"/>
      <c r="H103" s="148"/>
      <c r="I103" s="148"/>
      <c r="J103" s="148"/>
      <c r="K103" s="165" t="s">
        <v>3661</v>
      </c>
      <c r="L103" s="165" t="s">
        <v>3655</v>
      </c>
      <c r="M103" s="165"/>
      <c r="N103" s="65"/>
      <c r="O103" s="65" t="s">
        <v>503</v>
      </c>
      <c r="P103" s="65" t="s">
        <v>3230</v>
      </c>
      <c r="Q103" s="54" t="s">
        <v>3231</v>
      </c>
      <c r="R103" s="41" t="s">
        <v>530</v>
      </c>
      <c r="S103" s="41"/>
      <c r="T103" s="41" t="s">
        <v>139</v>
      </c>
      <c r="U103" s="41" t="s">
        <v>503</v>
      </c>
      <c r="V103" s="41" t="s">
        <v>139</v>
      </c>
      <c r="W103" s="41" t="s">
        <v>139</v>
      </c>
      <c r="X103" s="41" t="s">
        <v>139</v>
      </c>
      <c r="Y103" s="41" t="s">
        <v>139</v>
      </c>
      <c r="Z103" s="73" t="s">
        <v>531</v>
      </c>
      <c r="AA103" s="54" t="s">
        <v>139</v>
      </c>
      <c r="AB103" s="54" t="s">
        <v>139</v>
      </c>
      <c r="AC103" s="54" t="s">
        <v>139</v>
      </c>
      <c r="AD103" s="54" t="s">
        <v>139</v>
      </c>
      <c r="AE103" s="55"/>
      <c r="AF103" s="56"/>
      <c r="AG103" s="56"/>
      <c r="AH103" s="57"/>
      <c r="AI103" s="56"/>
      <c r="AJ103" s="56"/>
      <c r="AK103" s="56"/>
      <c r="AL103" s="3" t="s">
        <v>1582</v>
      </c>
    </row>
    <row r="104" spans="2:38" hidden="1">
      <c r="B104" s="144">
        <f t="shared" si="1"/>
        <v>101</v>
      </c>
      <c r="C104" s="148" t="s">
        <v>3732</v>
      </c>
      <c r="D104" s="148"/>
      <c r="E104" s="148"/>
      <c r="F104" s="148"/>
      <c r="G104" s="148"/>
      <c r="H104" s="148"/>
      <c r="I104" s="148"/>
      <c r="J104" s="148"/>
      <c r="K104" s="165" t="s">
        <v>3661</v>
      </c>
      <c r="L104" s="165" t="s">
        <v>3655</v>
      </c>
      <c r="M104" s="165"/>
      <c r="N104" s="65"/>
      <c r="O104" s="65" t="s">
        <v>558</v>
      </c>
      <c r="P104" s="65" t="s">
        <v>558</v>
      </c>
      <c r="Q104" s="54" t="s">
        <v>139</v>
      </c>
      <c r="R104" s="41" t="s">
        <v>559</v>
      </c>
      <c r="S104" s="41"/>
      <c r="T104" s="41" t="s">
        <v>139</v>
      </c>
      <c r="U104" s="41" t="s">
        <v>560</v>
      </c>
      <c r="V104" s="41" t="s">
        <v>139</v>
      </c>
      <c r="W104" s="41" t="s">
        <v>139</v>
      </c>
      <c r="X104" s="41" t="s">
        <v>139</v>
      </c>
      <c r="Y104" s="41" t="s">
        <v>139</v>
      </c>
      <c r="Z104" s="73" t="s">
        <v>218</v>
      </c>
      <c r="AA104" s="54" t="s">
        <v>139</v>
      </c>
      <c r="AB104" s="54" t="s">
        <v>139</v>
      </c>
      <c r="AC104" s="54" t="s">
        <v>139</v>
      </c>
      <c r="AD104" s="54" t="s">
        <v>139</v>
      </c>
      <c r="AE104" s="55"/>
      <c r="AF104" s="56"/>
      <c r="AG104" s="56"/>
      <c r="AH104" s="57"/>
      <c r="AI104" s="56"/>
      <c r="AJ104" s="56"/>
      <c r="AK104" s="56"/>
      <c r="AL104" s="3" t="s">
        <v>1582</v>
      </c>
    </row>
    <row r="105" spans="2:38" hidden="1">
      <c r="B105" s="144">
        <f t="shared" si="1"/>
        <v>102</v>
      </c>
      <c r="C105" s="148" t="s">
        <v>3732</v>
      </c>
      <c r="D105" s="148"/>
      <c r="E105" s="148"/>
      <c r="F105" s="148"/>
      <c r="G105" s="148"/>
      <c r="H105" s="148"/>
      <c r="I105" s="148"/>
      <c r="J105" s="148"/>
      <c r="K105" s="165" t="s">
        <v>3661</v>
      </c>
      <c r="L105" s="165" t="s">
        <v>3655</v>
      </c>
      <c r="M105" s="165"/>
      <c r="N105" s="65"/>
      <c r="O105" s="65" t="s">
        <v>548</v>
      </c>
      <c r="P105" s="65" t="s">
        <v>548</v>
      </c>
      <c r="Q105" s="54" t="s">
        <v>139</v>
      </c>
      <c r="R105" s="41" t="s">
        <v>549</v>
      </c>
      <c r="S105" s="41"/>
      <c r="T105" s="41" t="s">
        <v>139</v>
      </c>
      <c r="U105" s="41" t="s">
        <v>550</v>
      </c>
      <c r="V105" s="41" t="s">
        <v>139</v>
      </c>
      <c r="W105" s="41" t="s">
        <v>139</v>
      </c>
      <c r="X105" s="41" t="s">
        <v>139</v>
      </c>
      <c r="Y105" s="41" t="s">
        <v>139</v>
      </c>
      <c r="Z105" s="73" t="s">
        <v>551</v>
      </c>
      <c r="AA105" s="54" t="s">
        <v>139</v>
      </c>
      <c r="AB105" s="54" t="s">
        <v>139</v>
      </c>
      <c r="AC105" s="54" t="s">
        <v>139</v>
      </c>
      <c r="AD105" s="54" t="s">
        <v>139</v>
      </c>
      <c r="AE105" s="55"/>
      <c r="AF105" s="56"/>
      <c r="AG105" s="56"/>
      <c r="AH105" s="57"/>
      <c r="AI105" s="56"/>
      <c r="AJ105" s="56"/>
      <c r="AK105" s="56"/>
      <c r="AL105" s="3" t="s">
        <v>1582</v>
      </c>
    </row>
    <row r="106" spans="2:38" hidden="1">
      <c r="B106" s="144">
        <f t="shared" si="1"/>
        <v>103</v>
      </c>
      <c r="C106" s="148" t="s">
        <v>3732</v>
      </c>
      <c r="D106" s="148"/>
      <c r="E106" s="148"/>
      <c r="F106" s="148"/>
      <c r="G106" s="148"/>
      <c r="H106" s="148"/>
      <c r="I106" s="148"/>
      <c r="J106" s="148"/>
      <c r="K106" s="165" t="s">
        <v>3661</v>
      </c>
      <c r="L106" s="165" t="s">
        <v>3655</v>
      </c>
      <c r="M106" s="165"/>
      <c r="N106" s="65"/>
      <c r="O106" s="65" t="s">
        <v>555</v>
      </c>
      <c r="P106" s="65" t="s">
        <v>555</v>
      </c>
      <c r="Q106" s="54" t="s">
        <v>139</v>
      </c>
      <c r="R106" s="41" t="s">
        <v>556</v>
      </c>
      <c r="S106" s="41"/>
      <c r="T106" s="41" t="s">
        <v>139</v>
      </c>
      <c r="U106" s="41" t="s">
        <v>557</v>
      </c>
      <c r="V106" s="41" t="s">
        <v>139</v>
      </c>
      <c r="W106" s="41" t="s">
        <v>139</v>
      </c>
      <c r="X106" s="41" t="s">
        <v>139</v>
      </c>
      <c r="Y106" s="41" t="s">
        <v>139</v>
      </c>
      <c r="Z106" s="73" t="s">
        <v>218</v>
      </c>
      <c r="AA106" s="54" t="s">
        <v>139</v>
      </c>
      <c r="AB106" s="54" t="s">
        <v>139</v>
      </c>
      <c r="AC106" s="54" t="s">
        <v>139</v>
      </c>
      <c r="AD106" s="54" t="s">
        <v>139</v>
      </c>
      <c r="AE106" s="55"/>
      <c r="AF106" s="56"/>
      <c r="AG106" s="56"/>
      <c r="AH106" s="57"/>
      <c r="AI106" s="56"/>
      <c r="AJ106" s="56"/>
      <c r="AK106" s="56"/>
      <c r="AL106" s="3" t="s">
        <v>1582</v>
      </c>
    </row>
    <row r="107" spans="2:38" hidden="1">
      <c r="B107" s="144">
        <f t="shared" si="1"/>
        <v>104</v>
      </c>
      <c r="C107" s="148" t="s">
        <v>3732</v>
      </c>
      <c r="D107" s="148"/>
      <c r="E107" s="148"/>
      <c r="F107" s="148"/>
      <c r="G107" s="148"/>
      <c r="H107" s="148"/>
      <c r="I107" s="148"/>
      <c r="J107" s="148"/>
      <c r="K107" s="165" t="s">
        <v>3661</v>
      </c>
      <c r="L107" s="165" t="s">
        <v>3655</v>
      </c>
      <c r="M107" s="165"/>
      <c r="N107" s="65"/>
      <c r="O107" s="65" t="s">
        <v>416</v>
      </c>
      <c r="P107" s="65" t="s">
        <v>416</v>
      </c>
      <c r="Q107" s="54" t="s">
        <v>139</v>
      </c>
      <c r="R107" s="41" t="s">
        <v>533</v>
      </c>
      <c r="S107" s="41"/>
      <c r="T107" s="41" t="s">
        <v>139</v>
      </c>
      <c r="U107" s="41" t="s">
        <v>534</v>
      </c>
      <c r="V107" s="41" t="s">
        <v>139</v>
      </c>
      <c r="W107" s="41" t="s">
        <v>139</v>
      </c>
      <c r="X107" s="41" t="s">
        <v>139</v>
      </c>
      <c r="Y107" s="41" t="s">
        <v>139</v>
      </c>
      <c r="Z107" s="73" t="s">
        <v>133</v>
      </c>
      <c r="AA107" s="54" t="s">
        <v>139</v>
      </c>
      <c r="AB107" s="54" t="s">
        <v>139</v>
      </c>
      <c r="AC107" s="54" t="s">
        <v>139</v>
      </c>
      <c r="AD107" s="54" t="s">
        <v>139</v>
      </c>
      <c r="AE107" s="55"/>
      <c r="AF107" s="56"/>
      <c r="AG107" s="56"/>
      <c r="AH107" s="57"/>
      <c r="AI107" s="56"/>
      <c r="AJ107" s="56"/>
      <c r="AK107" s="56"/>
      <c r="AL107" s="3" t="s">
        <v>1582</v>
      </c>
    </row>
    <row r="108" spans="2:38" ht="40.5" hidden="1">
      <c r="B108" s="144">
        <f t="shared" si="1"/>
        <v>105</v>
      </c>
      <c r="C108" s="148" t="s">
        <v>3732</v>
      </c>
      <c r="D108" s="148"/>
      <c r="E108" s="148"/>
      <c r="F108" s="148"/>
      <c r="G108" s="148"/>
      <c r="H108" s="148"/>
      <c r="I108" s="148"/>
      <c r="J108" s="148"/>
      <c r="K108" s="165" t="s">
        <v>3661</v>
      </c>
      <c r="L108" s="165" t="s">
        <v>3655</v>
      </c>
      <c r="M108" s="165"/>
      <c r="N108" s="165"/>
      <c r="O108" s="165" t="s">
        <v>1342</v>
      </c>
      <c r="P108" s="165" t="s">
        <v>1342</v>
      </c>
      <c r="Q108" s="126" t="s">
        <v>1343</v>
      </c>
      <c r="R108" s="40" t="s">
        <v>1344</v>
      </c>
      <c r="S108" s="40" t="s">
        <v>1345</v>
      </c>
      <c r="T108" s="40" t="s">
        <v>139</v>
      </c>
      <c r="U108" s="41" t="s">
        <v>1346</v>
      </c>
      <c r="V108" s="41" t="s">
        <v>139</v>
      </c>
      <c r="W108" s="41" t="s">
        <v>139</v>
      </c>
      <c r="X108" s="41" t="s">
        <v>139</v>
      </c>
      <c r="Y108" s="41" t="s">
        <v>139</v>
      </c>
      <c r="Z108" s="74" t="s">
        <v>438</v>
      </c>
      <c r="AA108" s="41" t="s">
        <v>139</v>
      </c>
      <c r="AB108" s="41" t="s">
        <v>139</v>
      </c>
      <c r="AC108" s="41" t="s">
        <v>139</v>
      </c>
      <c r="AD108" s="41" t="s">
        <v>139</v>
      </c>
      <c r="AE108" s="44"/>
      <c r="AF108" s="45"/>
      <c r="AG108" s="45"/>
      <c r="AH108" s="46"/>
      <c r="AI108" s="45"/>
      <c r="AJ108" s="45"/>
      <c r="AK108" s="45"/>
      <c r="AL108" s="3" t="s">
        <v>1582</v>
      </c>
    </row>
    <row r="109" spans="2:38" hidden="1">
      <c r="B109" s="144">
        <f t="shared" si="1"/>
        <v>106</v>
      </c>
      <c r="C109" s="148" t="s">
        <v>3732</v>
      </c>
      <c r="D109" s="148"/>
      <c r="E109" s="148"/>
      <c r="F109" s="148"/>
      <c r="G109" s="148"/>
      <c r="H109" s="148"/>
      <c r="I109" s="148"/>
      <c r="J109" s="148"/>
      <c r="K109" s="165" t="s">
        <v>3661</v>
      </c>
      <c r="L109" s="165" t="s">
        <v>3655</v>
      </c>
      <c r="M109" s="65"/>
      <c r="N109" s="65"/>
      <c r="O109" s="65" t="s">
        <v>538</v>
      </c>
      <c r="P109" s="65" t="s">
        <v>538</v>
      </c>
      <c r="Q109" s="54" t="s">
        <v>139</v>
      </c>
      <c r="R109" s="41" t="s">
        <v>539</v>
      </c>
      <c r="S109" s="41"/>
      <c r="T109" s="41" t="s">
        <v>139</v>
      </c>
      <c r="U109" s="41" t="s">
        <v>540</v>
      </c>
      <c r="V109" s="41" t="s">
        <v>139</v>
      </c>
      <c r="W109" s="41" t="s">
        <v>139</v>
      </c>
      <c r="X109" s="41" t="s">
        <v>139</v>
      </c>
      <c r="Y109" s="41" t="s">
        <v>139</v>
      </c>
      <c r="Z109" s="73" t="s">
        <v>133</v>
      </c>
      <c r="AA109" s="54" t="s">
        <v>139</v>
      </c>
      <c r="AB109" s="54" t="s">
        <v>139</v>
      </c>
      <c r="AC109" s="54" t="s">
        <v>139</v>
      </c>
      <c r="AD109" s="54" t="s">
        <v>139</v>
      </c>
      <c r="AE109" s="55"/>
      <c r="AF109" s="56"/>
      <c r="AG109" s="56"/>
      <c r="AH109" s="57"/>
      <c r="AI109" s="56"/>
      <c r="AJ109" s="56"/>
      <c r="AK109" s="56"/>
      <c r="AL109" s="3" t="s">
        <v>1582</v>
      </c>
    </row>
    <row r="110" spans="2:38" ht="40.5" hidden="1">
      <c r="B110" s="144">
        <f t="shared" si="1"/>
        <v>107</v>
      </c>
      <c r="C110" s="148" t="s">
        <v>3732</v>
      </c>
      <c r="D110" s="148"/>
      <c r="E110" s="148"/>
      <c r="F110" s="148"/>
      <c r="G110" s="148"/>
      <c r="H110" s="148"/>
      <c r="I110" s="148"/>
      <c r="J110" s="148"/>
      <c r="K110" s="165" t="s">
        <v>3661</v>
      </c>
      <c r="L110" s="165" t="s">
        <v>3655</v>
      </c>
      <c r="M110" s="165"/>
      <c r="N110" s="165"/>
      <c r="O110" s="165" t="s">
        <v>3605</v>
      </c>
      <c r="P110" s="165" t="s">
        <v>3234</v>
      </c>
      <c r="Q110" s="126" t="s">
        <v>995</v>
      </c>
      <c r="R110" s="40" t="s">
        <v>996</v>
      </c>
      <c r="S110" s="40"/>
      <c r="T110" s="40" t="s">
        <v>139</v>
      </c>
      <c r="U110" s="41" t="s">
        <v>139</v>
      </c>
      <c r="V110" s="41" t="s">
        <v>139</v>
      </c>
      <c r="W110" s="41" t="s">
        <v>139</v>
      </c>
      <c r="X110" s="41" t="s">
        <v>997</v>
      </c>
      <c r="Y110" s="41" t="s">
        <v>139</v>
      </c>
      <c r="Z110" s="74" t="s">
        <v>139</v>
      </c>
      <c r="AA110" s="41" t="s">
        <v>139</v>
      </c>
      <c r="AB110" s="41" t="s">
        <v>139</v>
      </c>
      <c r="AC110" s="41" t="s">
        <v>998</v>
      </c>
      <c r="AD110" s="41" t="s">
        <v>139</v>
      </c>
      <c r="AE110" s="44"/>
      <c r="AF110" s="45"/>
      <c r="AG110" s="45"/>
      <c r="AH110" s="46"/>
      <c r="AI110" s="45"/>
      <c r="AJ110" s="45"/>
      <c r="AK110" s="45"/>
      <c r="AL110" s="3" t="s">
        <v>1582</v>
      </c>
    </row>
    <row r="111" spans="2:38" hidden="1">
      <c r="B111" s="144">
        <f t="shared" si="1"/>
        <v>108</v>
      </c>
      <c r="C111" s="148" t="s">
        <v>3732</v>
      </c>
      <c r="D111" s="148"/>
      <c r="E111" s="148"/>
      <c r="F111" s="148"/>
      <c r="G111" s="148"/>
      <c r="H111" s="148"/>
      <c r="I111" s="148"/>
      <c r="J111" s="148"/>
      <c r="K111" s="165" t="s">
        <v>3661</v>
      </c>
      <c r="L111" s="165" t="s">
        <v>3655</v>
      </c>
      <c r="M111" s="65"/>
      <c r="N111" s="65"/>
      <c r="O111" s="65" t="s">
        <v>295</v>
      </c>
      <c r="P111" s="65" t="s">
        <v>295</v>
      </c>
      <c r="Q111" s="54" t="s">
        <v>139</v>
      </c>
      <c r="R111" s="41" t="s">
        <v>524</v>
      </c>
      <c r="S111" s="41"/>
      <c r="T111" s="41" t="s">
        <v>139</v>
      </c>
      <c r="U111" s="41" t="s">
        <v>525</v>
      </c>
      <c r="V111" s="41" t="s">
        <v>139</v>
      </c>
      <c r="W111" s="41" t="s">
        <v>139</v>
      </c>
      <c r="X111" s="41" t="s">
        <v>139</v>
      </c>
      <c r="Y111" s="41" t="s">
        <v>139</v>
      </c>
      <c r="Z111" s="73" t="s">
        <v>133</v>
      </c>
      <c r="AA111" s="54" t="s">
        <v>139</v>
      </c>
      <c r="AB111" s="54" t="s">
        <v>139</v>
      </c>
      <c r="AC111" s="54" t="s">
        <v>139</v>
      </c>
      <c r="AD111" s="54" t="s">
        <v>139</v>
      </c>
      <c r="AE111" s="55"/>
      <c r="AF111" s="56"/>
      <c r="AG111" s="56"/>
      <c r="AH111" s="57"/>
      <c r="AI111" s="56"/>
      <c r="AJ111" s="56"/>
      <c r="AK111" s="56"/>
      <c r="AL111" s="3" t="s">
        <v>1582</v>
      </c>
    </row>
    <row r="112" spans="2:38" ht="27" hidden="1">
      <c r="B112" s="144">
        <f t="shared" si="1"/>
        <v>109</v>
      </c>
      <c r="C112" s="148" t="s">
        <v>3732</v>
      </c>
      <c r="D112" s="148"/>
      <c r="E112" s="148"/>
      <c r="F112" s="148"/>
      <c r="G112" s="148"/>
      <c r="H112" s="148"/>
      <c r="I112" s="148"/>
      <c r="J112" s="148"/>
      <c r="K112" s="165" t="s">
        <v>3661</v>
      </c>
      <c r="L112" s="65" t="s">
        <v>3655</v>
      </c>
      <c r="M112" s="165"/>
      <c r="N112" s="65"/>
      <c r="O112" s="65" t="s">
        <v>315</v>
      </c>
      <c r="P112" s="65" t="s">
        <v>315</v>
      </c>
      <c r="Q112" s="54" t="s">
        <v>316</v>
      </c>
      <c r="R112" s="41" t="s">
        <v>317</v>
      </c>
      <c r="S112" s="41" t="s">
        <v>318</v>
      </c>
      <c r="T112" s="41" t="s">
        <v>139</v>
      </c>
      <c r="U112" s="41" t="s">
        <v>319</v>
      </c>
      <c r="V112" s="41" t="s">
        <v>139</v>
      </c>
      <c r="W112" s="41" t="s">
        <v>139</v>
      </c>
      <c r="X112" s="41" t="s">
        <v>139</v>
      </c>
      <c r="Y112" s="41" t="s">
        <v>139</v>
      </c>
      <c r="Z112" s="73" t="s">
        <v>133</v>
      </c>
      <c r="AA112" s="54" t="s">
        <v>139</v>
      </c>
      <c r="AB112" s="54" t="s">
        <v>139</v>
      </c>
      <c r="AC112" s="54" t="s">
        <v>139</v>
      </c>
      <c r="AD112" s="54" t="s">
        <v>139</v>
      </c>
      <c r="AE112" s="55"/>
      <c r="AF112" s="56"/>
      <c r="AG112" s="56"/>
      <c r="AH112" s="57"/>
      <c r="AI112" s="56"/>
      <c r="AJ112" s="56"/>
      <c r="AK112" s="56"/>
      <c r="AL112" s="3" t="s">
        <v>1582</v>
      </c>
    </row>
    <row r="113" spans="2:38" hidden="1">
      <c r="B113" s="144">
        <f t="shared" si="1"/>
        <v>110</v>
      </c>
      <c r="C113" s="148" t="s">
        <v>3732</v>
      </c>
      <c r="D113" s="148"/>
      <c r="E113" s="148"/>
      <c r="F113" s="148"/>
      <c r="G113" s="148"/>
      <c r="H113" s="148"/>
      <c r="I113" s="148"/>
      <c r="J113" s="148"/>
      <c r="K113" s="165" t="s">
        <v>3661</v>
      </c>
      <c r="L113" s="65" t="s">
        <v>3655</v>
      </c>
      <c r="M113" s="165"/>
      <c r="N113" s="65"/>
      <c r="O113" s="65" t="s">
        <v>582</v>
      </c>
      <c r="P113" s="65" t="s">
        <v>582</v>
      </c>
      <c r="Q113" s="54" t="s">
        <v>583</v>
      </c>
      <c r="R113" s="41" t="s">
        <v>584</v>
      </c>
      <c r="S113" s="41"/>
      <c r="T113" s="41" t="s">
        <v>139</v>
      </c>
      <c r="U113" s="41" t="s">
        <v>585</v>
      </c>
      <c r="V113" s="41" t="s">
        <v>139</v>
      </c>
      <c r="W113" s="41" t="s">
        <v>139</v>
      </c>
      <c r="X113" s="41" t="s">
        <v>139</v>
      </c>
      <c r="Y113" s="41" t="s">
        <v>139</v>
      </c>
      <c r="Z113" s="73" t="s">
        <v>133</v>
      </c>
      <c r="AA113" s="54" t="s">
        <v>139</v>
      </c>
      <c r="AB113" s="54" t="s">
        <v>139</v>
      </c>
      <c r="AC113" s="54" t="s">
        <v>139</v>
      </c>
      <c r="AD113" s="54" t="s">
        <v>139</v>
      </c>
      <c r="AE113" s="55"/>
      <c r="AF113" s="56"/>
      <c r="AG113" s="56"/>
      <c r="AH113" s="57"/>
      <c r="AI113" s="56"/>
      <c r="AJ113" s="56"/>
      <c r="AK113" s="56"/>
      <c r="AL113" s="3" t="s">
        <v>1582</v>
      </c>
    </row>
    <row r="114" spans="2:38" hidden="1">
      <c r="B114" s="144">
        <f t="shared" si="1"/>
        <v>111</v>
      </c>
      <c r="C114" s="148" t="s">
        <v>3732</v>
      </c>
      <c r="D114" s="148"/>
      <c r="E114" s="148"/>
      <c r="F114" s="148"/>
      <c r="G114" s="148"/>
      <c r="H114" s="148"/>
      <c r="I114" s="148"/>
      <c r="J114" s="148"/>
      <c r="K114" s="165" t="s">
        <v>3661</v>
      </c>
      <c r="L114" s="65" t="s">
        <v>3655</v>
      </c>
      <c r="M114" s="65"/>
      <c r="N114" s="65"/>
      <c r="O114" s="65" t="s">
        <v>572</v>
      </c>
      <c r="P114" s="65" t="s">
        <v>572</v>
      </c>
      <c r="Q114" s="54" t="s">
        <v>139</v>
      </c>
      <c r="R114" s="41" t="s">
        <v>573</v>
      </c>
      <c r="S114" s="41"/>
      <c r="T114" s="41" t="s">
        <v>139</v>
      </c>
      <c r="U114" s="41" t="s">
        <v>442</v>
      </c>
      <c r="V114" s="41" t="s">
        <v>139</v>
      </c>
      <c r="W114" s="41" t="s">
        <v>139</v>
      </c>
      <c r="X114" s="41" t="s">
        <v>139</v>
      </c>
      <c r="Y114" s="41" t="s">
        <v>139</v>
      </c>
      <c r="Z114" s="73" t="s">
        <v>133</v>
      </c>
      <c r="AA114" s="54" t="s">
        <v>139</v>
      </c>
      <c r="AB114" s="54" t="s">
        <v>139</v>
      </c>
      <c r="AC114" s="54" t="s">
        <v>139</v>
      </c>
      <c r="AD114" s="54" t="s">
        <v>139</v>
      </c>
      <c r="AE114" s="55"/>
      <c r="AF114" s="56"/>
      <c r="AG114" s="56"/>
      <c r="AH114" s="57"/>
      <c r="AI114" s="56"/>
      <c r="AJ114" s="56"/>
      <c r="AK114" s="56"/>
      <c r="AL114" s="3" t="s">
        <v>1582</v>
      </c>
    </row>
    <row r="115" spans="2:38" ht="27" hidden="1">
      <c r="B115" s="144">
        <f t="shared" si="1"/>
        <v>112</v>
      </c>
      <c r="C115" s="148" t="s">
        <v>3732</v>
      </c>
      <c r="D115" s="148"/>
      <c r="E115" s="148"/>
      <c r="F115" s="148"/>
      <c r="G115" s="148"/>
      <c r="H115" s="148"/>
      <c r="I115" s="148"/>
      <c r="J115" s="148"/>
      <c r="K115" s="165" t="s">
        <v>3661</v>
      </c>
      <c r="L115" s="65" t="s">
        <v>3655</v>
      </c>
      <c r="M115" s="65"/>
      <c r="N115" s="65"/>
      <c r="O115" s="65" t="s">
        <v>570</v>
      </c>
      <c r="P115" s="65" t="s">
        <v>570</v>
      </c>
      <c r="Q115" s="54" t="s">
        <v>139</v>
      </c>
      <c r="R115" s="41" t="s">
        <v>571</v>
      </c>
      <c r="S115" s="41"/>
      <c r="T115" s="41" t="s">
        <v>139</v>
      </c>
      <c r="U115" s="41" t="s">
        <v>434</v>
      </c>
      <c r="V115" s="41" t="s">
        <v>139</v>
      </c>
      <c r="W115" s="41" t="s">
        <v>139</v>
      </c>
      <c r="X115" s="41" t="s">
        <v>139</v>
      </c>
      <c r="Y115" s="41" t="s">
        <v>139</v>
      </c>
      <c r="Z115" s="73" t="s">
        <v>121</v>
      </c>
      <c r="AA115" s="54" t="s">
        <v>139</v>
      </c>
      <c r="AB115" s="54" t="s">
        <v>139</v>
      </c>
      <c r="AC115" s="54" t="s">
        <v>139</v>
      </c>
      <c r="AD115" s="54" t="s">
        <v>139</v>
      </c>
      <c r="AE115" s="55"/>
      <c r="AF115" s="56"/>
      <c r="AG115" s="56"/>
      <c r="AH115" s="57"/>
      <c r="AI115" s="56"/>
      <c r="AJ115" s="56"/>
      <c r="AK115" s="56"/>
      <c r="AL115" s="3" t="s">
        <v>1582</v>
      </c>
    </row>
    <row r="116" spans="2:38" hidden="1">
      <c r="B116" s="144">
        <f t="shared" si="1"/>
        <v>113</v>
      </c>
      <c r="C116" s="148" t="s">
        <v>3732</v>
      </c>
      <c r="D116" s="148"/>
      <c r="E116" s="148"/>
      <c r="F116" s="148"/>
      <c r="G116" s="148"/>
      <c r="H116" s="148"/>
      <c r="I116" s="148"/>
      <c r="J116" s="148"/>
      <c r="K116" s="165" t="s">
        <v>3661</v>
      </c>
      <c r="L116" s="65" t="s">
        <v>3655</v>
      </c>
      <c r="M116" s="65"/>
      <c r="N116" s="65"/>
      <c r="O116" s="65" t="s">
        <v>329</v>
      </c>
      <c r="P116" s="65" t="s">
        <v>329</v>
      </c>
      <c r="Q116" s="54" t="s">
        <v>139</v>
      </c>
      <c r="R116" s="41" t="s">
        <v>330</v>
      </c>
      <c r="S116" s="41" t="s">
        <v>331</v>
      </c>
      <c r="T116" s="41" t="s">
        <v>1140</v>
      </c>
      <c r="U116" s="41" t="s">
        <v>328</v>
      </c>
      <c r="V116" s="41" t="s">
        <v>139</v>
      </c>
      <c r="W116" s="41" t="s">
        <v>139</v>
      </c>
      <c r="X116" s="41" t="s">
        <v>139</v>
      </c>
      <c r="Y116" s="41" t="s">
        <v>139</v>
      </c>
      <c r="Z116" s="73" t="s">
        <v>117</v>
      </c>
      <c r="AA116" s="54" t="s">
        <v>139</v>
      </c>
      <c r="AB116" s="54" t="s">
        <v>139</v>
      </c>
      <c r="AC116" s="54" t="s">
        <v>139</v>
      </c>
      <c r="AD116" s="54" t="s">
        <v>139</v>
      </c>
      <c r="AE116" s="55"/>
      <c r="AF116" s="56"/>
      <c r="AG116" s="56"/>
      <c r="AH116" s="57"/>
      <c r="AI116" s="56"/>
      <c r="AJ116" s="56"/>
      <c r="AK116" s="56"/>
      <c r="AL116" s="3" t="s">
        <v>1582</v>
      </c>
    </row>
    <row r="117" spans="2:38" ht="27" hidden="1">
      <c r="B117" s="144">
        <f t="shared" si="1"/>
        <v>114</v>
      </c>
      <c r="C117" s="148" t="s">
        <v>3732</v>
      </c>
      <c r="D117" s="148"/>
      <c r="E117" s="148"/>
      <c r="F117" s="148"/>
      <c r="G117" s="148"/>
      <c r="H117" s="148"/>
      <c r="I117" s="148"/>
      <c r="J117" s="148"/>
      <c r="K117" s="165" t="s">
        <v>3661</v>
      </c>
      <c r="L117" s="165" t="s">
        <v>3655</v>
      </c>
      <c r="M117" s="165"/>
      <c r="N117" s="165"/>
      <c r="O117" s="165" t="s">
        <v>1155</v>
      </c>
      <c r="P117" s="165" t="s">
        <v>1155</v>
      </c>
      <c r="Q117" s="126" t="s">
        <v>1156</v>
      </c>
      <c r="R117" s="40" t="s">
        <v>1157</v>
      </c>
      <c r="S117" s="40" t="s">
        <v>1158</v>
      </c>
      <c r="T117" s="40" t="s">
        <v>161</v>
      </c>
      <c r="U117" s="41" t="s">
        <v>1145</v>
      </c>
      <c r="V117" s="41" t="s">
        <v>139</v>
      </c>
      <c r="W117" s="41" t="s">
        <v>139</v>
      </c>
      <c r="X117" s="41" t="s">
        <v>139</v>
      </c>
      <c r="Y117" s="41" t="s">
        <v>139</v>
      </c>
      <c r="Z117" s="74" t="s">
        <v>235</v>
      </c>
      <c r="AA117" s="41" t="s">
        <v>139</v>
      </c>
      <c r="AB117" s="41" t="s">
        <v>139</v>
      </c>
      <c r="AC117" s="41" t="s">
        <v>139</v>
      </c>
      <c r="AD117" s="41" t="s">
        <v>139</v>
      </c>
      <c r="AE117" s="44"/>
      <c r="AF117" s="45"/>
      <c r="AG117" s="45"/>
      <c r="AH117" s="46"/>
      <c r="AI117" s="45"/>
      <c r="AJ117" s="45"/>
      <c r="AK117" s="45"/>
      <c r="AL117" s="3" t="s">
        <v>1582</v>
      </c>
    </row>
    <row r="118" spans="2:38" ht="27" hidden="1">
      <c r="B118" s="144">
        <f t="shared" si="1"/>
        <v>115</v>
      </c>
      <c r="C118" s="148" t="s">
        <v>3732</v>
      </c>
      <c r="D118" s="148"/>
      <c r="E118" s="148"/>
      <c r="F118" s="148"/>
      <c r="G118" s="148"/>
      <c r="H118" s="148"/>
      <c r="I118" s="148"/>
      <c r="J118" s="148"/>
      <c r="K118" s="165" t="s">
        <v>3661</v>
      </c>
      <c r="L118" s="165" t="s">
        <v>3680</v>
      </c>
      <c r="M118" s="165"/>
      <c r="N118" s="165"/>
      <c r="O118" s="165" t="s">
        <v>3528</v>
      </c>
      <c r="P118" s="165" t="s">
        <v>2785</v>
      </c>
      <c r="Q118" s="54" t="s">
        <v>1637</v>
      </c>
      <c r="R118" s="70" t="s">
        <v>2786</v>
      </c>
      <c r="S118" s="41"/>
      <c r="T118" s="41" t="s">
        <v>1637</v>
      </c>
      <c r="U118" s="41" t="s">
        <v>139</v>
      </c>
      <c r="V118" s="41" t="s">
        <v>139</v>
      </c>
      <c r="W118" s="41" t="s">
        <v>139</v>
      </c>
      <c r="X118" s="41" t="s">
        <v>2787</v>
      </c>
      <c r="Y118" s="41" t="s">
        <v>139</v>
      </c>
      <c r="Z118" s="73" t="s">
        <v>139</v>
      </c>
      <c r="AA118" s="54" t="s">
        <v>139</v>
      </c>
      <c r="AB118" s="54" t="s">
        <v>139</v>
      </c>
      <c r="AC118" s="54" t="s">
        <v>2788</v>
      </c>
      <c r="AD118" s="54" t="s">
        <v>139</v>
      </c>
      <c r="AE118" s="55"/>
      <c r="AF118" s="56"/>
      <c r="AG118" s="56"/>
      <c r="AH118" s="57"/>
      <c r="AI118" s="56"/>
      <c r="AJ118" s="56"/>
      <c r="AK118" s="56"/>
      <c r="AL118" s="3" t="s">
        <v>1582</v>
      </c>
    </row>
    <row r="119" spans="2:38" ht="40.5" hidden="1">
      <c r="B119" s="144">
        <f t="shared" si="1"/>
        <v>116</v>
      </c>
      <c r="C119" s="148" t="s">
        <v>3732</v>
      </c>
      <c r="D119" s="148"/>
      <c r="E119" s="148"/>
      <c r="F119" s="148"/>
      <c r="G119" s="148"/>
      <c r="H119" s="148"/>
      <c r="I119" s="148"/>
      <c r="J119" s="148"/>
      <c r="K119" s="165" t="s">
        <v>3661</v>
      </c>
      <c r="L119" s="165" t="s">
        <v>3680</v>
      </c>
      <c r="M119" s="165"/>
      <c r="N119" s="165"/>
      <c r="O119" s="165" t="s">
        <v>642</v>
      </c>
      <c r="P119" s="165" t="s">
        <v>642</v>
      </c>
      <c r="Q119" s="126" t="s">
        <v>139</v>
      </c>
      <c r="R119" s="40" t="s">
        <v>643</v>
      </c>
      <c r="S119" s="40"/>
      <c r="T119" s="40" t="s">
        <v>644</v>
      </c>
      <c r="U119" s="41" t="s">
        <v>139</v>
      </c>
      <c r="V119" s="41" t="s">
        <v>139</v>
      </c>
      <c r="W119" s="41" t="s">
        <v>139</v>
      </c>
      <c r="X119" s="41" t="s">
        <v>2856</v>
      </c>
      <c r="Y119" s="41" t="s">
        <v>139</v>
      </c>
      <c r="Z119" s="74" t="s">
        <v>139</v>
      </c>
      <c r="AA119" s="41" t="s">
        <v>139</v>
      </c>
      <c r="AB119" s="41" t="s">
        <v>139</v>
      </c>
      <c r="AC119" s="41" t="s">
        <v>2857</v>
      </c>
      <c r="AD119" s="41" t="s">
        <v>139</v>
      </c>
      <c r="AE119" s="44"/>
      <c r="AF119" s="45"/>
      <c r="AG119" s="45"/>
      <c r="AH119" s="46"/>
      <c r="AI119" s="45"/>
      <c r="AJ119" s="45"/>
      <c r="AK119" s="45"/>
      <c r="AL119" s="3" t="s">
        <v>1582</v>
      </c>
    </row>
    <row r="120" spans="2:38" ht="54" hidden="1">
      <c r="B120" s="144">
        <f t="shared" si="1"/>
        <v>117</v>
      </c>
      <c r="C120" s="148" t="s">
        <v>3732</v>
      </c>
      <c r="D120" s="148"/>
      <c r="E120" s="148"/>
      <c r="F120" s="148"/>
      <c r="G120" s="148"/>
      <c r="H120" s="148"/>
      <c r="I120" s="148"/>
      <c r="J120" s="148"/>
      <c r="K120" s="165" t="s">
        <v>3661</v>
      </c>
      <c r="L120" s="165" t="s">
        <v>3680</v>
      </c>
      <c r="M120" s="165"/>
      <c r="N120" s="165"/>
      <c r="O120" s="165" t="s">
        <v>3499</v>
      </c>
      <c r="P120" s="165" t="s">
        <v>2768</v>
      </c>
      <c r="Q120" s="126" t="s">
        <v>727</v>
      </c>
      <c r="R120" s="40" t="s">
        <v>2770</v>
      </c>
      <c r="S120" s="40" t="s">
        <v>728</v>
      </c>
      <c r="T120" s="40" t="s">
        <v>3068</v>
      </c>
      <c r="U120" s="41" t="s">
        <v>139</v>
      </c>
      <c r="V120" s="41" t="s">
        <v>139</v>
      </c>
      <c r="W120" s="41" t="s">
        <v>139</v>
      </c>
      <c r="X120" s="41" t="s">
        <v>729</v>
      </c>
      <c r="Y120" s="41" t="s">
        <v>139</v>
      </c>
      <c r="Z120" s="74" t="s">
        <v>139</v>
      </c>
      <c r="AA120" s="41" t="s">
        <v>139</v>
      </c>
      <c r="AB120" s="41" t="s">
        <v>139</v>
      </c>
      <c r="AC120" s="41" t="s">
        <v>730</v>
      </c>
      <c r="AD120" s="41" t="s">
        <v>139</v>
      </c>
      <c r="AE120" s="44"/>
      <c r="AF120" s="45"/>
      <c r="AG120" s="45"/>
      <c r="AH120" s="46"/>
      <c r="AI120" s="45"/>
      <c r="AJ120" s="45"/>
      <c r="AK120" s="45"/>
      <c r="AL120" s="3" t="s">
        <v>1582</v>
      </c>
    </row>
    <row r="121" spans="2:38" ht="54" hidden="1">
      <c r="B121" s="144">
        <f t="shared" si="1"/>
        <v>118</v>
      </c>
      <c r="C121" s="148" t="s">
        <v>3732</v>
      </c>
      <c r="D121" s="148"/>
      <c r="E121" s="148"/>
      <c r="F121" s="148"/>
      <c r="G121" s="148"/>
      <c r="H121" s="148"/>
      <c r="I121" s="148"/>
      <c r="J121" s="148"/>
      <c r="K121" s="165" t="s">
        <v>3661</v>
      </c>
      <c r="L121" s="165" t="s">
        <v>3680</v>
      </c>
      <c r="M121" s="165"/>
      <c r="N121" s="165"/>
      <c r="O121" s="165" t="s">
        <v>3500</v>
      </c>
      <c r="P121" s="165" t="s">
        <v>2769</v>
      </c>
      <c r="Q121" s="126" t="s">
        <v>727</v>
      </c>
      <c r="R121" s="40" t="s">
        <v>2771</v>
      </c>
      <c r="S121" s="40" t="s">
        <v>728</v>
      </c>
      <c r="T121" s="40" t="s">
        <v>3068</v>
      </c>
      <c r="U121" s="41" t="s">
        <v>139</v>
      </c>
      <c r="V121" s="41" t="s">
        <v>139</v>
      </c>
      <c r="W121" s="41" t="s">
        <v>139</v>
      </c>
      <c r="X121" s="41" t="s">
        <v>729</v>
      </c>
      <c r="Y121" s="41" t="s">
        <v>139</v>
      </c>
      <c r="Z121" s="74" t="s">
        <v>139</v>
      </c>
      <c r="AA121" s="41" t="s">
        <v>139</v>
      </c>
      <c r="AB121" s="41" t="s">
        <v>139</v>
      </c>
      <c r="AC121" s="41" t="s">
        <v>730</v>
      </c>
      <c r="AD121" s="41" t="s">
        <v>139</v>
      </c>
      <c r="AE121" s="44"/>
      <c r="AF121" s="45"/>
      <c r="AG121" s="45"/>
      <c r="AH121" s="46"/>
      <c r="AI121" s="45"/>
      <c r="AJ121" s="45"/>
      <c r="AK121" s="45"/>
      <c r="AL121" s="3" t="s">
        <v>1582</v>
      </c>
    </row>
    <row r="122" spans="2:38" ht="40.5" hidden="1">
      <c r="B122" s="144">
        <f t="shared" si="1"/>
        <v>119</v>
      </c>
      <c r="C122" s="148" t="s">
        <v>3732</v>
      </c>
      <c r="D122" s="148"/>
      <c r="E122" s="148"/>
      <c r="F122" s="148"/>
      <c r="G122" s="148"/>
      <c r="H122" s="148"/>
      <c r="I122" s="148"/>
      <c r="J122" s="148"/>
      <c r="K122" s="165" t="s">
        <v>3661</v>
      </c>
      <c r="L122" s="165" t="s">
        <v>3680</v>
      </c>
      <c r="M122" s="165"/>
      <c r="N122" s="165"/>
      <c r="O122" s="165" t="s">
        <v>683</v>
      </c>
      <c r="P122" s="165" t="s">
        <v>683</v>
      </c>
      <c r="Q122" s="126" t="s">
        <v>139</v>
      </c>
      <c r="R122" s="40" t="s">
        <v>684</v>
      </c>
      <c r="S122" s="40"/>
      <c r="T122" s="40" t="s">
        <v>139</v>
      </c>
      <c r="U122" s="41" t="s">
        <v>139</v>
      </c>
      <c r="V122" s="41" t="s">
        <v>139</v>
      </c>
      <c r="W122" s="41" t="s">
        <v>139</v>
      </c>
      <c r="X122" s="41" t="s">
        <v>2129</v>
      </c>
      <c r="Y122" s="41" t="s">
        <v>139</v>
      </c>
      <c r="Z122" s="74" t="s">
        <v>139</v>
      </c>
      <c r="AA122" s="41" t="s">
        <v>139</v>
      </c>
      <c r="AB122" s="41" t="s">
        <v>139</v>
      </c>
      <c r="AC122" s="41" t="s">
        <v>685</v>
      </c>
      <c r="AD122" s="41" t="s">
        <v>139</v>
      </c>
      <c r="AE122" s="44"/>
      <c r="AF122" s="45"/>
      <c r="AG122" s="45"/>
      <c r="AH122" s="46"/>
      <c r="AI122" s="45"/>
      <c r="AJ122" s="45"/>
      <c r="AK122" s="45"/>
      <c r="AL122" s="3" t="s">
        <v>1582</v>
      </c>
    </row>
    <row r="123" spans="2:38" ht="40.5" hidden="1">
      <c r="B123" s="144">
        <f t="shared" si="1"/>
        <v>120</v>
      </c>
      <c r="C123" s="148" t="s">
        <v>3732</v>
      </c>
      <c r="D123" s="148"/>
      <c r="E123" s="148"/>
      <c r="F123" s="148"/>
      <c r="G123" s="148"/>
      <c r="H123" s="148"/>
      <c r="I123" s="148"/>
      <c r="J123" s="148"/>
      <c r="K123" s="165" t="s">
        <v>3661</v>
      </c>
      <c r="L123" s="165" t="s">
        <v>3680</v>
      </c>
      <c r="M123" s="165"/>
      <c r="N123" s="165"/>
      <c r="O123" s="165" t="s">
        <v>3572</v>
      </c>
      <c r="P123" s="165" t="s">
        <v>3236</v>
      </c>
      <c r="Q123" s="126" t="s">
        <v>3235</v>
      </c>
      <c r="R123" s="40" t="s">
        <v>936</v>
      </c>
      <c r="S123" s="40" t="s">
        <v>937</v>
      </c>
      <c r="T123" s="40" t="s">
        <v>938</v>
      </c>
      <c r="U123" s="41" t="s">
        <v>139</v>
      </c>
      <c r="V123" s="41" t="s">
        <v>139</v>
      </c>
      <c r="W123" s="41" t="s">
        <v>139</v>
      </c>
      <c r="X123" s="41" t="s">
        <v>939</v>
      </c>
      <c r="Y123" s="41" t="s">
        <v>139</v>
      </c>
      <c r="Z123" s="74" t="s">
        <v>139</v>
      </c>
      <c r="AA123" s="41" t="s">
        <v>139</v>
      </c>
      <c r="AB123" s="41" t="s">
        <v>139</v>
      </c>
      <c r="AC123" s="41" t="s">
        <v>880</v>
      </c>
      <c r="AD123" s="41" t="s">
        <v>139</v>
      </c>
      <c r="AE123" s="44"/>
      <c r="AF123" s="45"/>
      <c r="AG123" s="45"/>
      <c r="AH123" s="46"/>
      <c r="AI123" s="45"/>
      <c r="AJ123" s="45"/>
      <c r="AK123" s="45"/>
      <c r="AL123" s="3" t="s">
        <v>1582</v>
      </c>
    </row>
    <row r="124" spans="2:38" ht="27" hidden="1">
      <c r="B124" s="144">
        <f t="shared" si="1"/>
        <v>121</v>
      </c>
      <c r="C124" s="148" t="s">
        <v>3732</v>
      </c>
      <c r="D124" s="148"/>
      <c r="E124" s="148"/>
      <c r="F124" s="148"/>
      <c r="G124" s="148"/>
      <c r="H124" s="148"/>
      <c r="I124" s="148"/>
      <c r="J124" s="148"/>
      <c r="K124" s="165" t="s">
        <v>3661</v>
      </c>
      <c r="L124" s="165" t="s">
        <v>3680</v>
      </c>
      <c r="M124" s="165"/>
      <c r="N124" s="165"/>
      <c r="O124" s="165" t="s">
        <v>972</v>
      </c>
      <c r="P124" s="165" t="s">
        <v>972</v>
      </c>
      <c r="Q124" s="126" t="s">
        <v>139</v>
      </c>
      <c r="R124" s="40" t="s">
        <v>973</v>
      </c>
      <c r="S124" s="40"/>
      <c r="T124" s="40" t="s">
        <v>284</v>
      </c>
      <c r="U124" s="41" t="s">
        <v>139</v>
      </c>
      <c r="V124" s="41" t="s">
        <v>139</v>
      </c>
      <c r="W124" s="41" t="s">
        <v>139</v>
      </c>
      <c r="X124" s="41" t="s">
        <v>974</v>
      </c>
      <c r="Y124" s="41" t="s">
        <v>139</v>
      </c>
      <c r="Z124" s="74" t="s">
        <v>139</v>
      </c>
      <c r="AA124" s="41" t="s">
        <v>139</v>
      </c>
      <c r="AB124" s="41" t="s">
        <v>139</v>
      </c>
      <c r="AC124" s="41" t="s">
        <v>975</v>
      </c>
      <c r="AD124" s="41" t="s">
        <v>139</v>
      </c>
      <c r="AE124" s="44"/>
      <c r="AF124" s="45"/>
      <c r="AG124" s="45"/>
      <c r="AH124" s="46"/>
      <c r="AI124" s="45"/>
      <c r="AJ124" s="45"/>
      <c r="AK124" s="45"/>
      <c r="AL124" s="3" t="s">
        <v>1582</v>
      </c>
    </row>
    <row r="125" spans="2:38" ht="40.5" hidden="1">
      <c r="B125" s="144">
        <f t="shared" si="1"/>
        <v>122</v>
      </c>
      <c r="C125" s="148" t="s">
        <v>3732</v>
      </c>
      <c r="D125" s="148"/>
      <c r="E125" s="148"/>
      <c r="F125" s="148"/>
      <c r="G125" s="148"/>
      <c r="H125" s="148"/>
      <c r="I125" s="148"/>
      <c r="J125" s="148"/>
      <c r="K125" s="165" t="s">
        <v>3661</v>
      </c>
      <c r="L125" s="165" t="s">
        <v>3680</v>
      </c>
      <c r="M125" s="165"/>
      <c r="N125" s="165"/>
      <c r="O125" s="165" t="s">
        <v>3573</v>
      </c>
      <c r="P125" s="165" t="s">
        <v>3238</v>
      </c>
      <c r="Q125" s="126" t="s">
        <v>3239</v>
      </c>
      <c r="R125" s="40" t="s">
        <v>2109</v>
      </c>
      <c r="S125" s="40"/>
      <c r="T125" s="40" t="s">
        <v>1637</v>
      </c>
      <c r="U125" s="41" t="s">
        <v>139</v>
      </c>
      <c r="V125" s="41" t="s">
        <v>139</v>
      </c>
      <c r="W125" s="41" t="s">
        <v>139</v>
      </c>
      <c r="X125" s="41" t="s">
        <v>768</v>
      </c>
      <c r="Y125" s="41" t="s">
        <v>139</v>
      </c>
      <c r="Z125" s="74" t="s">
        <v>139</v>
      </c>
      <c r="AA125" s="41" t="s">
        <v>139</v>
      </c>
      <c r="AB125" s="41" t="s">
        <v>139</v>
      </c>
      <c r="AC125" s="41" t="s">
        <v>1894</v>
      </c>
      <c r="AD125" s="41" t="s">
        <v>139</v>
      </c>
      <c r="AE125" s="44"/>
      <c r="AF125" s="45"/>
      <c r="AG125" s="45"/>
      <c r="AH125" s="46"/>
      <c r="AI125" s="45"/>
      <c r="AJ125" s="45"/>
      <c r="AK125" s="45"/>
      <c r="AL125" s="3" t="s">
        <v>1582</v>
      </c>
    </row>
    <row r="126" spans="2:38" ht="40.5" hidden="1">
      <c r="B126" s="144">
        <f t="shared" si="1"/>
        <v>123</v>
      </c>
      <c r="C126" s="148" t="s">
        <v>3732</v>
      </c>
      <c r="D126" s="148"/>
      <c r="E126" s="148"/>
      <c r="F126" s="148"/>
      <c r="G126" s="148"/>
      <c r="H126" s="148"/>
      <c r="I126" s="148"/>
      <c r="J126" s="148"/>
      <c r="K126" s="165" t="s">
        <v>3661</v>
      </c>
      <c r="L126" s="165" t="s">
        <v>3680</v>
      </c>
      <c r="M126" s="165"/>
      <c r="N126" s="165"/>
      <c r="O126" s="165" t="s">
        <v>896</v>
      </c>
      <c r="P126" s="165" t="s">
        <v>896</v>
      </c>
      <c r="Q126" s="126" t="s">
        <v>2852</v>
      </c>
      <c r="R126" s="40" t="s">
        <v>897</v>
      </c>
      <c r="S126" s="40"/>
      <c r="T126" s="40" t="s">
        <v>284</v>
      </c>
      <c r="U126" s="41" t="s">
        <v>139</v>
      </c>
      <c r="V126" s="41" t="s">
        <v>139</v>
      </c>
      <c r="W126" s="41" t="s">
        <v>139</v>
      </c>
      <c r="X126" s="41" t="s">
        <v>898</v>
      </c>
      <c r="Y126" s="41" t="s">
        <v>139</v>
      </c>
      <c r="Z126" s="74" t="s">
        <v>139</v>
      </c>
      <c r="AA126" s="41" t="s">
        <v>139</v>
      </c>
      <c r="AB126" s="41" t="s">
        <v>139</v>
      </c>
      <c r="AC126" s="41" t="s">
        <v>899</v>
      </c>
      <c r="AD126" s="41" t="s">
        <v>139</v>
      </c>
      <c r="AE126" s="44"/>
      <c r="AF126" s="45"/>
      <c r="AG126" s="45"/>
      <c r="AH126" s="46"/>
      <c r="AI126" s="45"/>
      <c r="AJ126" s="45"/>
      <c r="AK126" s="45"/>
      <c r="AL126" s="3" t="s">
        <v>1582</v>
      </c>
    </row>
    <row r="127" spans="2:38" ht="40.5" hidden="1">
      <c r="B127" s="144">
        <f t="shared" si="1"/>
        <v>124</v>
      </c>
      <c r="C127" s="148" t="s">
        <v>3732</v>
      </c>
      <c r="D127" s="148"/>
      <c r="E127" s="148"/>
      <c r="F127" s="148"/>
      <c r="G127" s="148"/>
      <c r="H127" s="148"/>
      <c r="I127" s="148"/>
      <c r="J127" s="148"/>
      <c r="K127" s="165" t="s">
        <v>3661</v>
      </c>
      <c r="L127" s="165" t="s">
        <v>3680</v>
      </c>
      <c r="M127" s="165"/>
      <c r="N127" s="165"/>
      <c r="O127" s="165" t="s">
        <v>3574</v>
      </c>
      <c r="P127" s="165" t="s">
        <v>3243</v>
      </c>
      <c r="Q127" s="126" t="s">
        <v>3242</v>
      </c>
      <c r="R127" s="40" t="s">
        <v>857</v>
      </c>
      <c r="S127" s="40"/>
      <c r="T127" s="40" t="s">
        <v>139</v>
      </c>
      <c r="U127" s="41" t="s">
        <v>139</v>
      </c>
      <c r="V127" s="41" t="s">
        <v>139</v>
      </c>
      <c r="W127" s="41" t="s">
        <v>139</v>
      </c>
      <c r="X127" s="41" t="s">
        <v>858</v>
      </c>
      <c r="Y127" s="41" t="s">
        <v>139</v>
      </c>
      <c r="Z127" s="74" t="s">
        <v>139</v>
      </c>
      <c r="AA127" s="41" t="s">
        <v>139</v>
      </c>
      <c r="AB127" s="41" t="s">
        <v>139</v>
      </c>
      <c r="AC127" s="41" t="s">
        <v>859</v>
      </c>
      <c r="AD127" s="41" t="s">
        <v>139</v>
      </c>
      <c r="AE127" s="44"/>
      <c r="AF127" s="45"/>
      <c r="AG127" s="45"/>
      <c r="AH127" s="46"/>
      <c r="AI127" s="45"/>
      <c r="AJ127" s="45"/>
      <c r="AK127" s="45"/>
      <c r="AL127" s="3" t="s">
        <v>1582</v>
      </c>
    </row>
    <row r="128" spans="2:38" ht="40.5" hidden="1">
      <c r="B128" s="144">
        <f t="shared" si="1"/>
        <v>125</v>
      </c>
      <c r="C128" s="148" t="s">
        <v>3732</v>
      </c>
      <c r="D128" s="148"/>
      <c r="E128" s="148"/>
      <c r="F128" s="148"/>
      <c r="G128" s="148"/>
      <c r="H128" s="148"/>
      <c r="I128" s="148"/>
      <c r="J128" s="148"/>
      <c r="K128" s="165" t="s">
        <v>3661</v>
      </c>
      <c r="L128" s="165" t="s">
        <v>3680</v>
      </c>
      <c r="M128" s="165"/>
      <c r="N128" s="165"/>
      <c r="O128" s="165" t="s">
        <v>3575</v>
      </c>
      <c r="P128" s="165" t="s">
        <v>3257</v>
      </c>
      <c r="Q128" s="126" t="s">
        <v>3258</v>
      </c>
      <c r="R128" s="40" t="s">
        <v>940</v>
      </c>
      <c r="S128" s="40" t="s">
        <v>941</v>
      </c>
      <c r="T128" s="40" t="s">
        <v>139</v>
      </c>
      <c r="U128" s="41" t="s">
        <v>139</v>
      </c>
      <c r="V128" s="41" t="s">
        <v>139</v>
      </c>
      <c r="W128" s="41" t="s">
        <v>139</v>
      </c>
      <c r="X128" s="41" t="s">
        <v>942</v>
      </c>
      <c r="Y128" s="41" t="s">
        <v>139</v>
      </c>
      <c r="Z128" s="74" t="s">
        <v>139</v>
      </c>
      <c r="AA128" s="41" t="s">
        <v>139</v>
      </c>
      <c r="AB128" s="41" t="s">
        <v>139</v>
      </c>
      <c r="AC128" s="41" t="s">
        <v>943</v>
      </c>
      <c r="AD128" s="41" t="s">
        <v>139</v>
      </c>
      <c r="AE128" s="44"/>
      <c r="AF128" s="45"/>
      <c r="AG128" s="45"/>
      <c r="AH128" s="46"/>
      <c r="AI128" s="45"/>
      <c r="AJ128" s="45"/>
      <c r="AK128" s="45"/>
      <c r="AL128" s="3" t="s">
        <v>1582</v>
      </c>
    </row>
    <row r="129" spans="2:38">
      <c r="B129" s="144">
        <f t="shared" si="1"/>
        <v>126</v>
      </c>
      <c r="C129" s="148" t="s">
        <v>3731</v>
      </c>
      <c r="D129" s="148"/>
      <c r="E129" s="148"/>
      <c r="F129" s="148"/>
      <c r="G129" s="148"/>
      <c r="H129" s="148"/>
      <c r="I129" s="148"/>
      <c r="J129" s="148"/>
      <c r="K129" s="165" t="s">
        <v>3661</v>
      </c>
      <c r="L129" s="165" t="s">
        <v>3680</v>
      </c>
      <c r="M129" s="65"/>
      <c r="N129" s="65"/>
      <c r="O129" s="65" t="s">
        <v>478</v>
      </c>
      <c r="P129" s="65" t="s">
        <v>478</v>
      </c>
      <c r="Q129" s="54" t="s">
        <v>139</v>
      </c>
      <c r="R129" s="41" t="s">
        <v>479</v>
      </c>
      <c r="S129" s="41"/>
      <c r="T129" s="41" t="s">
        <v>139</v>
      </c>
      <c r="U129" s="41" t="s">
        <v>480</v>
      </c>
      <c r="V129" s="41" t="s">
        <v>139</v>
      </c>
      <c r="W129" s="41" t="s">
        <v>139</v>
      </c>
      <c r="X129" s="41" t="s">
        <v>139</v>
      </c>
      <c r="Y129" s="41" t="s">
        <v>139</v>
      </c>
      <c r="Z129" s="73" t="s">
        <v>163</v>
      </c>
      <c r="AA129" s="54" t="s">
        <v>139</v>
      </c>
      <c r="AB129" s="54" t="s">
        <v>139</v>
      </c>
      <c r="AC129" s="54" t="s">
        <v>139</v>
      </c>
      <c r="AD129" s="54" t="s">
        <v>139</v>
      </c>
      <c r="AE129" s="55"/>
      <c r="AF129" s="56"/>
      <c r="AG129" s="56"/>
      <c r="AH129" s="57"/>
      <c r="AI129" s="56"/>
      <c r="AJ129" s="56"/>
      <c r="AK129" s="56"/>
      <c r="AL129" s="3" t="s">
        <v>1582</v>
      </c>
    </row>
    <row r="130" spans="2:38" ht="81" hidden="1">
      <c r="B130" s="144">
        <f t="shared" si="1"/>
        <v>127</v>
      </c>
      <c r="C130" s="148" t="s">
        <v>3732</v>
      </c>
      <c r="D130" s="148"/>
      <c r="E130" s="148"/>
      <c r="F130" s="148"/>
      <c r="G130" s="148"/>
      <c r="H130" s="148"/>
      <c r="I130" s="148"/>
      <c r="J130" s="148"/>
      <c r="K130" s="165" t="s">
        <v>3661</v>
      </c>
      <c r="L130" s="165" t="s">
        <v>3680</v>
      </c>
      <c r="M130" s="165"/>
      <c r="N130" s="165"/>
      <c r="O130" s="165" t="s">
        <v>961</v>
      </c>
      <c r="P130" s="165" t="s">
        <v>961</v>
      </c>
      <c r="Q130" s="126" t="s">
        <v>139</v>
      </c>
      <c r="R130" s="40" t="s">
        <v>980</v>
      </c>
      <c r="S130" s="40"/>
      <c r="T130" s="40" t="s">
        <v>139</v>
      </c>
      <c r="U130" s="41" t="s">
        <v>139</v>
      </c>
      <c r="V130" s="41" t="s">
        <v>139</v>
      </c>
      <c r="W130" s="41" t="s">
        <v>139</v>
      </c>
      <c r="X130" s="41" t="s">
        <v>2210</v>
      </c>
      <c r="Y130" s="41" t="s">
        <v>139</v>
      </c>
      <c r="Z130" s="74" t="s">
        <v>139</v>
      </c>
      <c r="AA130" s="41" t="s">
        <v>139</v>
      </c>
      <c r="AB130" s="41" t="s">
        <v>139</v>
      </c>
      <c r="AC130" s="41" t="s">
        <v>2209</v>
      </c>
      <c r="AD130" s="41" t="s">
        <v>139</v>
      </c>
      <c r="AE130" s="44"/>
      <c r="AF130" s="45"/>
      <c r="AG130" s="45"/>
      <c r="AH130" s="46"/>
      <c r="AI130" s="45"/>
      <c r="AJ130" s="45"/>
      <c r="AK130" s="45"/>
      <c r="AL130" s="3" t="s">
        <v>1582</v>
      </c>
    </row>
    <row r="131" spans="2:38" ht="27" hidden="1">
      <c r="B131" s="144">
        <f t="shared" si="1"/>
        <v>128</v>
      </c>
      <c r="C131" s="148" t="s">
        <v>3732</v>
      </c>
      <c r="D131" s="148"/>
      <c r="E131" s="148"/>
      <c r="F131" s="148"/>
      <c r="G131" s="148"/>
      <c r="H131" s="148"/>
      <c r="I131" s="148"/>
      <c r="J131" s="148"/>
      <c r="K131" s="165" t="s">
        <v>3661</v>
      </c>
      <c r="L131" s="165" t="s">
        <v>3680</v>
      </c>
      <c r="M131" s="165"/>
      <c r="N131" s="165"/>
      <c r="O131" s="165" t="s">
        <v>951</v>
      </c>
      <c r="P131" s="165" t="s">
        <v>951</v>
      </c>
      <c r="Q131" s="126" t="s">
        <v>952</v>
      </c>
      <c r="R131" s="40" t="s">
        <v>953</v>
      </c>
      <c r="S131" s="40" t="s">
        <v>954</v>
      </c>
      <c r="T131" s="40" t="s">
        <v>1140</v>
      </c>
      <c r="U131" s="41" t="s">
        <v>139</v>
      </c>
      <c r="V131" s="41" t="s">
        <v>139</v>
      </c>
      <c r="W131" s="41" t="s">
        <v>139</v>
      </c>
      <c r="X131" s="41" t="s">
        <v>955</v>
      </c>
      <c r="Y131" s="41" t="s">
        <v>139</v>
      </c>
      <c r="Z131" s="74" t="s">
        <v>139</v>
      </c>
      <c r="AA131" s="41" t="s">
        <v>139</v>
      </c>
      <c r="AB131" s="41" t="s">
        <v>139</v>
      </c>
      <c r="AC131" s="41" t="s">
        <v>956</v>
      </c>
      <c r="AD131" s="41" t="s">
        <v>139</v>
      </c>
      <c r="AE131" s="44"/>
      <c r="AF131" s="45"/>
      <c r="AG131" s="45"/>
      <c r="AH131" s="46"/>
      <c r="AI131" s="45"/>
      <c r="AJ131" s="45"/>
      <c r="AK131" s="45"/>
      <c r="AL131" s="3" t="s">
        <v>1582</v>
      </c>
    </row>
    <row r="132" spans="2:38" ht="54" hidden="1">
      <c r="B132" s="144">
        <f t="shared" si="1"/>
        <v>129</v>
      </c>
      <c r="C132" s="148" t="s">
        <v>3732</v>
      </c>
      <c r="D132" s="148"/>
      <c r="E132" s="148"/>
      <c r="F132" s="148"/>
      <c r="G132" s="148"/>
      <c r="H132" s="148"/>
      <c r="I132" s="148"/>
      <c r="J132" s="148"/>
      <c r="K132" s="165" t="s">
        <v>3661</v>
      </c>
      <c r="L132" s="165" t="s">
        <v>3680</v>
      </c>
      <c r="M132" s="165"/>
      <c r="N132" s="165"/>
      <c r="O132" s="165" t="s">
        <v>991</v>
      </c>
      <c r="P132" s="165" t="s">
        <v>991</v>
      </c>
      <c r="Q132" s="126" t="s">
        <v>992</v>
      </c>
      <c r="R132" s="40" t="s">
        <v>993</v>
      </c>
      <c r="S132" s="40"/>
      <c r="T132" s="40" t="s">
        <v>139</v>
      </c>
      <c r="U132" s="41" t="s">
        <v>139</v>
      </c>
      <c r="V132" s="41" t="s">
        <v>139</v>
      </c>
      <c r="W132" s="41" t="s">
        <v>139</v>
      </c>
      <c r="X132" s="41" t="s">
        <v>994</v>
      </c>
      <c r="Y132" s="41" t="s">
        <v>139</v>
      </c>
      <c r="Z132" s="74" t="s">
        <v>139</v>
      </c>
      <c r="AA132" s="41" t="s">
        <v>139</v>
      </c>
      <c r="AB132" s="41" t="s">
        <v>139</v>
      </c>
      <c r="AC132" s="41" t="s">
        <v>988</v>
      </c>
      <c r="AD132" s="41" t="s">
        <v>139</v>
      </c>
      <c r="AE132" s="44"/>
      <c r="AF132" s="45"/>
      <c r="AG132" s="45"/>
      <c r="AH132" s="46"/>
      <c r="AI132" s="45"/>
      <c r="AJ132" s="45"/>
      <c r="AK132" s="45"/>
      <c r="AL132" s="3" t="s">
        <v>1582</v>
      </c>
    </row>
    <row r="133" spans="2:38" ht="40.5" hidden="1">
      <c r="B133" s="144">
        <f t="shared" ref="B133:B196" si="2">ROW()-3</f>
        <v>130</v>
      </c>
      <c r="C133" s="148" t="s">
        <v>3732</v>
      </c>
      <c r="D133" s="148"/>
      <c r="E133" s="148"/>
      <c r="F133" s="148"/>
      <c r="G133" s="148"/>
      <c r="H133" s="148"/>
      <c r="I133" s="148"/>
      <c r="J133" s="148"/>
      <c r="K133" s="165" t="s">
        <v>3661</v>
      </c>
      <c r="L133" s="165" t="s">
        <v>3680</v>
      </c>
      <c r="M133" s="165"/>
      <c r="N133" s="165"/>
      <c r="O133" s="165" t="s">
        <v>3576</v>
      </c>
      <c r="P133" s="165" t="s">
        <v>3264</v>
      </c>
      <c r="Q133" s="126" t="s">
        <v>3265</v>
      </c>
      <c r="R133" s="40" t="s">
        <v>892</v>
      </c>
      <c r="S133" s="40"/>
      <c r="T133" s="40" t="s">
        <v>139</v>
      </c>
      <c r="U133" s="41" t="s">
        <v>139</v>
      </c>
      <c r="V133" s="41" t="s">
        <v>139</v>
      </c>
      <c r="W133" s="41" t="s">
        <v>139</v>
      </c>
      <c r="X133" s="41" t="s">
        <v>893</v>
      </c>
      <c r="Y133" s="41" t="s">
        <v>139</v>
      </c>
      <c r="Z133" s="74" t="s">
        <v>139</v>
      </c>
      <c r="AA133" s="41" t="s">
        <v>139</v>
      </c>
      <c r="AB133" s="41" t="s">
        <v>139</v>
      </c>
      <c r="AC133" s="41" t="s">
        <v>880</v>
      </c>
      <c r="AD133" s="41" t="s">
        <v>139</v>
      </c>
      <c r="AE133" s="44"/>
      <c r="AF133" s="45"/>
      <c r="AG133" s="45"/>
      <c r="AH133" s="46"/>
      <c r="AI133" s="45"/>
      <c r="AJ133" s="45"/>
      <c r="AK133" s="45"/>
      <c r="AL133" s="3" t="s">
        <v>1582</v>
      </c>
    </row>
    <row r="134" spans="2:38" ht="27" hidden="1">
      <c r="B134" s="144">
        <f t="shared" si="2"/>
        <v>131</v>
      </c>
      <c r="C134" s="148" t="s">
        <v>3732</v>
      </c>
      <c r="D134" s="148"/>
      <c r="E134" s="148"/>
      <c r="F134" s="148"/>
      <c r="G134" s="148"/>
      <c r="H134" s="148"/>
      <c r="I134" s="148"/>
      <c r="J134" s="148"/>
      <c r="K134" s="165" t="s">
        <v>3661</v>
      </c>
      <c r="L134" s="165" t="s">
        <v>3680</v>
      </c>
      <c r="M134" s="165"/>
      <c r="N134" s="165"/>
      <c r="O134" s="165" t="s">
        <v>962</v>
      </c>
      <c r="P134" s="165" t="s">
        <v>962</v>
      </c>
      <c r="Q134" s="126" t="s">
        <v>2214</v>
      </c>
      <c r="R134" s="40" t="s">
        <v>963</v>
      </c>
      <c r="S134" s="40"/>
      <c r="T134" s="40" t="s">
        <v>139</v>
      </c>
      <c r="U134" s="41" t="s">
        <v>139</v>
      </c>
      <c r="V134" s="41" t="s">
        <v>139</v>
      </c>
      <c r="W134" s="41" t="s">
        <v>139</v>
      </c>
      <c r="X134" s="41" t="s">
        <v>2215</v>
      </c>
      <c r="Y134" s="41" t="s">
        <v>139</v>
      </c>
      <c r="Z134" s="74" t="s">
        <v>139</v>
      </c>
      <c r="AA134" s="41" t="s">
        <v>139</v>
      </c>
      <c r="AB134" s="41" t="s">
        <v>139</v>
      </c>
      <c r="AC134" s="41" t="s">
        <v>2216</v>
      </c>
      <c r="AD134" s="41" t="s">
        <v>139</v>
      </c>
      <c r="AE134" s="44"/>
      <c r="AF134" s="45"/>
      <c r="AG134" s="45"/>
      <c r="AH134" s="46"/>
      <c r="AI134" s="45"/>
      <c r="AJ134" s="45"/>
      <c r="AK134" s="45"/>
      <c r="AL134" s="3" t="s">
        <v>1582</v>
      </c>
    </row>
    <row r="135" spans="2:38" ht="40.5" hidden="1">
      <c r="B135" s="144">
        <f t="shared" si="2"/>
        <v>132</v>
      </c>
      <c r="C135" s="148" t="s">
        <v>3732</v>
      </c>
      <c r="D135" s="148"/>
      <c r="E135" s="148"/>
      <c r="F135" s="148"/>
      <c r="G135" s="148"/>
      <c r="H135" s="148"/>
      <c r="I135" s="148"/>
      <c r="J135" s="148"/>
      <c r="K135" s="165" t="s">
        <v>3661</v>
      </c>
      <c r="L135" s="165" t="s">
        <v>3680</v>
      </c>
      <c r="M135" s="165"/>
      <c r="N135" s="165"/>
      <c r="O135" s="165" t="s">
        <v>3577</v>
      </c>
      <c r="P135" s="165" t="s">
        <v>3055</v>
      </c>
      <c r="Q135" s="126" t="s">
        <v>782</v>
      </c>
      <c r="R135" s="40" t="s">
        <v>783</v>
      </c>
      <c r="S135" s="40"/>
      <c r="T135" s="40" t="s">
        <v>139</v>
      </c>
      <c r="U135" s="41" t="s">
        <v>139</v>
      </c>
      <c r="V135" s="41" t="s">
        <v>139</v>
      </c>
      <c r="W135" s="41" t="s">
        <v>139</v>
      </c>
      <c r="X135" s="41" t="s">
        <v>784</v>
      </c>
      <c r="Y135" s="41" t="s">
        <v>139</v>
      </c>
      <c r="Z135" s="74" t="s">
        <v>139</v>
      </c>
      <c r="AA135" s="41" t="s">
        <v>139</v>
      </c>
      <c r="AB135" s="41" t="s">
        <v>139</v>
      </c>
      <c r="AC135" s="41" t="s">
        <v>229</v>
      </c>
      <c r="AD135" s="41" t="s">
        <v>139</v>
      </c>
      <c r="AE135" s="44"/>
      <c r="AF135" s="45"/>
      <c r="AG135" s="45"/>
      <c r="AH135" s="46"/>
      <c r="AI135" s="45"/>
      <c r="AJ135" s="45"/>
      <c r="AK135" s="45"/>
      <c r="AL135" s="3" t="s">
        <v>1582</v>
      </c>
    </row>
    <row r="136" spans="2:38" ht="67.5" hidden="1">
      <c r="B136" s="144">
        <f t="shared" si="2"/>
        <v>133</v>
      </c>
      <c r="C136" s="148" t="s">
        <v>3732</v>
      </c>
      <c r="D136" s="148"/>
      <c r="E136" s="148"/>
      <c r="F136" s="148"/>
      <c r="G136" s="148"/>
      <c r="H136" s="148"/>
      <c r="I136" s="148"/>
      <c r="J136" s="148"/>
      <c r="K136" s="165" t="s">
        <v>3661</v>
      </c>
      <c r="L136" s="165" t="s">
        <v>3680</v>
      </c>
      <c r="M136" s="165"/>
      <c r="N136" s="165"/>
      <c r="O136" s="165" t="s">
        <v>3578</v>
      </c>
      <c r="P136" s="165" t="s">
        <v>3056</v>
      </c>
      <c r="Q136" s="126" t="s">
        <v>3057</v>
      </c>
      <c r="R136" s="40" t="s">
        <v>3058</v>
      </c>
      <c r="S136" s="40" t="s">
        <v>860</v>
      </c>
      <c r="T136" s="40" t="s">
        <v>861</v>
      </c>
      <c r="U136" s="41" t="s">
        <v>139</v>
      </c>
      <c r="V136" s="41" t="s">
        <v>139</v>
      </c>
      <c r="W136" s="41" t="s">
        <v>139</v>
      </c>
      <c r="X136" s="41" t="s">
        <v>3059</v>
      </c>
      <c r="Y136" s="41" t="s">
        <v>139</v>
      </c>
      <c r="Z136" s="74" t="s">
        <v>139</v>
      </c>
      <c r="AA136" s="41" t="s">
        <v>139</v>
      </c>
      <c r="AB136" s="41" t="s">
        <v>139</v>
      </c>
      <c r="AC136" s="41" t="s">
        <v>3060</v>
      </c>
      <c r="AD136" s="41" t="s">
        <v>139</v>
      </c>
      <c r="AE136" s="44"/>
      <c r="AF136" s="45"/>
      <c r="AG136" s="45"/>
      <c r="AH136" s="46"/>
      <c r="AI136" s="45"/>
      <c r="AJ136" s="45"/>
      <c r="AK136" s="45"/>
      <c r="AL136" s="3" t="s">
        <v>1582</v>
      </c>
    </row>
    <row r="137" spans="2:38" ht="40.5" hidden="1">
      <c r="B137" s="144">
        <f t="shared" si="2"/>
        <v>134</v>
      </c>
      <c r="C137" s="148" t="s">
        <v>3732</v>
      </c>
      <c r="D137" s="148"/>
      <c r="E137" s="148"/>
      <c r="F137" s="148"/>
      <c r="G137" s="148"/>
      <c r="H137" s="148"/>
      <c r="I137" s="148"/>
      <c r="J137" s="148"/>
      <c r="K137" s="165" t="s">
        <v>3661</v>
      </c>
      <c r="L137" s="165" t="s">
        <v>3680</v>
      </c>
      <c r="M137" s="165"/>
      <c r="N137" s="165"/>
      <c r="O137" s="165" t="s">
        <v>738</v>
      </c>
      <c r="P137" s="165" t="s">
        <v>738</v>
      </c>
      <c r="Q137" s="126" t="s">
        <v>739</v>
      </c>
      <c r="R137" s="40" t="s">
        <v>740</v>
      </c>
      <c r="S137" s="40"/>
      <c r="T137" s="40" t="s">
        <v>1895</v>
      </c>
      <c r="U137" s="41" t="s">
        <v>139</v>
      </c>
      <c r="V137" s="41" t="s">
        <v>139</v>
      </c>
      <c r="W137" s="41" t="s">
        <v>139</v>
      </c>
      <c r="X137" s="41" t="s">
        <v>741</v>
      </c>
      <c r="Y137" s="41" t="s">
        <v>139</v>
      </c>
      <c r="Z137" s="43" t="s">
        <v>139</v>
      </c>
      <c r="AA137" s="41" t="s">
        <v>139</v>
      </c>
      <c r="AB137" s="41" t="s">
        <v>139</v>
      </c>
      <c r="AC137" s="41" t="s">
        <v>742</v>
      </c>
      <c r="AD137" s="41" t="s">
        <v>139</v>
      </c>
      <c r="AE137" s="44"/>
      <c r="AF137" s="45"/>
      <c r="AG137" s="45"/>
      <c r="AH137" s="46"/>
      <c r="AI137" s="45"/>
      <c r="AJ137" s="45"/>
      <c r="AK137" s="45"/>
      <c r="AL137" s="3" t="s">
        <v>1582</v>
      </c>
    </row>
    <row r="138" spans="2:38" hidden="1">
      <c r="B138" s="144">
        <f t="shared" si="2"/>
        <v>135</v>
      </c>
      <c r="C138" s="148" t="s">
        <v>3732</v>
      </c>
      <c r="D138" s="148"/>
      <c r="E138" s="148"/>
      <c r="F138" s="148"/>
      <c r="G138" s="148"/>
      <c r="H138" s="148"/>
      <c r="I138" s="148"/>
      <c r="J138" s="148"/>
      <c r="K138" s="165" t="s">
        <v>3661</v>
      </c>
      <c r="L138" s="165" t="s">
        <v>3680</v>
      </c>
      <c r="M138" s="65"/>
      <c r="N138" s="65"/>
      <c r="O138" s="65" t="s">
        <v>3583</v>
      </c>
      <c r="P138" s="65" t="s">
        <v>3081</v>
      </c>
      <c r="Q138" s="54" t="s">
        <v>3082</v>
      </c>
      <c r="R138" s="41" t="s">
        <v>414</v>
      </c>
      <c r="S138" s="41" t="s">
        <v>415</v>
      </c>
      <c r="T138" s="41" t="s">
        <v>408</v>
      </c>
      <c r="U138" s="41" t="s">
        <v>416</v>
      </c>
      <c r="V138" s="41" t="s">
        <v>139</v>
      </c>
      <c r="W138" s="41" t="s">
        <v>139</v>
      </c>
      <c r="X138" s="41" t="s">
        <v>139</v>
      </c>
      <c r="Y138" s="41" t="s">
        <v>139</v>
      </c>
      <c r="Z138" s="53" t="s">
        <v>133</v>
      </c>
      <c r="AA138" s="54" t="s">
        <v>139</v>
      </c>
      <c r="AB138" s="54" t="s">
        <v>139</v>
      </c>
      <c r="AC138" s="54" t="s">
        <v>139</v>
      </c>
      <c r="AD138" s="54" t="s">
        <v>139</v>
      </c>
      <c r="AE138" s="55"/>
      <c r="AF138" s="56"/>
      <c r="AG138" s="56"/>
      <c r="AH138" s="57"/>
      <c r="AI138" s="56"/>
      <c r="AJ138" s="56"/>
      <c r="AK138" s="56"/>
      <c r="AL138" s="3" t="s">
        <v>1582</v>
      </c>
    </row>
    <row r="139" spans="2:38" ht="40.5" hidden="1">
      <c r="B139" s="144">
        <f t="shared" si="2"/>
        <v>136</v>
      </c>
      <c r="C139" s="148" t="s">
        <v>3732</v>
      </c>
      <c r="D139" s="148"/>
      <c r="E139" s="148"/>
      <c r="F139" s="148"/>
      <c r="G139" s="148"/>
      <c r="H139" s="148"/>
      <c r="I139" s="148"/>
      <c r="J139" s="148"/>
      <c r="K139" s="165" t="s">
        <v>3661</v>
      </c>
      <c r="L139" s="165" t="s">
        <v>3680</v>
      </c>
      <c r="M139" s="165"/>
      <c r="N139" s="165"/>
      <c r="O139" s="165" t="s">
        <v>3584</v>
      </c>
      <c r="P139" s="165" t="s">
        <v>2213</v>
      </c>
      <c r="Q139" s="126" t="s">
        <v>985</v>
      </c>
      <c r="R139" s="40" t="s">
        <v>986</v>
      </c>
      <c r="S139" s="40"/>
      <c r="T139" s="40" t="s">
        <v>139</v>
      </c>
      <c r="U139" s="41" t="s">
        <v>139</v>
      </c>
      <c r="V139" s="41" t="s">
        <v>139</v>
      </c>
      <c r="W139" s="41" t="s">
        <v>139</v>
      </c>
      <c r="X139" s="41" t="s">
        <v>987</v>
      </c>
      <c r="Y139" s="41" t="s">
        <v>139</v>
      </c>
      <c r="Z139" s="43" t="s">
        <v>139</v>
      </c>
      <c r="AA139" s="41" t="s">
        <v>139</v>
      </c>
      <c r="AB139" s="41" t="s">
        <v>139</v>
      </c>
      <c r="AC139" s="41" t="s">
        <v>988</v>
      </c>
      <c r="AD139" s="41" t="s">
        <v>139</v>
      </c>
      <c r="AE139" s="44"/>
      <c r="AF139" s="45"/>
      <c r="AG139" s="45"/>
      <c r="AH139" s="46"/>
      <c r="AI139" s="45"/>
      <c r="AJ139" s="45"/>
      <c r="AK139" s="45"/>
      <c r="AL139" s="3" t="s">
        <v>1582</v>
      </c>
    </row>
    <row r="140" spans="2:38" ht="67.5">
      <c r="B140" s="144">
        <f t="shared" si="2"/>
        <v>137</v>
      </c>
      <c r="C140" s="148" t="s">
        <v>3733</v>
      </c>
      <c r="D140" s="148"/>
      <c r="E140" s="148"/>
      <c r="F140" s="148"/>
      <c r="G140" s="148"/>
      <c r="H140" s="148"/>
      <c r="I140" s="148"/>
      <c r="J140" s="148"/>
      <c r="K140" s="165" t="s">
        <v>3661</v>
      </c>
      <c r="L140" s="165" t="s">
        <v>3680</v>
      </c>
      <c r="M140" s="165"/>
      <c r="N140" s="165"/>
      <c r="O140" s="165" t="s">
        <v>687</v>
      </c>
      <c r="P140" s="165" t="s">
        <v>687</v>
      </c>
      <c r="Q140" s="126" t="s">
        <v>688</v>
      </c>
      <c r="R140" s="40" t="s">
        <v>689</v>
      </c>
      <c r="S140" s="40"/>
      <c r="T140" s="40" t="s">
        <v>139</v>
      </c>
      <c r="U140" s="41" t="s">
        <v>139</v>
      </c>
      <c r="V140" s="41" t="s">
        <v>139</v>
      </c>
      <c r="W140" s="41" t="s">
        <v>139</v>
      </c>
      <c r="X140" s="41" t="s">
        <v>3122</v>
      </c>
      <c r="Y140" s="41" t="s">
        <v>139</v>
      </c>
      <c r="Z140" s="43" t="s">
        <v>139</v>
      </c>
      <c r="AA140" s="41" t="s">
        <v>139</v>
      </c>
      <c r="AB140" s="41" t="s">
        <v>139</v>
      </c>
      <c r="AC140" s="41" t="s">
        <v>668</v>
      </c>
      <c r="AD140" s="41" t="s">
        <v>139</v>
      </c>
      <c r="AE140" s="44"/>
      <c r="AF140" s="45"/>
      <c r="AG140" s="45"/>
      <c r="AH140" s="46">
        <v>1</v>
      </c>
      <c r="AI140" s="45" t="s">
        <v>3798</v>
      </c>
      <c r="AJ140" s="45"/>
      <c r="AK140" s="45"/>
      <c r="AL140" s="3" t="s">
        <v>1582</v>
      </c>
    </row>
    <row r="141" spans="2:38" ht="40.5" hidden="1">
      <c r="B141" s="144">
        <f t="shared" si="2"/>
        <v>138</v>
      </c>
      <c r="C141" s="148" t="s">
        <v>3732</v>
      </c>
      <c r="D141" s="148"/>
      <c r="E141" s="148"/>
      <c r="F141" s="148"/>
      <c r="G141" s="148"/>
      <c r="H141" s="148"/>
      <c r="I141" s="148"/>
      <c r="J141" s="148"/>
      <c r="K141" s="165" t="s">
        <v>3661</v>
      </c>
      <c r="L141" s="165" t="s">
        <v>3680</v>
      </c>
      <c r="M141" s="165"/>
      <c r="N141" s="165"/>
      <c r="O141" s="165" t="s">
        <v>3585</v>
      </c>
      <c r="P141" s="165" t="s">
        <v>3111</v>
      </c>
      <c r="Q141" s="126" t="s">
        <v>3112</v>
      </c>
      <c r="R141" s="40" t="s">
        <v>1109</v>
      </c>
      <c r="S141" s="40"/>
      <c r="T141" s="40" t="s">
        <v>139</v>
      </c>
      <c r="U141" s="41" t="s">
        <v>139</v>
      </c>
      <c r="V141" s="41" t="s">
        <v>139</v>
      </c>
      <c r="W141" s="41" t="s">
        <v>1110</v>
      </c>
      <c r="X141" s="41" t="s">
        <v>139</v>
      </c>
      <c r="Y141" s="41" t="s">
        <v>139</v>
      </c>
      <c r="Z141" s="43" t="s">
        <v>139</v>
      </c>
      <c r="AA141" s="41" t="s">
        <v>139</v>
      </c>
      <c r="AB141" s="41" t="s">
        <v>1608</v>
      </c>
      <c r="AC141" s="41" t="s">
        <v>139</v>
      </c>
      <c r="AD141" s="41" t="s">
        <v>139</v>
      </c>
      <c r="AE141" s="44"/>
      <c r="AF141" s="45"/>
      <c r="AG141" s="45"/>
      <c r="AH141" s="46"/>
      <c r="AI141" s="45"/>
      <c r="AJ141" s="45"/>
      <c r="AK141" s="45"/>
      <c r="AL141" s="3" t="s">
        <v>1582</v>
      </c>
    </row>
    <row r="142" spans="2:38" ht="40.5" hidden="1">
      <c r="B142" s="144">
        <f t="shared" si="2"/>
        <v>139</v>
      </c>
      <c r="C142" s="148" t="s">
        <v>3732</v>
      </c>
      <c r="D142" s="148"/>
      <c r="E142" s="148"/>
      <c r="F142" s="148"/>
      <c r="G142" s="148"/>
      <c r="H142" s="148"/>
      <c r="I142" s="148"/>
      <c r="J142" s="148"/>
      <c r="K142" s="165" t="s">
        <v>3661</v>
      </c>
      <c r="L142" s="165" t="s">
        <v>3680</v>
      </c>
      <c r="M142" s="165"/>
      <c r="N142" s="165"/>
      <c r="O142" s="165" t="s">
        <v>3586</v>
      </c>
      <c r="P142" s="165" t="s">
        <v>3114</v>
      </c>
      <c r="Q142" s="126" t="s">
        <v>3115</v>
      </c>
      <c r="R142" s="40" t="s">
        <v>884</v>
      </c>
      <c r="S142" s="40"/>
      <c r="T142" s="40" t="s">
        <v>2137</v>
      </c>
      <c r="U142" s="41" t="s">
        <v>139</v>
      </c>
      <c r="V142" s="41" t="s">
        <v>139</v>
      </c>
      <c r="W142" s="41" t="s">
        <v>139</v>
      </c>
      <c r="X142" s="41" t="s">
        <v>885</v>
      </c>
      <c r="Y142" s="41" t="s">
        <v>139</v>
      </c>
      <c r="Z142" s="43" t="s">
        <v>139</v>
      </c>
      <c r="AA142" s="41" t="s">
        <v>139</v>
      </c>
      <c r="AB142" s="41" t="s">
        <v>139</v>
      </c>
      <c r="AC142" s="41" t="s">
        <v>876</v>
      </c>
      <c r="AD142" s="41" t="s">
        <v>139</v>
      </c>
      <c r="AE142" s="44"/>
      <c r="AF142" s="45"/>
      <c r="AG142" s="45"/>
      <c r="AH142" s="46"/>
      <c r="AI142" s="45"/>
      <c r="AJ142" s="45"/>
      <c r="AK142" s="45"/>
      <c r="AL142" s="3" t="s">
        <v>1582</v>
      </c>
    </row>
    <row r="143" spans="2:38" ht="27" hidden="1">
      <c r="B143" s="144">
        <f t="shared" si="2"/>
        <v>140</v>
      </c>
      <c r="C143" s="148" t="s">
        <v>3732</v>
      </c>
      <c r="D143" s="148"/>
      <c r="E143" s="148"/>
      <c r="F143" s="148"/>
      <c r="G143" s="148"/>
      <c r="H143" s="148"/>
      <c r="I143" s="148"/>
      <c r="J143" s="148"/>
      <c r="K143" s="165" t="s">
        <v>3661</v>
      </c>
      <c r="L143" s="165" t="s">
        <v>3680</v>
      </c>
      <c r="M143" s="165"/>
      <c r="N143" s="165"/>
      <c r="O143" s="165" t="s">
        <v>1846</v>
      </c>
      <c r="P143" s="165" t="s">
        <v>1846</v>
      </c>
      <c r="Q143" s="127" t="s">
        <v>1847</v>
      </c>
      <c r="R143" s="60" t="s">
        <v>1848</v>
      </c>
      <c r="S143" s="60"/>
      <c r="T143" s="60" t="s">
        <v>139</v>
      </c>
      <c r="U143" s="48" t="s">
        <v>139</v>
      </c>
      <c r="V143" s="48" t="s">
        <v>139</v>
      </c>
      <c r="W143" s="79" t="s">
        <v>1845</v>
      </c>
      <c r="X143" s="79" t="s">
        <v>139</v>
      </c>
      <c r="Y143" s="48" t="s">
        <v>139</v>
      </c>
      <c r="Z143" s="50" t="s">
        <v>139</v>
      </c>
      <c r="AA143" s="48" t="s">
        <v>139</v>
      </c>
      <c r="AB143" s="79" t="s">
        <v>1125</v>
      </c>
      <c r="AC143" s="48" t="s">
        <v>139</v>
      </c>
      <c r="AD143" s="48" t="s">
        <v>139</v>
      </c>
      <c r="AE143" s="44"/>
      <c r="AF143" s="45"/>
      <c r="AG143" s="45"/>
      <c r="AH143" s="46"/>
      <c r="AI143" s="45"/>
      <c r="AJ143" s="45"/>
      <c r="AK143" s="45"/>
      <c r="AL143" s="3" t="s">
        <v>1582</v>
      </c>
    </row>
    <row r="144" spans="2:38" ht="40.5" hidden="1">
      <c r="B144" s="144">
        <f t="shared" si="2"/>
        <v>141</v>
      </c>
      <c r="C144" s="148" t="s">
        <v>3732</v>
      </c>
      <c r="D144" s="148"/>
      <c r="E144" s="148"/>
      <c r="F144" s="148"/>
      <c r="G144" s="148"/>
      <c r="H144" s="148"/>
      <c r="I144" s="148"/>
      <c r="J144" s="148"/>
      <c r="K144" s="165" t="s">
        <v>3661</v>
      </c>
      <c r="L144" s="165" t="s">
        <v>3680</v>
      </c>
      <c r="M144" s="165"/>
      <c r="N144" s="165"/>
      <c r="O144" s="165" t="s">
        <v>785</v>
      </c>
      <c r="P144" s="165" t="s">
        <v>785</v>
      </c>
      <c r="Q144" s="126" t="s">
        <v>139</v>
      </c>
      <c r="R144" s="40" t="s">
        <v>786</v>
      </c>
      <c r="S144" s="40"/>
      <c r="T144" s="40" t="s">
        <v>787</v>
      </c>
      <c r="U144" s="41" t="s">
        <v>139</v>
      </c>
      <c r="V144" s="41" t="s">
        <v>139</v>
      </c>
      <c r="W144" s="41" t="s">
        <v>139</v>
      </c>
      <c r="X144" s="41" t="s">
        <v>788</v>
      </c>
      <c r="Y144" s="41" t="s">
        <v>139</v>
      </c>
      <c r="Z144" s="43" t="s">
        <v>139</v>
      </c>
      <c r="AA144" s="41" t="s">
        <v>139</v>
      </c>
      <c r="AB144" s="41" t="s">
        <v>139</v>
      </c>
      <c r="AC144" s="41" t="s">
        <v>229</v>
      </c>
      <c r="AD144" s="41" t="s">
        <v>139</v>
      </c>
      <c r="AE144" s="44"/>
      <c r="AF144" s="45"/>
      <c r="AG144" s="45"/>
      <c r="AH144" s="46"/>
      <c r="AI144" s="45"/>
      <c r="AJ144" s="45"/>
      <c r="AK144" s="45"/>
      <c r="AL144" s="3" t="s">
        <v>1582</v>
      </c>
    </row>
    <row r="145" spans="2:38" ht="40.5" hidden="1">
      <c r="B145" s="144">
        <f t="shared" si="2"/>
        <v>142</v>
      </c>
      <c r="C145" s="148" t="s">
        <v>3732</v>
      </c>
      <c r="D145" s="148"/>
      <c r="E145" s="148"/>
      <c r="F145" s="148"/>
      <c r="G145" s="148"/>
      <c r="H145" s="148"/>
      <c r="I145" s="148"/>
      <c r="J145" s="148"/>
      <c r="K145" s="165" t="s">
        <v>3661</v>
      </c>
      <c r="L145" s="165" t="s">
        <v>3680</v>
      </c>
      <c r="M145" s="165"/>
      <c r="N145" s="165"/>
      <c r="O145" s="165" t="s">
        <v>592</v>
      </c>
      <c r="P145" s="165" t="s">
        <v>592</v>
      </c>
      <c r="Q145" s="126" t="s">
        <v>139</v>
      </c>
      <c r="R145" s="40" t="s">
        <v>593</v>
      </c>
      <c r="S145" s="40"/>
      <c r="T145" s="40" t="s">
        <v>139</v>
      </c>
      <c r="U145" s="41" t="s">
        <v>139</v>
      </c>
      <c r="V145" s="41" t="s">
        <v>139</v>
      </c>
      <c r="W145" s="41" t="s">
        <v>139</v>
      </c>
      <c r="X145" s="41" t="s">
        <v>594</v>
      </c>
      <c r="Y145" s="41" t="s">
        <v>139</v>
      </c>
      <c r="Z145" s="43" t="s">
        <v>139</v>
      </c>
      <c r="AA145" s="41" t="s">
        <v>139</v>
      </c>
      <c r="AB145" s="41" t="s">
        <v>139</v>
      </c>
      <c r="AC145" s="41" t="s">
        <v>532</v>
      </c>
      <c r="AD145" s="41" t="s">
        <v>139</v>
      </c>
      <c r="AE145" s="44"/>
      <c r="AF145" s="45"/>
      <c r="AG145" s="45"/>
      <c r="AH145" s="46"/>
      <c r="AI145" s="45"/>
      <c r="AJ145" s="45"/>
      <c r="AK145" s="45"/>
      <c r="AL145" s="3" t="s">
        <v>1582</v>
      </c>
    </row>
    <row r="146" spans="2:38" ht="27" hidden="1">
      <c r="B146" s="144">
        <f t="shared" si="2"/>
        <v>143</v>
      </c>
      <c r="C146" s="148" t="s">
        <v>3732</v>
      </c>
      <c r="D146" s="148"/>
      <c r="E146" s="148"/>
      <c r="F146" s="148"/>
      <c r="G146" s="148"/>
      <c r="H146" s="148"/>
      <c r="I146" s="148"/>
      <c r="J146" s="148"/>
      <c r="K146" s="165" t="s">
        <v>3661</v>
      </c>
      <c r="L146" s="165" t="s">
        <v>3680</v>
      </c>
      <c r="M146" s="165"/>
      <c r="N146" s="165"/>
      <c r="O146" s="165" t="s">
        <v>621</v>
      </c>
      <c r="P146" s="165" t="s">
        <v>621</v>
      </c>
      <c r="Q146" s="126" t="s">
        <v>139</v>
      </c>
      <c r="R146" s="40" t="s">
        <v>622</v>
      </c>
      <c r="S146" s="40"/>
      <c r="T146" s="40" t="s">
        <v>139</v>
      </c>
      <c r="U146" s="41" t="s">
        <v>139</v>
      </c>
      <c r="V146" s="41" t="s">
        <v>139</v>
      </c>
      <c r="W146" s="41" t="s">
        <v>139</v>
      </c>
      <c r="X146" s="41" t="s">
        <v>623</v>
      </c>
      <c r="Y146" s="41" t="s">
        <v>139</v>
      </c>
      <c r="Z146" s="43" t="s">
        <v>139</v>
      </c>
      <c r="AA146" s="41" t="s">
        <v>139</v>
      </c>
      <c r="AB146" s="41" t="s">
        <v>139</v>
      </c>
      <c r="AC146" s="41" t="s">
        <v>532</v>
      </c>
      <c r="AD146" s="41" t="s">
        <v>139</v>
      </c>
      <c r="AE146" s="44"/>
      <c r="AF146" s="45"/>
      <c r="AG146" s="45"/>
      <c r="AH146" s="46"/>
      <c r="AI146" s="45"/>
      <c r="AJ146" s="45"/>
      <c r="AK146" s="45"/>
      <c r="AL146" s="3" t="s">
        <v>1582</v>
      </c>
    </row>
    <row r="147" spans="2:38" ht="27" hidden="1">
      <c r="B147" s="144">
        <f t="shared" si="2"/>
        <v>144</v>
      </c>
      <c r="C147" s="148" t="s">
        <v>3732</v>
      </c>
      <c r="D147" s="148"/>
      <c r="E147" s="148"/>
      <c r="F147" s="148"/>
      <c r="G147" s="148"/>
      <c r="H147" s="148"/>
      <c r="I147" s="148"/>
      <c r="J147" s="148"/>
      <c r="K147" s="165" t="s">
        <v>3661</v>
      </c>
      <c r="L147" s="165" t="s">
        <v>3680</v>
      </c>
      <c r="M147" s="165"/>
      <c r="N147" s="165"/>
      <c r="O147" s="165" t="s">
        <v>826</v>
      </c>
      <c r="P147" s="165" t="s">
        <v>826</v>
      </c>
      <c r="Q147" s="126" t="s">
        <v>139</v>
      </c>
      <c r="R147" s="40" t="s">
        <v>2669</v>
      </c>
      <c r="S147" s="40"/>
      <c r="T147" s="40" t="s">
        <v>139</v>
      </c>
      <c r="U147" s="41" t="s">
        <v>139</v>
      </c>
      <c r="V147" s="41" t="s">
        <v>139</v>
      </c>
      <c r="W147" s="41" t="s">
        <v>139</v>
      </c>
      <c r="X147" s="41" t="s">
        <v>827</v>
      </c>
      <c r="Y147" s="41" t="s">
        <v>139</v>
      </c>
      <c r="Z147" s="43" t="s">
        <v>139</v>
      </c>
      <c r="AA147" s="41" t="s">
        <v>139</v>
      </c>
      <c r="AB147" s="41" t="s">
        <v>139</v>
      </c>
      <c r="AC147" s="41" t="s">
        <v>828</v>
      </c>
      <c r="AD147" s="41" t="s">
        <v>139</v>
      </c>
      <c r="AE147" s="44"/>
      <c r="AF147" s="45"/>
      <c r="AG147" s="45"/>
      <c r="AH147" s="46"/>
      <c r="AI147" s="45"/>
      <c r="AJ147" s="45"/>
      <c r="AK147" s="45"/>
      <c r="AL147" s="3" t="s">
        <v>1582</v>
      </c>
    </row>
    <row r="148" spans="2:38" ht="27" hidden="1">
      <c r="B148" s="144">
        <f t="shared" si="2"/>
        <v>145</v>
      </c>
      <c r="C148" s="148" t="s">
        <v>3732</v>
      </c>
      <c r="D148" s="148"/>
      <c r="E148" s="148"/>
      <c r="F148" s="148"/>
      <c r="G148" s="148"/>
      <c r="H148" s="148"/>
      <c r="I148" s="148"/>
      <c r="J148" s="148"/>
      <c r="K148" s="165" t="s">
        <v>3661</v>
      </c>
      <c r="L148" s="165" t="s">
        <v>3680</v>
      </c>
      <c r="M148" s="165"/>
      <c r="N148" s="165"/>
      <c r="O148" s="165" t="s">
        <v>844</v>
      </c>
      <c r="P148" s="165" t="s">
        <v>844</v>
      </c>
      <c r="Q148" s="126" t="s">
        <v>845</v>
      </c>
      <c r="R148" s="40" t="s">
        <v>846</v>
      </c>
      <c r="S148" s="40" t="s">
        <v>847</v>
      </c>
      <c r="T148" s="40" t="s">
        <v>848</v>
      </c>
      <c r="U148" s="41" t="s">
        <v>139</v>
      </c>
      <c r="V148" s="41" t="s">
        <v>139</v>
      </c>
      <c r="W148" s="41" t="s">
        <v>139</v>
      </c>
      <c r="X148" s="41" t="s">
        <v>849</v>
      </c>
      <c r="Y148" s="41" t="s">
        <v>139</v>
      </c>
      <c r="Z148" s="43" t="s">
        <v>139</v>
      </c>
      <c r="AA148" s="41" t="s">
        <v>139</v>
      </c>
      <c r="AB148" s="41" t="s">
        <v>139</v>
      </c>
      <c r="AC148" s="41" t="s">
        <v>2704</v>
      </c>
      <c r="AD148" s="41" t="s">
        <v>139</v>
      </c>
      <c r="AE148" s="44"/>
      <c r="AF148" s="45"/>
      <c r="AG148" s="45"/>
      <c r="AH148" s="46"/>
      <c r="AI148" s="45"/>
      <c r="AJ148" s="45"/>
      <c r="AK148" s="45"/>
      <c r="AL148" s="3" t="s">
        <v>1582</v>
      </c>
    </row>
    <row r="149" spans="2:38" ht="27" hidden="1">
      <c r="B149" s="144">
        <f t="shared" si="2"/>
        <v>146</v>
      </c>
      <c r="C149" s="148" t="s">
        <v>3732</v>
      </c>
      <c r="D149" s="148"/>
      <c r="E149" s="148"/>
      <c r="F149" s="148"/>
      <c r="G149" s="148"/>
      <c r="H149" s="148"/>
      <c r="I149" s="148"/>
      <c r="J149" s="148"/>
      <c r="K149" s="165" t="s">
        <v>3661</v>
      </c>
      <c r="L149" s="165" t="s">
        <v>3680</v>
      </c>
      <c r="M149" s="165"/>
      <c r="N149" s="165"/>
      <c r="O149" s="165" t="s">
        <v>947</v>
      </c>
      <c r="P149" s="165" t="s">
        <v>947</v>
      </c>
      <c r="Q149" s="126" t="s">
        <v>139</v>
      </c>
      <c r="R149" s="40" t="s">
        <v>948</v>
      </c>
      <c r="S149" s="40" t="s">
        <v>949</v>
      </c>
      <c r="T149" s="40" t="s">
        <v>284</v>
      </c>
      <c r="U149" s="41" t="s">
        <v>139</v>
      </c>
      <c r="V149" s="41" t="s">
        <v>139</v>
      </c>
      <c r="W149" s="41" t="s">
        <v>139</v>
      </c>
      <c r="X149" s="41" t="s">
        <v>950</v>
      </c>
      <c r="Y149" s="41" t="s">
        <v>139</v>
      </c>
      <c r="Z149" s="43" t="s">
        <v>139</v>
      </c>
      <c r="AA149" s="41" t="s">
        <v>139</v>
      </c>
      <c r="AB149" s="41" t="s">
        <v>139</v>
      </c>
      <c r="AC149" s="41" t="s">
        <v>1634</v>
      </c>
      <c r="AD149" s="41" t="s">
        <v>139</v>
      </c>
      <c r="AE149" s="44"/>
      <c r="AF149" s="45"/>
      <c r="AG149" s="45"/>
      <c r="AH149" s="46"/>
      <c r="AI149" s="45"/>
      <c r="AJ149" s="45"/>
      <c r="AK149" s="45"/>
      <c r="AL149" s="3" t="s">
        <v>1582</v>
      </c>
    </row>
    <row r="150" spans="2:38" ht="94.5" hidden="1">
      <c r="B150" s="144">
        <f t="shared" si="2"/>
        <v>147</v>
      </c>
      <c r="C150" s="148" t="s">
        <v>3732</v>
      </c>
      <c r="D150" s="148"/>
      <c r="E150" s="148"/>
      <c r="F150" s="148"/>
      <c r="G150" s="148"/>
      <c r="H150" s="148"/>
      <c r="I150" s="148"/>
      <c r="J150" s="148"/>
      <c r="K150" s="165" t="s">
        <v>3661</v>
      </c>
      <c r="L150" s="165" t="s">
        <v>3680</v>
      </c>
      <c r="M150" s="165"/>
      <c r="N150" s="165"/>
      <c r="O150" s="165" t="s">
        <v>629</v>
      </c>
      <c r="P150" s="165" t="s">
        <v>629</v>
      </c>
      <c r="Q150" s="126" t="s">
        <v>139</v>
      </c>
      <c r="R150" s="40" t="s">
        <v>1631</v>
      </c>
      <c r="S150" s="40"/>
      <c r="T150" s="40" t="s">
        <v>139</v>
      </c>
      <c r="U150" s="41" t="s">
        <v>139</v>
      </c>
      <c r="V150" s="41" t="s">
        <v>139</v>
      </c>
      <c r="W150" s="41" t="s">
        <v>139</v>
      </c>
      <c r="X150" s="41" t="s">
        <v>630</v>
      </c>
      <c r="Y150" s="41" t="s">
        <v>139</v>
      </c>
      <c r="Z150" s="43" t="s">
        <v>139</v>
      </c>
      <c r="AA150" s="41" t="s">
        <v>139</v>
      </c>
      <c r="AB150" s="41" t="s">
        <v>139</v>
      </c>
      <c r="AC150" s="41" t="s">
        <v>631</v>
      </c>
      <c r="AD150" s="41" t="s">
        <v>139</v>
      </c>
      <c r="AE150" s="44"/>
      <c r="AF150" s="45"/>
      <c r="AG150" s="45"/>
      <c r="AH150" s="46"/>
      <c r="AI150" s="45"/>
      <c r="AJ150" s="45"/>
      <c r="AK150" s="45"/>
      <c r="AL150" s="3" t="s">
        <v>1582</v>
      </c>
    </row>
    <row r="151" spans="2:38" ht="54" hidden="1">
      <c r="B151" s="144">
        <f t="shared" si="2"/>
        <v>148</v>
      </c>
      <c r="C151" s="148" t="s">
        <v>3732</v>
      </c>
      <c r="D151" s="148"/>
      <c r="E151" s="148"/>
      <c r="F151" s="148"/>
      <c r="G151" s="148"/>
      <c r="H151" s="148"/>
      <c r="I151" s="148"/>
      <c r="J151" s="148"/>
      <c r="K151" s="165" t="s">
        <v>3661</v>
      </c>
      <c r="L151" s="165" t="s">
        <v>3680</v>
      </c>
      <c r="M151" s="165"/>
      <c r="N151" s="165"/>
      <c r="O151" s="165" t="s">
        <v>324</v>
      </c>
      <c r="P151" s="165" t="s">
        <v>324</v>
      </c>
      <c r="Q151" s="126" t="s">
        <v>139</v>
      </c>
      <c r="R151" s="40" t="s">
        <v>2312</v>
      </c>
      <c r="S151" s="40"/>
      <c r="T151" s="40" t="s">
        <v>139</v>
      </c>
      <c r="U151" s="41" t="s">
        <v>139</v>
      </c>
      <c r="V151" s="41" t="s">
        <v>139</v>
      </c>
      <c r="W151" s="41" t="s">
        <v>139</v>
      </c>
      <c r="X151" s="41" t="s">
        <v>650</v>
      </c>
      <c r="Y151" s="41" t="s">
        <v>139</v>
      </c>
      <c r="Z151" s="43" t="s">
        <v>139</v>
      </c>
      <c r="AA151" s="41" t="s">
        <v>139</v>
      </c>
      <c r="AB151" s="41" t="s">
        <v>139</v>
      </c>
      <c r="AC151" s="41" t="s">
        <v>2315</v>
      </c>
      <c r="AD151" s="41" t="s">
        <v>139</v>
      </c>
      <c r="AE151" s="44"/>
      <c r="AF151" s="45"/>
      <c r="AG151" s="45"/>
      <c r="AH151" s="46"/>
      <c r="AI151" s="45"/>
      <c r="AJ151" s="45"/>
      <c r="AK151" s="45"/>
      <c r="AL151" s="3" t="s">
        <v>1582</v>
      </c>
    </row>
    <row r="152" spans="2:38" ht="108">
      <c r="B152" s="144">
        <f t="shared" si="2"/>
        <v>149</v>
      </c>
      <c r="C152" s="148" t="s">
        <v>3731</v>
      </c>
      <c r="D152" s="148"/>
      <c r="E152" s="148"/>
      <c r="F152" s="148"/>
      <c r="G152" s="148"/>
      <c r="H152" s="148"/>
      <c r="I152" s="148"/>
      <c r="J152" s="148"/>
      <c r="K152" s="165" t="s">
        <v>3661</v>
      </c>
      <c r="L152" s="165" t="s">
        <v>3680</v>
      </c>
      <c r="M152" s="165"/>
      <c r="N152" s="165"/>
      <c r="O152" s="165" t="s">
        <v>595</v>
      </c>
      <c r="P152" s="165" t="s">
        <v>595</v>
      </c>
      <c r="Q152" s="126" t="s">
        <v>596</v>
      </c>
      <c r="R152" s="40" t="s">
        <v>1923</v>
      </c>
      <c r="S152" s="40" t="s">
        <v>597</v>
      </c>
      <c r="T152" s="40" t="s">
        <v>139</v>
      </c>
      <c r="U152" s="41" t="s">
        <v>139</v>
      </c>
      <c r="V152" s="41" t="s">
        <v>139</v>
      </c>
      <c r="W152" s="41" t="s">
        <v>139</v>
      </c>
      <c r="X152" s="41" t="s">
        <v>598</v>
      </c>
      <c r="Y152" s="41" t="s">
        <v>139</v>
      </c>
      <c r="Z152" s="43" t="s">
        <v>139</v>
      </c>
      <c r="AA152" s="41" t="s">
        <v>139</v>
      </c>
      <c r="AB152" s="41" t="s">
        <v>139</v>
      </c>
      <c r="AC152" s="41" t="s">
        <v>599</v>
      </c>
      <c r="AD152" s="41" t="s">
        <v>139</v>
      </c>
      <c r="AE152" s="44"/>
      <c r="AF152" s="45"/>
      <c r="AG152" s="45"/>
      <c r="AH152" s="46">
        <v>1</v>
      </c>
      <c r="AI152" s="45" t="s">
        <v>3798</v>
      </c>
      <c r="AJ152" s="45"/>
      <c r="AK152" s="45"/>
      <c r="AL152" s="3" t="s">
        <v>1582</v>
      </c>
    </row>
    <row r="153" spans="2:38" ht="81" hidden="1">
      <c r="B153" s="144">
        <f t="shared" si="2"/>
        <v>150</v>
      </c>
      <c r="C153" s="148" t="s">
        <v>3732</v>
      </c>
      <c r="D153" s="148"/>
      <c r="E153" s="148"/>
      <c r="F153" s="148"/>
      <c r="G153" s="148"/>
      <c r="H153" s="148"/>
      <c r="I153" s="148"/>
      <c r="J153" s="148"/>
      <c r="K153" s="165" t="s">
        <v>3661</v>
      </c>
      <c r="L153" s="165" t="s">
        <v>3680</v>
      </c>
      <c r="M153" s="165"/>
      <c r="N153" s="165"/>
      <c r="O153" s="165" t="s">
        <v>663</v>
      </c>
      <c r="P153" s="165" t="s">
        <v>663</v>
      </c>
      <c r="Q153" s="126" t="s">
        <v>664</v>
      </c>
      <c r="R153" s="40" t="s">
        <v>665</v>
      </c>
      <c r="S153" s="40" t="s">
        <v>666</v>
      </c>
      <c r="T153" s="40" t="s">
        <v>284</v>
      </c>
      <c r="U153" s="41" t="s">
        <v>139</v>
      </c>
      <c r="V153" s="41" t="s">
        <v>139</v>
      </c>
      <c r="W153" s="41" t="s">
        <v>139</v>
      </c>
      <c r="X153" s="41" t="s">
        <v>667</v>
      </c>
      <c r="Y153" s="41" t="s">
        <v>139</v>
      </c>
      <c r="Z153" s="43" t="s">
        <v>139</v>
      </c>
      <c r="AA153" s="41" t="s">
        <v>139</v>
      </c>
      <c r="AB153" s="41" t="s">
        <v>139</v>
      </c>
      <c r="AC153" s="41" t="s">
        <v>668</v>
      </c>
      <c r="AD153" s="41" t="s">
        <v>139</v>
      </c>
      <c r="AE153" s="44"/>
      <c r="AF153" s="45"/>
      <c r="AG153" s="45"/>
      <c r="AH153" s="46"/>
      <c r="AI153" s="45"/>
      <c r="AJ153" s="45"/>
      <c r="AK153" s="45"/>
      <c r="AL153" s="3" t="s">
        <v>1582</v>
      </c>
    </row>
    <row r="154" spans="2:38" ht="27" hidden="1">
      <c r="B154" s="144">
        <f t="shared" si="2"/>
        <v>151</v>
      </c>
      <c r="C154" s="148" t="s">
        <v>3732</v>
      </c>
      <c r="D154" s="148"/>
      <c r="E154" s="148"/>
      <c r="F154" s="148"/>
      <c r="G154" s="148"/>
      <c r="H154" s="148"/>
      <c r="I154" s="148"/>
      <c r="J154" s="148"/>
      <c r="K154" s="165" t="s">
        <v>3661</v>
      </c>
      <c r="L154" s="165" t="s">
        <v>3680</v>
      </c>
      <c r="M154" s="165"/>
      <c r="N154" s="165"/>
      <c r="O154" s="165" t="s">
        <v>618</v>
      </c>
      <c r="P154" s="165" t="s">
        <v>618</v>
      </c>
      <c r="Q154" s="126" t="s">
        <v>139</v>
      </c>
      <c r="R154" s="40" t="s">
        <v>619</v>
      </c>
      <c r="S154" s="40"/>
      <c r="T154" s="40" t="s">
        <v>139</v>
      </c>
      <c r="U154" s="41" t="s">
        <v>139</v>
      </c>
      <c r="V154" s="41" t="s">
        <v>139</v>
      </c>
      <c r="W154" s="41" t="s">
        <v>139</v>
      </c>
      <c r="X154" s="41" t="s">
        <v>620</v>
      </c>
      <c r="Y154" s="41" t="s">
        <v>139</v>
      </c>
      <c r="Z154" s="43" t="s">
        <v>139</v>
      </c>
      <c r="AA154" s="41" t="s">
        <v>139</v>
      </c>
      <c r="AB154" s="41" t="s">
        <v>139</v>
      </c>
      <c r="AC154" s="41" t="s">
        <v>532</v>
      </c>
      <c r="AD154" s="41" t="s">
        <v>139</v>
      </c>
      <c r="AE154" s="44"/>
      <c r="AF154" s="45"/>
      <c r="AG154" s="45"/>
      <c r="AH154" s="46"/>
      <c r="AI154" s="45"/>
      <c r="AJ154" s="45"/>
      <c r="AK154" s="45"/>
      <c r="AL154" s="3" t="s">
        <v>1582</v>
      </c>
    </row>
    <row r="155" spans="2:38" ht="40.5" hidden="1">
      <c r="B155" s="144">
        <f t="shared" si="2"/>
        <v>152</v>
      </c>
      <c r="C155" s="148" t="s">
        <v>3732</v>
      </c>
      <c r="D155" s="148"/>
      <c r="E155" s="148"/>
      <c r="F155" s="148"/>
      <c r="G155" s="148"/>
      <c r="H155" s="148"/>
      <c r="I155" s="148"/>
      <c r="J155" s="148"/>
      <c r="K155" s="165" t="s">
        <v>3661</v>
      </c>
      <c r="L155" s="165" t="s">
        <v>3680</v>
      </c>
      <c r="M155" s="165"/>
      <c r="N155" s="165"/>
      <c r="O155" s="165" t="s">
        <v>3591</v>
      </c>
      <c r="P155" s="165" t="s">
        <v>2767</v>
      </c>
      <c r="Q155" s="126" t="s">
        <v>1637</v>
      </c>
      <c r="R155" s="40" t="s">
        <v>2772</v>
      </c>
      <c r="S155" s="40"/>
      <c r="T155" s="40" t="s">
        <v>139</v>
      </c>
      <c r="U155" s="41" t="s">
        <v>139</v>
      </c>
      <c r="V155" s="41" t="s">
        <v>139</v>
      </c>
      <c r="W155" s="41" t="s">
        <v>139</v>
      </c>
      <c r="X155" s="41" t="s">
        <v>2766</v>
      </c>
      <c r="Y155" s="41" t="s">
        <v>139</v>
      </c>
      <c r="Z155" s="43" t="s">
        <v>139</v>
      </c>
      <c r="AA155" s="41" t="s">
        <v>139</v>
      </c>
      <c r="AB155" s="41" t="s">
        <v>139</v>
      </c>
      <c r="AC155" s="41" t="s">
        <v>2765</v>
      </c>
      <c r="AD155" s="41" t="s">
        <v>139</v>
      </c>
      <c r="AE155" s="44"/>
      <c r="AF155" s="45"/>
      <c r="AG155" s="45"/>
      <c r="AH155" s="46"/>
      <c r="AI155" s="45"/>
      <c r="AJ155" s="45"/>
      <c r="AK155" s="45"/>
      <c r="AL155" s="3" t="s">
        <v>1582</v>
      </c>
    </row>
    <row r="156" spans="2:38" ht="40.5" hidden="1">
      <c r="B156" s="144">
        <f t="shared" si="2"/>
        <v>153</v>
      </c>
      <c r="C156" s="148" t="s">
        <v>3732</v>
      </c>
      <c r="D156" s="148"/>
      <c r="E156" s="148"/>
      <c r="F156" s="148"/>
      <c r="G156" s="148"/>
      <c r="H156" s="148"/>
      <c r="I156" s="148"/>
      <c r="J156" s="148"/>
      <c r="K156" s="165" t="s">
        <v>3661</v>
      </c>
      <c r="L156" s="165" t="s">
        <v>3680</v>
      </c>
      <c r="M156" s="165"/>
      <c r="N156" s="165"/>
      <c r="O156" s="165" t="s">
        <v>989</v>
      </c>
      <c r="P156" s="165" t="s">
        <v>989</v>
      </c>
      <c r="Q156" s="126" t="s">
        <v>990</v>
      </c>
      <c r="R156" s="40" t="s">
        <v>2773</v>
      </c>
      <c r="S156" s="40"/>
      <c r="T156" s="40" t="s">
        <v>139</v>
      </c>
      <c r="U156" s="41" t="s">
        <v>139</v>
      </c>
      <c r="V156" s="41" t="s">
        <v>139</v>
      </c>
      <c r="W156" s="41" t="s">
        <v>139</v>
      </c>
      <c r="X156" s="41" t="s">
        <v>2763</v>
      </c>
      <c r="Y156" s="41" t="s">
        <v>139</v>
      </c>
      <c r="Z156" s="43" t="s">
        <v>139</v>
      </c>
      <c r="AA156" s="41" t="s">
        <v>139</v>
      </c>
      <c r="AB156" s="41" t="s">
        <v>139</v>
      </c>
      <c r="AC156" s="41" t="s">
        <v>2764</v>
      </c>
      <c r="AD156" s="41" t="s">
        <v>139</v>
      </c>
      <c r="AE156" s="44"/>
      <c r="AF156" s="45"/>
      <c r="AG156" s="45"/>
      <c r="AH156" s="46"/>
      <c r="AI156" s="45"/>
      <c r="AJ156" s="45"/>
      <c r="AK156" s="45"/>
      <c r="AL156" s="3" t="s">
        <v>1582</v>
      </c>
    </row>
    <row r="157" spans="2:38" ht="27" hidden="1">
      <c r="B157" s="144">
        <f t="shared" si="2"/>
        <v>154</v>
      </c>
      <c r="C157" s="148" t="s">
        <v>3732</v>
      </c>
      <c r="D157" s="148"/>
      <c r="E157" s="148"/>
      <c r="F157" s="148"/>
      <c r="G157" s="148"/>
      <c r="H157" s="148"/>
      <c r="I157" s="148"/>
      <c r="J157" s="148"/>
      <c r="K157" s="165" t="s">
        <v>3661</v>
      </c>
      <c r="L157" s="165" t="s">
        <v>3680</v>
      </c>
      <c r="M157" s="65"/>
      <c r="N157" s="65"/>
      <c r="O157" s="65" t="s">
        <v>430</v>
      </c>
      <c r="P157" s="65" t="s">
        <v>430</v>
      </c>
      <c r="Q157" s="54" t="s">
        <v>139</v>
      </c>
      <c r="R157" s="41" t="s">
        <v>431</v>
      </c>
      <c r="S157" s="41"/>
      <c r="T157" s="41" t="s">
        <v>139</v>
      </c>
      <c r="U157" s="41" t="s">
        <v>295</v>
      </c>
      <c r="V157" s="41" t="s">
        <v>139</v>
      </c>
      <c r="W157" s="41" t="s">
        <v>139</v>
      </c>
      <c r="X157" s="41" t="s">
        <v>139</v>
      </c>
      <c r="Y157" s="41" t="s">
        <v>139</v>
      </c>
      <c r="Z157" s="53" t="s">
        <v>133</v>
      </c>
      <c r="AA157" s="54" t="s">
        <v>139</v>
      </c>
      <c r="AB157" s="54" t="s">
        <v>139</v>
      </c>
      <c r="AC157" s="54" t="s">
        <v>139</v>
      </c>
      <c r="AD157" s="54" t="s">
        <v>139</v>
      </c>
      <c r="AE157" s="55"/>
      <c r="AF157" s="56"/>
      <c r="AG157" s="56"/>
      <c r="AH157" s="57"/>
      <c r="AI157" s="56"/>
      <c r="AJ157" s="56"/>
      <c r="AK157" s="56"/>
      <c r="AL157" s="3" t="s">
        <v>1582</v>
      </c>
    </row>
    <row r="158" spans="2:38" hidden="1">
      <c r="B158" s="144">
        <f t="shared" si="2"/>
        <v>155</v>
      </c>
      <c r="C158" s="148" t="s">
        <v>3732</v>
      </c>
      <c r="D158" s="148"/>
      <c r="E158" s="148"/>
      <c r="F158" s="148"/>
      <c r="G158" s="148"/>
      <c r="H158" s="148"/>
      <c r="I158" s="148"/>
      <c r="J158" s="148"/>
      <c r="K158" s="165" t="s">
        <v>3661</v>
      </c>
      <c r="L158" s="165" t="s">
        <v>3680</v>
      </c>
      <c r="M158" s="165"/>
      <c r="N158" s="65"/>
      <c r="O158" s="65" t="s">
        <v>492</v>
      </c>
      <c r="P158" s="65" t="s">
        <v>492</v>
      </c>
      <c r="Q158" s="54" t="s">
        <v>139</v>
      </c>
      <c r="R158" s="41" t="s">
        <v>493</v>
      </c>
      <c r="S158" s="41"/>
      <c r="T158" s="41" t="s">
        <v>139</v>
      </c>
      <c r="U158" s="41" t="s">
        <v>441</v>
      </c>
      <c r="V158" s="41" t="s">
        <v>139</v>
      </c>
      <c r="W158" s="41" t="s">
        <v>139</v>
      </c>
      <c r="X158" s="41" t="s">
        <v>139</v>
      </c>
      <c r="Y158" s="41" t="s">
        <v>139</v>
      </c>
      <c r="Z158" s="53" t="s">
        <v>438</v>
      </c>
      <c r="AA158" s="54" t="s">
        <v>139</v>
      </c>
      <c r="AB158" s="54" t="s">
        <v>139</v>
      </c>
      <c r="AC158" s="54" t="s">
        <v>139</v>
      </c>
      <c r="AD158" s="54" t="s">
        <v>139</v>
      </c>
      <c r="AE158" s="55"/>
      <c r="AF158" s="56"/>
      <c r="AG158" s="56"/>
      <c r="AH158" s="57"/>
      <c r="AI158" s="56"/>
      <c r="AJ158" s="56"/>
      <c r="AK158" s="56"/>
      <c r="AL158" s="3" t="s">
        <v>1582</v>
      </c>
    </row>
    <row r="159" spans="2:38" ht="40.5" hidden="1">
      <c r="B159" s="144">
        <f t="shared" si="2"/>
        <v>156</v>
      </c>
      <c r="C159" s="148" t="s">
        <v>3732</v>
      </c>
      <c r="D159" s="148"/>
      <c r="E159" s="148"/>
      <c r="F159" s="148"/>
      <c r="G159" s="148"/>
      <c r="H159" s="148"/>
      <c r="I159" s="148"/>
      <c r="J159" s="148"/>
      <c r="K159" s="165" t="s">
        <v>3661</v>
      </c>
      <c r="L159" s="165" t="s">
        <v>3680</v>
      </c>
      <c r="M159" s="165"/>
      <c r="N159" s="165"/>
      <c r="O159" s="165" t="s">
        <v>771</v>
      </c>
      <c r="P159" s="165" t="s">
        <v>771</v>
      </c>
      <c r="Q159" s="126" t="s">
        <v>139</v>
      </c>
      <c r="R159" s="40" t="s">
        <v>2774</v>
      </c>
      <c r="S159" s="40"/>
      <c r="T159" s="40" t="s">
        <v>139</v>
      </c>
      <c r="U159" s="41" t="s">
        <v>139</v>
      </c>
      <c r="V159" s="41" t="s">
        <v>139</v>
      </c>
      <c r="W159" s="41" t="s">
        <v>139</v>
      </c>
      <c r="X159" s="41" t="s">
        <v>2762</v>
      </c>
      <c r="Y159" s="41" t="s">
        <v>139</v>
      </c>
      <c r="Z159" s="43" t="s">
        <v>139</v>
      </c>
      <c r="AA159" s="41" t="s">
        <v>139</v>
      </c>
      <c r="AB159" s="41" t="s">
        <v>139</v>
      </c>
      <c r="AC159" s="41" t="s">
        <v>229</v>
      </c>
      <c r="AD159" s="41" t="s">
        <v>139</v>
      </c>
      <c r="AE159" s="44"/>
      <c r="AF159" s="45"/>
      <c r="AG159" s="45"/>
      <c r="AH159" s="46"/>
      <c r="AI159" s="45"/>
      <c r="AJ159" s="45"/>
      <c r="AK159" s="45"/>
      <c r="AL159" s="3" t="s">
        <v>1582</v>
      </c>
    </row>
    <row r="160" spans="2:38" ht="67.5">
      <c r="B160" s="144">
        <f t="shared" si="2"/>
        <v>157</v>
      </c>
      <c r="C160" s="148" t="s">
        <v>3731</v>
      </c>
      <c r="D160" s="148"/>
      <c r="E160" s="148"/>
      <c r="F160" s="148"/>
      <c r="G160" s="148"/>
      <c r="H160" s="148"/>
      <c r="I160" s="148"/>
      <c r="J160" s="148"/>
      <c r="K160" s="165" t="s">
        <v>3661</v>
      </c>
      <c r="L160" s="165" t="s">
        <v>3680</v>
      </c>
      <c r="M160" s="165"/>
      <c r="N160" s="165"/>
      <c r="O160" s="165" t="s">
        <v>3594</v>
      </c>
      <c r="P160" s="165" t="s">
        <v>2111</v>
      </c>
      <c r="Q160" s="126" t="s">
        <v>1637</v>
      </c>
      <c r="R160" s="40" t="s">
        <v>2113</v>
      </c>
      <c r="S160" s="40"/>
      <c r="T160" s="40" t="s">
        <v>408</v>
      </c>
      <c r="U160" s="41" t="s">
        <v>139</v>
      </c>
      <c r="V160" s="41" t="s">
        <v>139</v>
      </c>
      <c r="W160" s="41" t="s">
        <v>139</v>
      </c>
      <c r="X160" s="41" t="s">
        <v>686</v>
      </c>
      <c r="Y160" s="41" t="s">
        <v>139</v>
      </c>
      <c r="Z160" s="43" t="s">
        <v>139</v>
      </c>
      <c r="AA160" s="41" t="s">
        <v>139</v>
      </c>
      <c r="AB160" s="41" t="s">
        <v>139</v>
      </c>
      <c r="AC160" s="41" t="s">
        <v>668</v>
      </c>
      <c r="AD160" s="41" t="s">
        <v>139</v>
      </c>
      <c r="AE160" s="44"/>
      <c r="AF160" s="45"/>
      <c r="AG160" s="45"/>
      <c r="AH160" s="46">
        <v>1</v>
      </c>
      <c r="AI160" s="183" t="s">
        <v>3800</v>
      </c>
      <c r="AJ160" s="45"/>
      <c r="AK160" s="45"/>
      <c r="AL160" s="3" t="s">
        <v>1582</v>
      </c>
    </row>
    <row r="161" spans="2:38" ht="27" hidden="1">
      <c r="B161" s="144">
        <f t="shared" si="2"/>
        <v>158</v>
      </c>
      <c r="C161" s="148" t="s">
        <v>3732</v>
      </c>
      <c r="D161" s="148"/>
      <c r="E161" s="148"/>
      <c r="F161" s="148"/>
      <c r="G161" s="148"/>
      <c r="H161" s="148"/>
      <c r="I161" s="148"/>
      <c r="J161" s="148"/>
      <c r="K161" s="165" t="s">
        <v>3661</v>
      </c>
      <c r="L161" s="165" t="s">
        <v>3680</v>
      </c>
      <c r="M161" s="165"/>
      <c r="N161" s="165"/>
      <c r="O161" s="165" t="s">
        <v>1200</v>
      </c>
      <c r="P161" s="165" t="s">
        <v>1200</v>
      </c>
      <c r="Q161" s="126" t="s">
        <v>1201</v>
      </c>
      <c r="R161" s="40" t="s">
        <v>1202</v>
      </c>
      <c r="S161" s="40" t="s">
        <v>1203</v>
      </c>
      <c r="T161" s="40" t="s">
        <v>192</v>
      </c>
      <c r="U161" s="41" t="s">
        <v>1204</v>
      </c>
      <c r="V161" s="41" t="s">
        <v>139</v>
      </c>
      <c r="W161" s="41" t="s">
        <v>139</v>
      </c>
      <c r="X161" s="41" t="s">
        <v>139</v>
      </c>
      <c r="Y161" s="41" t="s">
        <v>139</v>
      </c>
      <c r="Z161" s="43" t="s">
        <v>163</v>
      </c>
      <c r="AA161" s="41" t="s">
        <v>139</v>
      </c>
      <c r="AB161" s="41" t="s">
        <v>139</v>
      </c>
      <c r="AC161" s="41" t="s">
        <v>139</v>
      </c>
      <c r="AD161" s="41" t="s">
        <v>139</v>
      </c>
      <c r="AE161" s="44"/>
      <c r="AF161" s="45"/>
      <c r="AG161" s="45"/>
      <c r="AH161" s="46"/>
      <c r="AI161" s="45"/>
      <c r="AJ161" s="45"/>
      <c r="AK161" s="45"/>
      <c r="AL161" s="3" t="s">
        <v>1582</v>
      </c>
    </row>
    <row r="162" spans="2:38" ht="40.5" hidden="1">
      <c r="B162" s="144">
        <f t="shared" si="2"/>
        <v>159</v>
      </c>
      <c r="C162" s="148" t="s">
        <v>3732</v>
      </c>
      <c r="D162" s="148"/>
      <c r="E162" s="148"/>
      <c r="F162" s="148"/>
      <c r="G162" s="148"/>
      <c r="H162" s="148"/>
      <c r="I162" s="148"/>
      <c r="J162" s="148"/>
      <c r="K162" s="165" t="s">
        <v>3661</v>
      </c>
      <c r="L162" s="165" t="s">
        <v>3680</v>
      </c>
      <c r="M162" s="165"/>
      <c r="N162" s="65"/>
      <c r="O162" s="65" t="s">
        <v>3595</v>
      </c>
      <c r="P162" s="65" t="s">
        <v>2889</v>
      </c>
      <c r="Q162" s="54" t="s">
        <v>1637</v>
      </c>
      <c r="R162" s="41" t="s">
        <v>2891</v>
      </c>
      <c r="S162" s="41"/>
      <c r="T162" s="41" t="s">
        <v>139</v>
      </c>
      <c r="U162" s="41" t="s">
        <v>494</v>
      </c>
      <c r="V162" s="41" t="s">
        <v>139</v>
      </c>
      <c r="W162" s="41" t="s">
        <v>139</v>
      </c>
      <c r="X162" s="41" t="s">
        <v>139</v>
      </c>
      <c r="Y162" s="41" t="s">
        <v>139</v>
      </c>
      <c r="Z162" s="53" t="s">
        <v>235</v>
      </c>
      <c r="AA162" s="54" t="s">
        <v>139</v>
      </c>
      <c r="AB162" s="54" t="s">
        <v>139</v>
      </c>
      <c r="AC162" s="54" t="s">
        <v>139</v>
      </c>
      <c r="AD162" s="54" t="s">
        <v>139</v>
      </c>
      <c r="AE162" s="55"/>
      <c r="AF162" s="56"/>
      <c r="AG162" s="56"/>
      <c r="AH162" s="57"/>
      <c r="AI162" s="56"/>
      <c r="AJ162" s="56"/>
      <c r="AK162" s="56"/>
      <c r="AL162" s="3" t="s">
        <v>1582</v>
      </c>
    </row>
    <row r="163" spans="2:38" ht="40.5">
      <c r="B163" s="144">
        <f t="shared" si="2"/>
        <v>160</v>
      </c>
      <c r="C163" s="148" t="s">
        <v>3731</v>
      </c>
      <c r="D163" s="148"/>
      <c r="E163" s="148"/>
      <c r="F163" s="148"/>
      <c r="G163" s="148"/>
      <c r="H163" s="148"/>
      <c r="I163" s="148"/>
      <c r="J163" s="148"/>
      <c r="K163" s="165" t="s">
        <v>3661</v>
      </c>
      <c r="L163" s="165" t="s">
        <v>3680</v>
      </c>
      <c r="M163" s="165"/>
      <c r="N163" s="165"/>
      <c r="O163" s="165" t="s">
        <v>789</v>
      </c>
      <c r="P163" s="165" t="s">
        <v>789</v>
      </c>
      <c r="Q163" s="126" t="s">
        <v>790</v>
      </c>
      <c r="R163" s="62" t="s">
        <v>791</v>
      </c>
      <c r="S163" s="40"/>
      <c r="T163" s="40" t="s">
        <v>792</v>
      </c>
      <c r="U163" s="41" t="s">
        <v>139</v>
      </c>
      <c r="V163" s="41" t="s">
        <v>139</v>
      </c>
      <c r="W163" s="41" t="s">
        <v>139</v>
      </c>
      <c r="X163" s="41" t="s">
        <v>793</v>
      </c>
      <c r="Y163" s="41" t="s">
        <v>139</v>
      </c>
      <c r="Z163" s="43" t="s">
        <v>139</v>
      </c>
      <c r="AA163" s="41" t="s">
        <v>139</v>
      </c>
      <c r="AB163" s="41" t="s">
        <v>139</v>
      </c>
      <c r="AC163" s="41" t="s">
        <v>241</v>
      </c>
      <c r="AD163" s="41" t="s">
        <v>139</v>
      </c>
      <c r="AE163" s="44"/>
      <c r="AF163" s="45"/>
      <c r="AG163" s="45"/>
      <c r="AH163" s="46"/>
      <c r="AI163" s="45"/>
      <c r="AJ163" s="45"/>
      <c r="AK163" s="45"/>
      <c r="AL163" s="3" t="s">
        <v>1582</v>
      </c>
    </row>
    <row r="164" spans="2:38" ht="40.5" hidden="1">
      <c r="B164" s="144">
        <f t="shared" si="2"/>
        <v>161</v>
      </c>
      <c r="C164" s="148" t="s">
        <v>3732</v>
      </c>
      <c r="D164" s="148"/>
      <c r="E164" s="148"/>
      <c r="F164" s="148"/>
      <c r="G164" s="148"/>
      <c r="H164" s="148"/>
      <c r="I164" s="148"/>
      <c r="J164" s="148"/>
      <c r="K164" s="165" t="s">
        <v>3661</v>
      </c>
      <c r="L164" s="165" t="s">
        <v>3680</v>
      </c>
      <c r="M164" s="165"/>
      <c r="N164" s="165"/>
      <c r="O164" s="165" t="s">
        <v>886</v>
      </c>
      <c r="P164" s="165" t="s">
        <v>886</v>
      </c>
      <c r="Q164" s="126" t="s">
        <v>139</v>
      </c>
      <c r="R164" s="40" t="s">
        <v>887</v>
      </c>
      <c r="S164" s="40"/>
      <c r="T164" s="40" t="s">
        <v>2137</v>
      </c>
      <c r="U164" s="41" t="s">
        <v>139</v>
      </c>
      <c r="V164" s="41" t="s">
        <v>139</v>
      </c>
      <c r="W164" s="41" t="s">
        <v>139</v>
      </c>
      <c r="X164" s="41" t="s">
        <v>885</v>
      </c>
      <c r="Y164" s="41" t="s">
        <v>139</v>
      </c>
      <c r="Z164" s="43" t="s">
        <v>139</v>
      </c>
      <c r="AA164" s="41" t="s">
        <v>139</v>
      </c>
      <c r="AB164" s="41" t="s">
        <v>139</v>
      </c>
      <c r="AC164" s="41" t="s">
        <v>876</v>
      </c>
      <c r="AD164" s="41" t="s">
        <v>139</v>
      </c>
      <c r="AE164" s="44"/>
      <c r="AF164" s="45"/>
      <c r="AG164" s="45"/>
      <c r="AH164" s="46"/>
      <c r="AI164" s="45"/>
      <c r="AJ164" s="45"/>
      <c r="AK164" s="45"/>
      <c r="AL164" s="3" t="s">
        <v>1582</v>
      </c>
    </row>
    <row r="165" spans="2:38" ht="40.5" hidden="1">
      <c r="B165" s="144">
        <f t="shared" si="2"/>
        <v>162</v>
      </c>
      <c r="C165" s="148" t="s">
        <v>3732</v>
      </c>
      <c r="D165" s="148"/>
      <c r="E165" s="148"/>
      <c r="F165" s="148"/>
      <c r="G165" s="148"/>
      <c r="H165" s="148"/>
      <c r="I165" s="148"/>
      <c r="J165" s="148"/>
      <c r="K165" s="165" t="s">
        <v>3661</v>
      </c>
      <c r="L165" s="165" t="s">
        <v>3680</v>
      </c>
      <c r="M165" s="165"/>
      <c r="N165" s="165"/>
      <c r="O165" s="165" t="s">
        <v>3596</v>
      </c>
      <c r="P165" s="165" t="s">
        <v>3276</v>
      </c>
      <c r="Q165" s="126" t="s">
        <v>772</v>
      </c>
      <c r="R165" s="40" t="s">
        <v>773</v>
      </c>
      <c r="S165" s="40"/>
      <c r="T165" s="40" t="s">
        <v>139</v>
      </c>
      <c r="U165" s="41" t="s">
        <v>139</v>
      </c>
      <c r="V165" s="41" t="s">
        <v>139</v>
      </c>
      <c r="W165" s="41" t="s">
        <v>139</v>
      </c>
      <c r="X165" s="41" t="s">
        <v>774</v>
      </c>
      <c r="Y165" s="41" t="s">
        <v>139</v>
      </c>
      <c r="Z165" s="43" t="s">
        <v>139</v>
      </c>
      <c r="AA165" s="41" t="s">
        <v>139</v>
      </c>
      <c r="AB165" s="41" t="s">
        <v>139</v>
      </c>
      <c r="AC165" s="41" t="s">
        <v>229</v>
      </c>
      <c r="AD165" s="41" t="s">
        <v>139</v>
      </c>
      <c r="AE165" s="44"/>
      <c r="AF165" s="45"/>
      <c r="AG165" s="45"/>
      <c r="AH165" s="46"/>
      <c r="AI165" s="45"/>
      <c r="AJ165" s="45"/>
      <c r="AK165" s="45"/>
      <c r="AL165" s="3" t="s">
        <v>1582</v>
      </c>
    </row>
    <row r="166" spans="2:38" ht="27" hidden="1">
      <c r="B166" s="144">
        <f t="shared" si="2"/>
        <v>163</v>
      </c>
      <c r="C166" s="148" t="s">
        <v>3732</v>
      </c>
      <c r="D166" s="148"/>
      <c r="E166" s="148"/>
      <c r="F166" s="148"/>
      <c r="G166" s="148"/>
      <c r="H166" s="148"/>
      <c r="I166" s="148"/>
      <c r="J166" s="148"/>
      <c r="K166" s="165" t="s">
        <v>3661</v>
      </c>
      <c r="L166" s="165" t="s">
        <v>3680</v>
      </c>
      <c r="M166" s="165"/>
      <c r="N166" s="165"/>
      <c r="O166" s="165" t="s">
        <v>862</v>
      </c>
      <c r="P166" s="165" t="s">
        <v>862</v>
      </c>
      <c r="Q166" s="126" t="s">
        <v>139</v>
      </c>
      <c r="R166" s="40" t="s">
        <v>863</v>
      </c>
      <c r="S166" s="40"/>
      <c r="T166" s="40" t="s">
        <v>139</v>
      </c>
      <c r="U166" s="41" t="s">
        <v>139</v>
      </c>
      <c r="V166" s="41" t="s">
        <v>139</v>
      </c>
      <c r="W166" s="41" t="s">
        <v>139</v>
      </c>
      <c r="X166" s="41" t="s">
        <v>864</v>
      </c>
      <c r="Y166" s="41" t="s">
        <v>139</v>
      </c>
      <c r="Z166" s="43" t="s">
        <v>139</v>
      </c>
      <c r="AA166" s="41" t="s">
        <v>139</v>
      </c>
      <c r="AB166" s="41" t="s">
        <v>139</v>
      </c>
      <c r="AC166" s="41" t="s">
        <v>865</v>
      </c>
      <c r="AD166" s="41" t="s">
        <v>139</v>
      </c>
      <c r="AE166" s="44"/>
      <c r="AF166" s="45"/>
      <c r="AG166" s="45"/>
      <c r="AH166" s="46"/>
      <c r="AI166" s="45"/>
      <c r="AJ166" s="45"/>
      <c r="AK166" s="45"/>
      <c r="AL166" s="3" t="s">
        <v>1582</v>
      </c>
    </row>
    <row r="167" spans="2:38" ht="40.5" hidden="1">
      <c r="B167" s="144">
        <f t="shared" si="2"/>
        <v>164</v>
      </c>
      <c r="C167" s="148" t="s">
        <v>3732</v>
      </c>
      <c r="D167" s="148"/>
      <c r="E167" s="148"/>
      <c r="F167" s="148"/>
      <c r="G167" s="148"/>
      <c r="H167" s="148"/>
      <c r="I167" s="148"/>
      <c r="J167" s="148"/>
      <c r="K167" s="165" t="s">
        <v>3661</v>
      </c>
      <c r="L167" s="165" t="s">
        <v>3680</v>
      </c>
      <c r="M167" s="165"/>
      <c r="N167" s="165"/>
      <c r="O167" s="165" t="s">
        <v>888</v>
      </c>
      <c r="P167" s="165" t="s">
        <v>888</v>
      </c>
      <c r="Q167" s="126" t="s">
        <v>889</v>
      </c>
      <c r="R167" s="40" t="s">
        <v>890</v>
      </c>
      <c r="S167" s="40"/>
      <c r="T167" s="40" t="s">
        <v>2137</v>
      </c>
      <c r="U167" s="41" t="s">
        <v>139</v>
      </c>
      <c r="V167" s="41" t="s">
        <v>139</v>
      </c>
      <c r="W167" s="41" t="s">
        <v>139</v>
      </c>
      <c r="X167" s="41" t="s">
        <v>891</v>
      </c>
      <c r="Y167" s="41" t="s">
        <v>139</v>
      </c>
      <c r="Z167" s="43" t="s">
        <v>139</v>
      </c>
      <c r="AA167" s="41" t="s">
        <v>139</v>
      </c>
      <c r="AB167" s="41" t="s">
        <v>139</v>
      </c>
      <c r="AC167" s="41" t="s">
        <v>2750</v>
      </c>
      <c r="AD167" s="41" t="s">
        <v>139</v>
      </c>
      <c r="AE167" s="44"/>
      <c r="AF167" s="45"/>
      <c r="AG167" s="45"/>
      <c r="AH167" s="46"/>
      <c r="AI167" s="45"/>
      <c r="AJ167" s="45"/>
      <c r="AK167" s="45"/>
      <c r="AL167" s="3" t="s">
        <v>1582</v>
      </c>
    </row>
    <row r="168" spans="2:38" ht="27" hidden="1">
      <c r="B168" s="144">
        <f t="shared" si="2"/>
        <v>165</v>
      </c>
      <c r="C168" s="148" t="s">
        <v>3732</v>
      </c>
      <c r="D168" s="148"/>
      <c r="E168" s="148"/>
      <c r="F168" s="148"/>
      <c r="G168" s="148"/>
      <c r="H168" s="148"/>
      <c r="I168" s="148"/>
      <c r="J168" s="148"/>
      <c r="K168" s="165" t="s">
        <v>3661</v>
      </c>
      <c r="L168" s="165" t="s">
        <v>3680</v>
      </c>
      <c r="M168" s="165"/>
      <c r="N168" s="165"/>
      <c r="O168" s="165" t="s">
        <v>3526</v>
      </c>
      <c r="P168" s="165" t="s">
        <v>2311</v>
      </c>
      <c r="Q168" s="126" t="s">
        <v>139</v>
      </c>
      <c r="R168" s="40" t="s">
        <v>2313</v>
      </c>
      <c r="S168" s="40"/>
      <c r="T168" s="40"/>
      <c r="U168" s="41" t="s">
        <v>139</v>
      </c>
      <c r="V168" s="41" t="s">
        <v>139</v>
      </c>
      <c r="W168" s="41" t="s">
        <v>139</v>
      </c>
      <c r="X168" s="41" t="s">
        <v>2314</v>
      </c>
      <c r="Y168" s="41" t="s">
        <v>139</v>
      </c>
      <c r="Z168" s="43" t="s">
        <v>139</v>
      </c>
      <c r="AA168" s="41" t="s">
        <v>139</v>
      </c>
      <c r="AB168" s="41" t="s">
        <v>139</v>
      </c>
      <c r="AC168" s="41" t="s">
        <v>2316</v>
      </c>
      <c r="AD168" s="41" t="s">
        <v>139</v>
      </c>
      <c r="AE168" s="44"/>
      <c r="AF168" s="45"/>
      <c r="AG168" s="45"/>
      <c r="AH168" s="46"/>
      <c r="AI168" s="45"/>
      <c r="AJ168" s="45"/>
      <c r="AK168" s="45"/>
      <c r="AL168" s="3" t="s">
        <v>1582</v>
      </c>
    </row>
    <row r="169" spans="2:38">
      <c r="B169" s="144">
        <f t="shared" si="2"/>
        <v>166</v>
      </c>
      <c r="C169" s="148" t="s">
        <v>3731</v>
      </c>
      <c r="D169" s="148"/>
      <c r="E169" s="148"/>
      <c r="F169" s="148"/>
      <c r="G169" s="148"/>
      <c r="H169" s="148"/>
      <c r="I169" s="148"/>
      <c r="J169" s="148"/>
      <c r="K169" s="165" t="s">
        <v>3661</v>
      </c>
      <c r="L169" s="165" t="s">
        <v>3680</v>
      </c>
      <c r="M169" s="165"/>
      <c r="N169" s="65"/>
      <c r="O169" s="65" t="s">
        <v>521</v>
      </c>
      <c r="P169" s="65" t="s">
        <v>521</v>
      </c>
      <c r="Q169" s="54" t="s">
        <v>139</v>
      </c>
      <c r="R169" s="41" t="s">
        <v>522</v>
      </c>
      <c r="S169" s="41"/>
      <c r="T169" s="41" t="s">
        <v>139</v>
      </c>
      <c r="U169" s="41" t="s">
        <v>523</v>
      </c>
      <c r="V169" s="41" t="s">
        <v>139</v>
      </c>
      <c r="W169" s="41" t="s">
        <v>139</v>
      </c>
      <c r="X169" s="41" t="s">
        <v>139</v>
      </c>
      <c r="Y169" s="41" t="s">
        <v>139</v>
      </c>
      <c r="Z169" s="53" t="s">
        <v>410</v>
      </c>
      <c r="AA169" s="54" t="s">
        <v>139</v>
      </c>
      <c r="AB169" s="54" t="s">
        <v>139</v>
      </c>
      <c r="AC169" s="54" t="s">
        <v>139</v>
      </c>
      <c r="AD169" s="54" t="s">
        <v>139</v>
      </c>
      <c r="AE169" s="55"/>
      <c r="AF169" s="56"/>
      <c r="AG169" s="56"/>
      <c r="AH169" s="57"/>
      <c r="AI169" s="56"/>
      <c r="AJ169" s="56"/>
      <c r="AK169" s="56"/>
      <c r="AL169" s="3" t="s">
        <v>1582</v>
      </c>
    </row>
    <row r="170" spans="2:38" ht="27" hidden="1">
      <c r="B170" s="144">
        <f t="shared" si="2"/>
        <v>167</v>
      </c>
      <c r="C170" s="148" t="s">
        <v>3732</v>
      </c>
      <c r="D170" s="148"/>
      <c r="E170" s="148"/>
      <c r="F170" s="148"/>
      <c r="G170" s="148"/>
      <c r="H170" s="148"/>
      <c r="I170" s="148"/>
      <c r="J170" s="148"/>
      <c r="K170" s="165" t="s">
        <v>3661</v>
      </c>
      <c r="L170" s="165" t="s">
        <v>3680</v>
      </c>
      <c r="M170" s="165"/>
      <c r="N170" s="165"/>
      <c r="O170" s="165" t="s">
        <v>615</v>
      </c>
      <c r="P170" s="165" t="s">
        <v>615</v>
      </c>
      <c r="Q170" s="126" t="s">
        <v>139</v>
      </c>
      <c r="R170" s="40" t="s">
        <v>616</v>
      </c>
      <c r="S170" s="40"/>
      <c r="T170" s="40" t="s">
        <v>139</v>
      </c>
      <c r="U170" s="41" t="s">
        <v>139</v>
      </c>
      <c r="V170" s="41" t="s">
        <v>139</v>
      </c>
      <c r="W170" s="41" t="s">
        <v>139</v>
      </c>
      <c r="X170" s="41" t="s">
        <v>617</v>
      </c>
      <c r="Y170" s="41" t="s">
        <v>139</v>
      </c>
      <c r="Z170" s="43" t="s">
        <v>139</v>
      </c>
      <c r="AA170" s="41" t="s">
        <v>139</v>
      </c>
      <c r="AB170" s="41" t="s">
        <v>139</v>
      </c>
      <c r="AC170" s="41" t="s">
        <v>532</v>
      </c>
      <c r="AD170" s="41" t="s">
        <v>139</v>
      </c>
      <c r="AE170" s="44"/>
      <c r="AF170" s="45"/>
      <c r="AG170" s="45"/>
      <c r="AH170" s="46"/>
      <c r="AI170" s="45"/>
      <c r="AJ170" s="45"/>
      <c r="AK170" s="45"/>
      <c r="AL170" s="3" t="s">
        <v>1582</v>
      </c>
    </row>
    <row r="171" spans="2:38" ht="67.5" hidden="1">
      <c r="B171" s="144">
        <f t="shared" si="2"/>
        <v>168</v>
      </c>
      <c r="C171" s="148" t="s">
        <v>3732</v>
      </c>
      <c r="D171" s="148"/>
      <c r="E171" s="148"/>
      <c r="F171" s="148"/>
      <c r="G171" s="148"/>
      <c r="H171" s="148"/>
      <c r="I171" s="148"/>
      <c r="J171" s="148"/>
      <c r="K171" s="165" t="s">
        <v>3661</v>
      </c>
      <c r="L171" s="165" t="s">
        <v>3680</v>
      </c>
      <c r="M171" s="165"/>
      <c r="N171" s="165"/>
      <c r="O171" s="165" t="s">
        <v>3602</v>
      </c>
      <c r="P171" s="165" t="s">
        <v>3232</v>
      </c>
      <c r="Q171" s="126" t="s">
        <v>3233</v>
      </c>
      <c r="R171" s="40" t="s">
        <v>3130</v>
      </c>
      <c r="S171" s="40"/>
      <c r="T171" s="40" t="s">
        <v>139</v>
      </c>
      <c r="U171" s="41" t="s">
        <v>139</v>
      </c>
      <c r="V171" s="41" t="s">
        <v>139</v>
      </c>
      <c r="W171" s="41" t="s">
        <v>139</v>
      </c>
      <c r="X171" s="41" t="s">
        <v>590</v>
      </c>
      <c r="Y171" s="41" t="s">
        <v>139</v>
      </c>
      <c r="Z171" s="43" t="s">
        <v>139</v>
      </c>
      <c r="AA171" s="41" t="s">
        <v>139</v>
      </c>
      <c r="AB171" s="41" t="s">
        <v>139</v>
      </c>
      <c r="AC171" s="41" t="s">
        <v>591</v>
      </c>
      <c r="AD171" s="41" t="s">
        <v>139</v>
      </c>
      <c r="AE171" s="44"/>
      <c r="AF171" s="45"/>
      <c r="AG171" s="45"/>
      <c r="AH171" s="46"/>
      <c r="AI171" s="45"/>
      <c r="AJ171" s="45"/>
      <c r="AK171" s="45"/>
      <c r="AL171" s="3" t="s">
        <v>1582</v>
      </c>
    </row>
    <row r="172" spans="2:38" ht="40.5" hidden="1">
      <c r="B172" s="144">
        <f t="shared" si="2"/>
        <v>169</v>
      </c>
      <c r="C172" s="148" t="s">
        <v>3732</v>
      </c>
      <c r="D172" s="148"/>
      <c r="E172" s="148"/>
      <c r="F172" s="148"/>
      <c r="G172" s="148"/>
      <c r="H172" s="148"/>
      <c r="I172" s="148"/>
      <c r="J172" s="148"/>
      <c r="K172" s="165" t="s">
        <v>3661</v>
      </c>
      <c r="L172" s="165" t="s">
        <v>3680</v>
      </c>
      <c r="M172" s="165"/>
      <c r="N172" s="165"/>
      <c r="O172" s="165" t="s">
        <v>3603</v>
      </c>
      <c r="P172" s="165" t="s">
        <v>3227</v>
      </c>
      <c r="Q172" s="126" t="s">
        <v>831</v>
      </c>
      <c r="R172" s="40" t="s">
        <v>832</v>
      </c>
      <c r="S172" s="40"/>
      <c r="T172" s="40" t="s">
        <v>833</v>
      </c>
      <c r="U172" s="41" t="s">
        <v>139</v>
      </c>
      <c r="V172" s="41" t="s">
        <v>139</v>
      </c>
      <c r="W172" s="41" t="s">
        <v>139</v>
      </c>
      <c r="X172" s="41" t="s">
        <v>2855</v>
      </c>
      <c r="Y172" s="41" t="s">
        <v>139</v>
      </c>
      <c r="Z172" s="43" t="s">
        <v>139</v>
      </c>
      <c r="AA172" s="41" t="s">
        <v>139</v>
      </c>
      <c r="AB172" s="41" t="s">
        <v>139</v>
      </c>
      <c r="AC172" s="41" t="s">
        <v>830</v>
      </c>
      <c r="AD172" s="41" t="s">
        <v>139</v>
      </c>
      <c r="AE172" s="44"/>
      <c r="AF172" s="45"/>
      <c r="AG172" s="45"/>
      <c r="AH172" s="46"/>
      <c r="AI172" s="45"/>
      <c r="AJ172" s="45"/>
      <c r="AK172" s="45"/>
      <c r="AL172" s="3" t="s">
        <v>1582</v>
      </c>
    </row>
    <row r="173" spans="2:38" ht="40.5" hidden="1">
      <c r="B173" s="144">
        <f t="shared" si="2"/>
        <v>170</v>
      </c>
      <c r="C173" s="148" t="s">
        <v>3732</v>
      </c>
      <c r="D173" s="148"/>
      <c r="E173" s="148"/>
      <c r="F173" s="148"/>
      <c r="G173" s="148"/>
      <c r="H173" s="148"/>
      <c r="I173" s="148"/>
      <c r="J173" s="148"/>
      <c r="K173" s="165" t="s">
        <v>3661</v>
      </c>
      <c r="L173" s="165" t="s">
        <v>3680</v>
      </c>
      <c r="M173" s="165"/>
      <c r="N173" s="165"/>
      <c r="O173" s="165" t="s">
        <v>632</v>
      </c>
      <c r="P173" s="165" t="s">
        <v>632</v>
      </c>
      <c r="Q173" s="126" t="s">
        <v>139</v>
      </c>
      <c r="R173" s="40" t="s">
        <v>1632</v>
      </c>
      <c r="S173" s="40"/>
      <c r="T173" s="40" t="s">
        <v>139</v>
      </c>
      <c r="U173" s="41" t="s">
        <v>139</v>
      </c>
      <c r="V173" s="41" t="s">
        <v>139</v>
      </c>
      <c r="W173" s="41" t="s">
        <v>139</v>
      </c>
      <c r="X173" s="41" t="s">
        <v>633</v>
      </c>
      <c r="Y173" s="41" t="s">
        <v>139</v>
      </c>
      <c r="Z173" s="43" t="s">
        <v>139</v>
      </c>
      <c r="AA173" s="41" t="s">
        <v>139</v>
      </c>
      <c r="AB173" s="41" t="s">
        <v>139</v>
      </c>
      <c r="AC173" s="41" t="s">
        <v>532</v>
      </c>
      <c r="AD173" s="41" t="s">
        <v>139</v>
      </c>
      <c r="AE173" s="44"/>
      <c r="AF173" s="45"/>
      <c r="AG173" s="45"/>
      <c r="AH173" s="46"/>
      <c r="AI173" s="45"/>
      <c r="AJ173" s="45"/>
      <c r="AK173" s="45"/>
      <c r="AL173" s="3" t="s">
        <v>1582</v>
      </c>
    </row>
    <row r="174" spans="2:38" ht="27" hidden="1">
      <c r="B174" s="144">
        <f t="shared" si="2"/>
        <v>171</v>
      </c>
      <c r="C174" s="148" t="s">
        <v>3732</v>
      </c>
      <c r="D174" s="148"/>
      <c r="E174" s="148"/>
      <c r="F174" s="148"/>
      <c r="G174" s="148"/>
      <c r="H174" s="148"/>
      <c r="I174" s="148"/>
      <c r="J174" s="148"/>
      <c r="K174" s="165" t="s">
        <v>3661</v>
      </c>
      <c r="L174" s="165" t="s">
        <v>3680</v>
      </c>
      <c r="M174" s="165"/>
      <c r="N174" s="165"/>
      <c r="O174" s="165" t="s">
        <v>3604</v>
      </c>
      <c r="P174" s="165" t="s">
        <v>2235</v>
      </c>
      <c r="Q174" s="126" t="s">
        <v>1637</v>
      </c>
      <c r="R174" s="40" t="s">
        <v>2236</v>
      </c>
      <c r="S174" s="40"/>
      <c r="T174" s="41" t="s">
        <v>1637</v>
      </c>
      <c r="U174" s="41" t="s">
        <v>139</v>
      </c>
      <c r="V174" s="41" t="s">
        <v>139</v>
      </c>
      <c r="W174" s="41" t="s">
        <v>139</v>
      </c>
      <c r="X174" s="41" t="s">
        <v>2237</v>
      </c>
      <c r="Y174" s="41" t="s">
        <v>139</v>
      </c>
      <c r="Z174" s="43" t="s">
        <v>139</v>
      </c>
      <c r="AA174" s="41" t="s">
        <v>139</v>
      </c>
      <c r="AB174" s="41" t="s">
        <v>139</v>
      </c>
      <c r="AC174" s="41" t="s">
        <v>2234</v>
      </c>
      <c r="AD174" s="41" t="s">
        <v>139</v>
      </c>
      <c r="AE174" s="44"/>
      <c r="AF174" s="45"/>
      <c r="AG174" s="45"/>
      <c r="AH174" s="46"/>
      <c r="AI174" s="45"/>
      <c r="AJ174" s="45"/>
      <c r="AK174" s="45"/>
      <c r="AL174" s="3" t="s">
        <v>1582</v>
      </c>
    </row>
    <row r="175" spans="2:38" ht="27" hidden="1">
      <c r="B175" s="144">
        <f t="shared" si="2"/>
        <v>172</v>
      </c>
      <c r="C175" s="148" t="s">
        <v>3732</v>
      </c>
      <c r="D175" s="148"/>
      <c r="E175" s="148"/>
      <c r="F175" s="148"/>
      <c r="G175" s="148"/>
      <c r="H175" s="148"/>
      <c r="I175" s="148"/>
      <c r="J175" s="148"/>
      <c r="K175" s="165" t="s">
        <v>3661</v>
      </c>
      <c r="L175" s="165" t="s">
        <v>3680</v>
      </c>
      <c r="M175" s="165"/>
      <c r="N175" s="165"/>
      <c r="O175" s="165" t="s">
        <v>835</v>
      </c>
      <c r="P175" s="165" t="s">
        <v>835</v>
      </c>
      <c r="Q175" s="126" t="s">
        <v>139</v>
      </c>
      <c r="R175" s="40" t="s">
        <v>836</v>
      </c>
      <c r="S175" s="40"/>
      <c r="T175" s="40" t="s">
        <v>139</v>
      </c>
      <c r="U175" s="41" t="s">
        <v>139</v>
      </c>
      <c r="V175" s="41" t="s">
        <v>139</v>
      </c>
      <c r="W175" s="41" t="s">
        <v>139</v>
      </c>
      <c r="X175" s="41" t="s">
        <v>837</v>
      </c>
      <c r="Y175" s="41" t="s">
        <v>139</v>
      </c>
      <c r="Z175" s="43" t="s">
        <v>139</v>
      </c>
      <c r="AA175" s="41" t="s">
        <v>139</v>
      </c>
      <c r="AB175" s="41" t="s">
        <v>139</v>
      </c>
      <c r="AC175" s="41" t="s">
        <v>830</v>
      </c>
      <c r="AD175" s="41" t="s">
        <v>139</v>
      </c>
      <c r="AE175" s="44"/>
      <c r="AF175" s="45"/>
      <c r="AG175" s="45"/>
      <c r="AH175" s="46"/>
      <c r="AI175" s="45"/>
      <c r="AJ175" s="45"/>
      <c r="AK175" s="45"/>
      <c r="AL175" s="3" t="s">
        <v>1582</v>
      </c>
    </row>
    <row r="176" spans="2:38" ht="40.5" hidden="1">
      <c r="B176" s="144">
        <f t="shared" si="2"/>
        <v>173</v>
      </c>
      <c r="C176" s="148" t="s">
        <v>3732</v>
      </c>
      <c r="D176" s="148"/>
      <c r="E176" s="148"/>
      <c r="F176" s="148"/>
      <c r="G176" s="148"/>
      <c r="H176" s="148"/>
      <c r="I176" s="148"/>
      <c r="J176" s="148"/>
      <c r="K176" s="165" t="s">
        <v>3661</v>
      </c>
      <c r="L176" s="165" t="s">
        <v>3680</v>
      </c>
      <c r="M176" s="165"/>
      <c r="N176" s="165"/>
      <c r="O176" s="165" t="s">
        <v>3611</v>
      </c>
      <c r="P176" s="165" t="s">
        <v>3299</v>
      </c>
      <c r="Q176" s="126" t="s">
        <v>3298</v>
      </c>
      <c r="R176" s="40" t="s">
        <v>1077</v>
      </c>
      <c r="S176" s="40"/>
      <c r="T176" s="40" t="s">
        <v>139</v>
      </c>
      <c r="U176" s="41" t="s">
        <v>139</v>
      </c>
      <c r="V176" s="41" t="s">
        <v>139</v>
      </c>
      <c r="W176" s="41" t="s">
        <v>139</v>
      </c>
      <c r="X176" s="41" t="s">
        <v>1078</v>
      </c>
      <c r="Y176" s="41" t="s">
        <v>1050</v>
      </c>
      <c r="Z176" s="43" t="s">
        <v>139</v>
      </c>
      <c r="AA176" s="41" t="s">
        <v>139</v>
      </c>
      <c r="AB176" s="41" t="s">
        <v>139</v>
      </c>
      <c r="AC176" s="41" t="s">
        <v>1079</v>
      </c>
      <c r="AD176" s="41" t="s">
        <v>614</v>
      </c>
      <c r="AE176" s="44"/>
      <c r="AF176" s="45"/>
      <c r="AG176" s="45"/>
      <c r="AH176" s="46"/>
      <c r="AI176" s="45"/>
      <c r="AJ176" s="45"/>
      <c r="AK176" s="45"/>
      <c r="AL176" s="3" t="s">
        <v>1582</v>
      </c>
    </row>
    <row r="177" spans="2:38" ht="67.5" hidden="1">
      <c r="B177" s="144">
        <f t="shared" si="2"/>
        <v>174</v>
      </c>
      <c r="C177" s="148" t="s">
        <v>3732</v>
      </c>
      <c r="D177" s="148"/>
      <c r="E177" s="148"/>
      <c r="F177" s="148"/>
      <c r="G177" s="148"/>
      <c r="H177" s="148"/>
      <c r="I177" s="148"/>
      <c r="J177" s="148"/>
      <c r="K177" s="165" t="s">
        <v>3661</v>
      </c>
      <c r="L177" s="165" t="s">
        <v>3657</v>
      </c>
      <c r="M177" s="165"/>
      <c r="N177" s="165"/>
      <c r="O177" s="165" t="s">
        <v>1822</v>
      </c>
      <c r="P177" s="165" t="s">
        <v>1822</v>
      </c>
      <c r="Q177" s="127" t="s">
        <v>139</v>
      </c>
      <c r="R177" s="60" t="s">
        <v>2031</v>
      </c>
      <c r="S177" s="60"/>
      <c r="T177" s="60" t="s">
        <v>139</v>
      </c>
      <c r="U177" s="48" t="s">
        <v>139</v>
      </c>
      <c r="V177" s="48" t="s">
        <v>139</v>
      </c>
      <c r="W177" s="79" t="s">
        <v>1823</v>
      </c>
      <c r="X177" s="48" t="s">
        <v>139</v>
      </c>
      <c r="Y177" s="48" t="s">
        <v>139</v>
      </c>
      <c r="Z177" s="50" t="s">
        <v>139</v>
      </c>
      <c r="AA177" s="48" t="s">
        <v>139</v>
      </c>
      <c r="AB177" s="79" t="s">
        <v>1125</v>
      </c>
      <c r="AC177" s="48" t="s">
        <v>139</v>
      </c>
      <c r="AD177" s="48" t="s">
        <v>139</v>
      </c>
      <c r="AE177" s="44"/>
      <c r="AF177" s="45"/>
      <c r="AG177" s="45"/>
      <c r="AH177" s="46"/>
      <c r="AI177" s="45"/>
      <c r="AJ177" s="45"/>
      <c r="AK177" s="45"/>
      <c r="AL177" s="3" t="s">
        <v>1582</v>
      </c>
    </row>
    <row r="178" spans="2:38" ht="40.5" hidden="1">
      <c r="B178" s="144">
        <f t="shared" si="2"/>
        <v>175</v>
      </c>
      <c r="C178" s="148" t="s">
        <v>3732</v>
      </c>
      <c r="D178" s="148"/>
      <c r="E178" s="148"/>
      <c r="F178" s="148"/>
      <c r="G178" s="148"/>
      <c r="H178" s="148"/>
      <c r="I178" s="148"/>
      <c r="J178" s="148"/>
      <c r="K178" s="165" t="s">
        <v>3661</v>
      </c>
      <c r="L178" s="165" t="s">
        <v>3657</v>
      </c>
      <c r="M178" s="165"/>
      <c r="N178" s="165"/>
      <c r="O178" s="165" t="s">
        <v>1824</v>
      </c>
      <c r="P178" s="165" t="s">
        <v>1824</v>
      </c>
      <c r="Q178" s="127" t="s">
        <v>139</v>
      </c>
      <c r="R178" s="60" t="s">
        <v>1825</v>
      </c>
      <c r="S178" s="60"/>
      <c r="T178" s="60" t="s">
        <v>139</v>
      </c>
      <c r="U178" s="48" t="s">
        <v>139</v>
      </c>
      <c r="V178" s="48" t="s">
        <v>139</v>
      </c>
      <c r="W178" s="79" t="s">
        <v>1723</v>
      </c>
      <c r="X178" s="48" t="s">
        <v>139</v>
      </c>
      <c r="Y178" s="48" t="s">
        <v>139</v>
      </c>
      <c r="Z178" s="50" t="s">
        <v>139</v>
      </c>
      <c r="AA178" s="48" t="s">
        <v>139</v>
      </c>
      <c r="AB178" s="79" t="s">
        <v>1125</v>
      </c>
      <c r="AC178" s="48" t="s">
        <v>139</v>
      </c>
      <c r="AD178" s="48" t="s">
        <v>139</v>
      </c>
      <c r="AE178" s="44"/>
      <c r="AF178" s="45"/>
      <c r="AG178" s="45"/>
      <c r="AH178" s="46"/>
      <c r="AI178" s="45"/>
      <c r="AJ178" s="45"/>
      <c r="AK178" s="45"/>
      <c r="AL178" s="3" t="s">
        <v>1582</v>
      </c>
    </row>
    <row r="179" spans="2:38" hidden="1">
      <c r="B179" s="144">
        <f t="shared" si="2"/>
        <v>176</v>
      </c>
      <c r="C179" s="148" t="s">
        <v>3732</v>
      </c>
      <c r="D179" s="148"/>
      <c r="E179" s="148"/>
      <c r="F179" s="148"/>
      <c r="G179" s="148"/>
      <c r="H179" s="148"/>
      <c r="I179" s="148"/>
      <c r="J179" s="148"/>
      <c r="K179" s="165" t="s">
        <v>3661</v>
      </c>
      <c r="L179" s="165" t="s">
        <v>3657</v>
      </c>
      <c r="M179" s="165"/>
      <c r="N179" s="165"/>
      <c r="O179" s="165" t="s">
        <v>1826</v>
      </c>
      <c r="P179" s="165" t="s">
        <v>1826</v>
      </c>
      <c r="Q179" s="127" t="s">
        <v>139</v>
      </c>
      <c r="R179" s="60" t="s">
        <v>1827</v>
      </c>
      <c r="S179" s="60"/>
      <c r="T179" s="60" t="s">
        <v>139</v>
      </c>
      <c r="U179" s="48" t="s">
        <v>139</v>
      </c>
      <c r="V179" s="48" t="s">
        <v>139</v>
      </c>
      <c r="W179" s="79" t="s">
        <v>1723</v>
      </c>
      <c r="X179" s="48" t="s">
        <v>139</v>
      </c>
      <c r="Y179" s="48" t="s">
        <v>139</v>
      </c>
      <c r="Z179" s="50" t="s">
        <v>139</v>
      </c>
      <c r="AA179" s="48" t="s">
        <v>139</v>
      </c>
      <c r="AB179" s="79" t="s">
        <v>1125</v>
      </c>
      <c r="AC179" s="48" t="s">
        <v>139</v>
      </c>
      <c r="AD179" s="48" t="s">
        <v>139</v>
      </c>
      <c r="AE179" s="44"/>
      <c r="AF179" s="45"/>
      <c r="AG179" s="45"/>
      <c r="AH179" s="46"/>
      <c r="AI179" s="45"/>
      <c r="AJ179" s="45"/>
      <c r="AK179" s="45"/>
      <c r="AL179" s="3" t="s">
        <v>1582</v>
      </c>
    </row>
    <row r="180" spans="2:38" ht="27" hidden="1">
      <c r="B180" s="144">
        <f t="shared" si="2"/>
        <v>177</v>
      </c>
      <c r="C180" s="148" t="s">
        <v>3732</v>
      </c>
      <c r="D180" s="148"/>
      <c r="E180" s="148"/>
      <c r="F180" s="148"/>
      <c r="G180" s="148"/>
      <c r="H180" s="148"/>
      <c r="I180" s="148"/>
      <c r="J180" s="148"/>
      <c r="K180" s="165" t="s">
        <v>3661</v>
      </c>
      <c r="L180" s="165" t="s">
        <v>3657</v>
      </c>
      <c r="M180" s="165"/>
      <c r="N180" s="165"/>
      <c r="O180" s="165" t="s">
        <v>2169</v>
      </c>
      <c r="P180" s="165" t="s">
        <v>2169</v>
      </c>
      <c r="Q180" s="126" t="s">
        <v>1637</v>
      </c>
      <c r="R180" s="40" t="s">
        <v>2170</v>
      </c>
      <c r="S180" s="40"/>
      <c r="T180" s="40" t="s">
        <v>2171</v>
      </c>
      <c r="U180" s="41" t="s">
        <v>139</v>
      </c>
      <c r="V180" s="41" t="s">
        <v>139</v>
      </c>
      <c r="W180" s="41" t="s">
        <v>139</v>
      </c>
      <c r="X180" s="41" t="s">
        <v>2173</v>
      </c>
      <c r="Y180" s="41" t="s">
        <v>139</v>
      </c>
      <c r="Z180" s="43" t="s">
        <v>139</v>
      </c>
      <c r="AA180" s="41" t="s">
        <v>139</v>
      </c>
      <c r="AB180" s="41" t="s">
        <v>139</v>
      </c>
      <c r="AC180" s="41" t="s">
        <v>2172</v>
      </c>
      <c r="AD180" s="41" t="s">
        <v>139</v>
      </c>
      <c r="AE180" s="44"/>
      <c r="AF180" s="45"/>
      <c r="AG180" s="45"/>
      <c r="AH180" s="46"/>
      <c r="AI180" s="45"/>
      <c r="AJ180" s="45"/>
      <c r="AK180" s="45"/>
      <c r="AL180" s="3" t="s">
        <v>1582</v>
      </c>
    </row>
    <row r="181" spans="2:38" ht="27" hidden="1">
      <c r="B181" s="144">
        <f t="shared" si="2"/>
        <v>178</v>
      </c>
      <c r="C181" s="148" t="s">
        <v>3732</v>
      </c>
      <c r="D181" s="148"/>
      <c r="E181" s="148"/>
      <c r="F181" s="148"/>
      <c r="G181" s="148"/>
      <c r="H181" s="148"/>
      <c r="I181" s="148"/>
      <c r="J181" s="148"/>
      <c r="K181" s="165" t="s">
        <v>3661</v>
      </c>
      <c r="L181" s="165" t="s">
        <v>3657</v>
      </c>
      <c r="M181" s="165"/>
      <c r="N181" s="165"/>
      <c r="O181" s="165" t="s">
        <v>1828</v>
      </c>
      <c r="P181" s="165" t="s">
        <v>1828</v>
      </c>
      <c r="Q181" s="127" t="s">
        <v>139</v>
      </c>
      <c r="R181" s="60" t="s">
        <v>1829</v>
      </c>
      <c r="S181" s="60"/>
      <c r="T181" s="60" t="s">
        <v>139</v>
      </c>
      <c r="U181" s="48" t="s">
        <v>139</v>
      </c>
      <c r="V181" s="48" t="s">
        <v>139</v>
      </c>
      <c r="W181" s="79" t="s">
        <v>1830</v>
      </c>
      <c r="X181" s="48" t="s">
        <v>139</v>
      </c>
      <c r="Y181" s="48" t="s">
        <v>139</v>
      </c>
      <c r="Z181" s="50" t="s">
        <v>139</v>
      </c>
      <c r="AA181" s="48" t="s">
        <v>139</v>
      </c>
      <c r="AB181" s="79" t="s">
        <v>1125</v>
      </c>
      <c r="AC181" s="48" t="s">
        <v>139</v>
      </c>
      <c r="AD181" s="48" t="s">
        <v>139</v>
      </c>
      <c r="AE181" s="44"/>
      <c r="AF181" s="45"/>
      <c r="AG181" s="45"/>
      <c r="AH181" s="46"/>
      <c r="AI181" s="45"/>
      <c r="AJ181" s="45"/>
      <c r="AK181" s="45"/>
      <c r="AL181" s="3" t="s">
        <v>1582</v>
      </c>
    </row>
    <row r="182" spans="2:38" ht="27" hidden="1">
      <c r="B182" s="144">
        <f t="shared" si="2"/>
        <v>179</v>
      </c>
      <c r="C182" s="148" t="s">
        <v>3732</v>
      </c>
      <c r="D182" s="148"/>
      <c r="E182" s="148"/>
      <c r="F182" s="148"/>
      <c r="G182" s="148"/>
      <c r="H182" s="148"/>
      <c r="I182" s="148"/>
      <c r="J182" s="148"/>
      <c r="K182" s="165" t="s">
        <v>3661</v>
      </c>
      <c r="L182" s="165" t="s">
        <v>3657</v>
      </c>
      <c r="M182" s="165"/>
      <c r="N182" s="165"/>
      <c r="O182" s="165" t="s">
        <v>1831</v>
      </c>
      <c r="P182" s="165" t="s">
        <v>1831</v>
      </c>
      <c r="Q182" s="127" t="s">
        <v>1832</v>
      </c>
      <c r="R182" s="60" t="s">
        <v>1833</v>
      </c>
      <c r="S182" s="60"/>
      <c r="T182" s="60" t="s">
        <v>139</v>
      </c>
      <c r="U182" s="48" t="s">
        <v>139</v>
      </c>
      <c r="V182" s="48" t="s">
        <v>139</v>
      </c>
      <c r="W182" s="79" t="s">
        <v>1834</v>
      </c>
      <c r="X182" s="48" t="s">
        <v>139</v>
      </c>
      <c r="Y182" s="48" t="s">
        <v>139</v>
      </c>
      <c r="Z182" s="50" t="s">
        <v>139</v>
      </c>
      <c r="AA182" s="48" t="s">
        <v>139</v>
      </c>
      <c r="AB182" s="79" t="s">
        <v>1125</v>
      </c>
      <c r="AC182" s="48" t="s">
        <v>139</v>
      </c>
      <c r="AD182" s="48" t="s">
        <v>139</v>
      </c>
      <c r="AE182" s="44"/>
      <c r="AF182" s="45"/>
      <c r="AG182" s="45"/>
      <c r="AH182" s="46"/>
      <c r="AI182" s="45"/>
      <c r="AJ182" s="45"/>
      <c r="AK182" s="45"/>
      <c r="AL182" s="3" t="s">
        <v>1582</v>
      </c>
    </row>
    <row r="183" spans="2:38" ht="27" hidden="1">
      <c r="B183" s="144">
        <f t="shared" si="2"/>
        <v>180</v>
      </c>
      <c r="C183" s="148" t="s">
        <v>3732</v>
      </c>
      <c r="D183" s="148"/>
      <c r="E183" s="148"/>
      <c r="F183" s="148"/>
      <c r="G183" s="148"/>
      <c r="H183" s="148"/>
      <c r="I183" s="148"/>
      <c r="J183" s="148"/>
      <c r="K183" s="165" t="s">
        <v>3661</v>
      </c>
      <c r="L183" s="165" t="s">
        <v>3657</v>
      </c>
      <c r="M183" s="165"/>
      <c r="N183" s="165"/>
      <c r="O183" s="165" t="s">
        <v>3529</v>
      </c>
      <c r="P183" s="165" t="s">
        <v>1948</v>
      </c>
      <c r="Q183" s="127" t="s">
        <v>3237</v>
      </c>
      <c r="R183" s="60" t="s">
        <v>1741</v>
      </c>
      <c r="S183" s="60"/>
      <c r="T183" s="60" t="s">
        <v>139</v>
      </c>
      <c r="U183" s="48" t="s">
        <v>139</v>
      </c>
      <c r="V183" s="48" t="s">
        <v>139</v>
      </c>
      <c r="W183" s="79" t="s">
        <v>1742</v>
      </c>
      <c r="X183" s="48" t="s">
        <v>139</v>
      </c>
      <c r="Y183" s="48" t="s">
        <v>139</v>
      </c>
      <c r="Z183" s="50" t="s">
        <v>139</v>
      </c>
      <c r="AA183" s="48" t="s">
        <v>139</v>
      </c>
      <c r="AB183" s="79" t="s">
        <v>1125</v>
      </c>
      <c r="AC183" s="48" t="s">
        <v>139</v>
      </c>
      <c r="AD183" s="48" t="s">
        <v>139</v>
      </c>
      <c r="AE183" s="44"/>
      <c r="AF183" s="45"/>
      <c r="AG183" s="45"/>
      <c r="AH183" s="46"/>
      <c r="AI183" s="45"/>
      <c r="AJ183" s="45"/>
      <c r="AK183" s="45"/>
      <c r="AL183" s="3" t="s">
        <v>1582</v>
      </c>
    </row>
    <row r="184" spans="2:38" ht="54" hidden="1">
      <c r="B184" s="144">
        <f t="shared" si="2"/>
        <v>181</v>
      </c>
      <c r="C184" s="148" t="s">
        <v>3732</v>
      </c>
      <c r="D184" s="148"/>
      <c r="E184" s="148"/>
      <c r="F184" s="148"/>
      <c r="G184" s="148"/>
      <c r="H184" s="148"/>
      <c r="I184" s="148"/>
      <c r="J184" s="148"/>
      <c r="K184" s="165" t="s">
        <v>3661</v>
      </c>
      <c r="L184" s="165" t="s">
        <v>3657</v>
      </c>
      <c r="M184" s="165"/>
      <c r="N184" s="165"/>
      <c r="O184" s="165" t="s">
        <v>678</v>
      </c>
      <c r="P184" s="165" t="s">
        <v>678</v>
      </c>
      <c r="Q184" s="126" t="s">
        <v>679</v>
      </c>
      <c r="R184" s="40" t="s">
        <v>680</v>
      </c>
      <c r="S184" s="40"/>
      <c r="T184" s="40" t="s">
        <v>139</v>
      </c>
      <c r="U184" s="41" t="s">
        <v>139</v>
      </c>
      <c r="V184" s="41" t="s">
        <v>139</v>
      </c>
      <c r="W184" s="41" t="s">
        <v>139</v>
      </c>
      <c r="X184" s="41" t="s">
        <v>681</v>
      </c>
      <c r="Y184" s="41" t="s">
        <v>139</v>
      </c>
      <c r="Z184" s="43" t="s">
        <v>139</v>
      </c>
      <c r="AA184" s="41" t="s">
        <v>139</v>
      </c>
      <c r="AB184" s="41" t="s">
        <v>139</v>
      </c>
      <c r="AC184" s="41" t="s">
        <v>682</v>
      </c>
      <c r="AD184" s="41" t="s">
        <v>139</v>
      </c>
      <c r="AE184" s="44"/>
      <c r="AF184" s="45"/>
      <c r="AG184" s="45"/>
      <c r="AH184" s="46"/>
      <c r="AI184" s="45"/>
      <c r="AJ184" s="45"/>
      <c r="AK184" s="45"/>
      <c r="AL184" s="3" t="s">
        <v>1582</v>
      </c>
    </row>
    <row r="185" spans="2:38" ht="40.5" hidden="1">
      <c r="B185" s="144">
        <f t="shared" si="2"/>
        <v>182</v>
      </c>
      <c r="C185" s="148" t="s">
        <v>3732</v>
      </c>
      <c r="D185" s="148"/>
      <c r="E185" s="148"/>
      <c r="F185" s="148"/>
      <c r="G185" s="148"/>
      <c r="H185" s="148"/>
      <c r="I185" s="148"/>
      <c r="J185" s="148"/>
      <c r="K185" s="165" t="s">
        <v>3661</v>
      </c>
      <c r="L185" s="165" t="s">
        <v>3657</v>
      </c>
      <c r="M185" s="165"/>
      <c r="N185" s="165"/>
      <c r="O185" s="165" t="s">
        <v>3530</v>
      </c>
      <c r="P185" s="165" t="s">
        <v>1945</v>
      </c>
      <c r="Q185" s="127" t="s">
        <v>3255</v>
      </c>
      <c r="R185" s="60" t="s">
        <v>1739</v>
      </c>
      <c r="S185" s="60"/>
      <c r="T185" s="60" t="s">
        <v>139</v>
      </c>
      <c r="U185" s="48" t="s">
        <v>139</v>
      </c>
      <c r="V185" s="48" t="s">
        <v>139</v>
      </c>
      <c r="W185" s="79" t="s">
        <v>1740</v>
      </c>
      <c r="X185" s="48" t="s">
        <v>139</v>
      </c>
      <c r="Y185" s="48" t="s">
        <v>139</v>
      </c>
      <c r="Z185" s="50" t="s">
        <v>139</v>
      </c>
      <c r="AA185" s="48" t="s">
        <v>139</v>
      </c>
      <c r="AB185" s="79" t="s">
        <v>1125</v>
      </c>
      <c r="AC185" s="48" t="s">
        <v>139</v>
      </c>
      <c r="AD185" s="48" t="s">
        <v>139</v>
      </c>
      <c r="AE185" s="44"/>
      <c r="AF185" s="45"/>
      <c r="AG185" s="45"/>
      <c r="AH185" s="46"/>
      <c r="AI185" s="45"/>
      <c r="AJ185" s="45"/>
      <c r="AK185" s="45"/>
      <c r="AL185" s="3" t="s">
        <v>1582</v>
      </c>
    </row>
    <row r="186" spans="2:38" ht="27" hidden="1">
      <c r="B186" s="144">
        <f t="shared" si="2"/>
        <v>183</v>
      </c>
      <c r="C186" s="148" t="s">
        <v>3732</v>
      </c>
      <c r="D186" s="148"/>
      <c r="E186" s="148"/>
      <c r="F186" s="148"/>
      <c r="G186" s="148"/>
      <c r="H186" s="148"/>
      <c r="I186" s="148"/>
      <c r="J186" s="148"/>
      <c r="K186" s="165" t="s">
        <v>3661</v>
      </c>
      <c r="L186" s="165" t="s">
        <v>3657</v>
      </c>
      <c r="M186" s="165"/>
      <c r="N186" s="165"/>
      <c r="O186" s="165" t="s">
        <v>3531</v>
      </c>
      <c r="P186" s="165" t="s">
        <v>3256</v>
      </c>
      <c r="Q186" s="126" t="s">
        <v>3254</v>
      </c>
      <c r="R186" s="40" t="s">
        <v>944</v>
      </c>
      <c r="S186" s="40" t="s">
        <v>945</v>
      </c>
      <c r="T186" s="40" t="s">
        <v>2078</v>
      </c>
      <c r="U186" s="41" t="s">
        <v>139</v>
      </c>
      <c r="V186" s="41" t="s">
        <v>139</v>
      </c>
      <c r="W186" s="41" t="s">
        <v>139</v>
      </c>
      <c r="X186" s="41" t="s">
        <v>946</v>
      </c>
      <c r="Y186" s="41" t="s">
        <v>139</v>
      </c>
      <c r="Z186" s="43" t="s">
        <v>139</v>
      </c>
      <c r="AA186" s="41" t="s">
        <v>139</v>
      </c>
      <c r="AB186" s="41" t="s">
        <v>139</v>
      </c>
      <c r="AC186" s="41" t="s">
        <v>943</v>
      </c>
      <c r="AD186" s="41" t="s">
        <v>139</v>
      </c>
      <c r="AE186" s="44"/>
      <c r="AF186" s="45"/>
      <c r="AG186" s="45"/>
      <c r="AH186" s="46"/>
      <c r="AI186" s="45"/>
      <c r="AJ186" s="45"/>
      <c r="AK186" s="45"/>
      <c r="AL186" s="3" t="s">
        <v>1582</v>
      </c>
    </row>
    <row r="187" spans="2:38" hidden="1">
      <c r="B187" s="144">
        <f t="shared" si="2"/>
        <v>184</v>
      </c>
      <c r="C187" s="148" t="s">
        <v>3732</v>
      </c>
      <c r="D187" s="148"/>
      <c r="E187" s="148"/>
      <c r="F187" s="148"/>
      <c r="G187" s="148"/>
      <c r="H187" s="148"/>
      <c r="I187" s="148"/>
      <c r="J187" s="148"/>
      <c r="K187" s="165" t="s">
        <v>3661</v>
      </c>
      <c r="L187" s="165" t="s">
        <v>3657</v>
      </c>
      <c r="M187" s="165"/>
      <c r="N187" s="165"/>
      <c r="O187" s="165" t="s">
        <v>1835</v>
      </c>
      <c r="P187" s="165" t="s">
        <v>1835</v>
      </c>
      <c r="Q187" s="127" t="s">
        <v>1813</v>
      </c>
      <c r="R187" s="60" t="s">
        <v>1836</v>
      </c>
      <c r="S187" s="60"/>
      <c r="T187" s="60" t="s">
        <v>139</v>
      </c>
      <c r="U187" s="48" t="s">
        <v>139</v>
      </c>
      <c r="V187" s="48" t="s">
        <v>139</v>
      </c>
      <c r="W187" s="79" t="s">
        <v>1837</v>
      </c>
      <c r="X187" s="48" t="s">
        <v>139</v>
      </c>
      <c r="Y187" s="48" t="s">
        <v>139</v>
      </c>
      <c r="Z187" s="50" t="s">
        <v>139</v>
      </c>
      <c r="AA187" s="48" t="s">
        <v>139</v>
      </c>
      <c r="AB187" s="79" t="s">
        <v>1125</v>
      </c>
      <c r="AC187" s="48" t="s">
        <v>139</v>
      </c>
      <c r="AD187" s="48" t="s">
        <v>139</v>
      </c>
      <c r="AE187" s="44"/>
      <c r="AF187" s="45"/>
      <c r="AG187" s="45"/>
      <c r="AH187" s="46"/>
      <c r="AI187" s="45"/>
      <c r="AJ187" s="45"/>
      <c r="AK187" s="45"/>
      <c r="AL187" s="3" t="s">
        <v>1582</v>
      </c>
    </row>
    <row r="188" spans="2:38" ht="27" hidden="1">
      <c r="B188" s="144">
        <f t="shared" si="2"/>
        <v>185</v>
      </c>
      <c r="C188" s="148" t="s">
        <v>3732</v>
      </c>
      <c r="D188" s="148"/>
      <c r="E188" s="148"/>
      <c r="F188" s="148"/>
      <c r="G188" s="148"/>
      <c r="H188" s="148"/>
      <c r="I188" s="148"/>
      <c r="J188" s="148"/>
      <c r="K188" s="165" t="s">
        <v>3661</v>
      </c>
      <c r="L188" s="165" t="s">
        <v>3657</v>
      </c>
      <c r="M188" s="165"/>
      <c r="N188" s="165"/>
      <c r="O188" s="165" t="s">
        <v>1129</v>
      </c>
      <c r="P188" s="165" t="s">
        <v>1129</v>
      </c>
      <c r="Q188" s="126" t="s">
        <v>139</v>
      </c>
      <c r="R188" s="40" t="s">
        <v>1614</v>
      </c>
      <c r="S188" s="40"/>
      <c r="T188" s="40" t="s">
        <v>139</v>
      </c>
      <c r="U188" s="41" t="s">
        <v>139</v>
      </c>
      <c r="V188" s="41" t="s">
        <v>139</v>
      </c>
      <c r="W188" s="41" t="s">
        <v>1130</v>
      </c>
      <c r="X188" s="41" t="s">
        <v>139</v>
      </c>
      <c r="Y188" s="41" t="s">
        <v>139</v>
      </c>
      <c r="Z188" s="43" t="s">
        <v>139</v>
      </c>
      <c r="AA188" s="41" t="s">
        <v>139</v>
      </c>
      <c r="AB188" s="41" t="s">
        <v>1125</v>
      </c>
      <c r="AC188" s="41" t="s">
        <v>139</v>
      </c>
      <c r="AD188" s="41" t="s">
        <v>139</v>
      </c>
      <c r="AE188" s="44"/>
      <c r="AF188" s="45"/>
      <c r="AG188" s="45"/>
      <c r="AH188" s="46"/>
      <c r="AI188" s="45"/>
      <c r="AJ188" s="45"/>
      <c r="AK188" s="45"/>
      <c r="AL188" s="3" t="s">
        <v>1582</v>
      </c>
    </row>
    <row r="189" spans="2:38" ht="27" hidden="1">
      <c r="B189" s="144">
        <f t="shared" si="2"/>
        <v>186</v>
      </c>
      <c r="C189" s="148" t="s">
        <v>3732</v>
      </c>
      <c r="D189" s="148"/>
      <c r="E189" s="148"/>
      <c r="F189" s="148"/>
      <c r="G189" s="148"/>
      <c r="H189" s="148"/>
      <c r="I189" s="148"/>
      <c r="J189" s="148"/>
      <c r="K189" s="165" t="s">
        <v>3661</v>
      </c>
      <c r="L189" s="165" t="s">
        <v>3657</v>
      </c>
      <c r="M189" s="165"/>
      <c r="N189" s="165"/>
      <c r="O189" s="165" t="s">
        <v>1838</v>
      </c>
      <c r="P189" s="165" t="s">
        <v>1838</v>
      </c>
      <c r="Q189" s="127" t="s">
        <v>1839</v>
      </c>
      <c r="R189" s="60" t="s">
        <v>1840</v>
      </c>
      <c r="S189" s="60"/>
      <c r="T189" s="60" t="s">
        <v>139</v>
      </c>
      <c r="U189" s="48" t="s">
        <v>139</v>
      </c>
      <c r="V189" s="48" t="s">
        <v>139</v>
      </c>
      <c r="W189" s="79" t="s">
        <v>1841</v>
      </c>
      <c r="X189" s="48" t="s">
        <v>139</v>
      </c>
      <c r="Y189" s="48" t="s">
        <v>139</v>
      </c>
      <c r="Z189" s="50" t="s">
        <v>139</v>
      </c>
      <c r="AA189" s="48" t="s">
        <v>139</v>
      </c>
      <c r="AB189" s="79" t="s">
        <v>1125</v>
      </c>
      <c r="AC189" s="48" t="s">
        <v>139</v>
      </c>
      <c r="AD189" s="48" t="s">
        <v>139</v>
      </c>
      <c r="AE189" s="44"/>
      <c r="AF189" s="45"/>
      <c r="AG189" s="45"/>
      <c r="AH189" s="46"/>
      <c r="AI189" s="45"/>
      <c r="AJ189" s="45"/>
      <c r="AK189" s="45"/>
      <c r="AL189" s="3" t="s">
        <v>1582</v>
      </c>
    </row>
    <row r="190" spans="2:38" ht="40.5" hidden="1">
      <c r="B190" s="144">
        <f t="shared" si="2"/>
        <v>187</v>
      </c>
      <c r="C190" s="148" t="s">
        <v>3732</v>
      </c>
      <c r="D190" s="148"/>
      <c r="E190" s="148"/>
      <c r="F190" s="148"/>
      <c r="G190" s="148"/>
      <c r="H190" s="148"/>
      <c r="I190" s="148"/>
      <c r="J190" s="148"/>
      <c r="K190" s="165" t="s">
        <v>3661</v>
      </c>
      <c r="L190" s="165" t="s">
        <v>3657</v>
      </c>
      <c r="M190" s="165"/>
      <c r="N190" s="165"/>
      <c r="O190" s="165" t="s">
        <v>1730</v>
      </c>
      <c r="P190" s="165" t="s">
        <v>1730</v>
      </c>
      <c r="Q190" s="127" t="s">
        <v>139</v>
      </c>
      <c r="R190" s="60" t="s">
        <v>1731</v>
      </c>
      <c r="S190" s="60"/>
      <c r="T190" s="60" t="s">
        <v>139</v>
      </c>
      <c r="U190" s="48" t="s">
        <v>139</v>
      </c>
      <c r="V190" s="48" t="s">
        <v>139</v>
      </c>
      <c r="W190" s="79" t="s">
        <v>1732</v>
      </c>
      <c r="X190" s="48" t="s">
        <v>139</v>
      </c>
      <c r="Y190" s="48" t="s">
        <v>139</v>
      </c>
      <c r="Z190" s="50" t="s">
        <v>139</v>
      </c>
      <c r="AA190" s="48" t="s">
        <v>139</v>
      </c>
      <c r="AB190" s="79" t="s">
        <v>1125</v>
      </c>
      <c r="AC190" s="48" t="s">
        <v>139</v>
      </c>
      <c r="AD190" s="48" t="s">
        <v>139</v>
      </c>
      <c r="AE190" s="44"/>
      <c r="AF190" s="45"/>
      <c r="AG190" s="45"/>
      <c r="AH190" s="46"/>
      <c r="AI190" s="45"/>
      <c r="AJ190" s="45"/>
      <c r="AK190" s="45"/>
      <c r="AL190" s="3" t="s">
        <v>1582</v>
      </c>
    </row>
    <row r="191" spans="2:38" ht="27" hidden="1">
      <c r="B191" s="144">
        <f t="shared" si="2"/>
        <v>188</v>
      </c>
      <c r="C191" s="148" t="s">
        <v>3732</v>
      </c>
      <c r="D191" s="148"/>
      <c r="E191" s="148"/>
      <c r="F191" s="148"/>
      <c r="G191" s="148"/>
      <c r="H191" s="148"/>
      <c r="I191" s="148"/>
      <c r="J191" s="148"/>
      <c r="K191" s="165" t="s">
        <v>3661</v>
      </c>
      <c r="L191" s="165" t="s">
        <v>3657</v>
      </c>
      <c r="M191" s="165"/>
      <c r="N191" s="165"/>
      <c r="O191" s="165" t="s">
        <v>408</v>
      </c>
      <c r="P191" s="165" t="s">
        <v>3263</v>
      </c>
      <c r="Q191" s="126" t="s">
        <v>2140</v>
      </c>
      <c r="R191" s="40" t="s">
        <v>2141</v>
      </c>
      <c r="S191" s="40"/>
      <c r="T191" s="40"/>
      <c r="U191" s="41" t="s">
        <v>139</v>
      </c>
      <c r="V191" s="41" t="s">
        <v>139</v>
      </c>
      <c r="W191" s="41" t="s">
        <v>139</v>
      </c>
      <c r="X191" s="41" t="s">
        <v>2173</v>
      </c>
      <c r="Y191" s="41" t="s">
        <v>139</v>
      </c>
      <c r="Z191" s="43" t="s">
        <v>139</v>
      </c>
      <c r="AA191" s="41" t="s">
        <v>139</v>
      </c>
      <c r="AB191" s="41" t="s">
        <v>139</v>
      </c>
      <c r="AC191" s="41" t="s">
        <v>2172</v>
      </c>
      <c r="AD191" s="41" t="s">
        <v>139</v>
      </c>
      <c r="AE191" s="44"/>
      <c r="AF191" s="45"/>
      <c r="AG191" s="45"/>
      <c r="AH191" s="46"/>
      <c r="AI191" s="45"/>
      <c r="AJ191" s="45"/>
      <c r="AK191" s="45"/>
      <c r="AL191" s="3" t="s">
        <v>1582</v>
      </c>
    </row>
    <row r="192" spans="2:38" ht="27" hidden="1">
      <c r="B192" s="144">
        <f t="shared" si="2"/>
        <v>189</v>
      </c>
      <c r="C192" s="148" t="s">
        <v>3732</v>
      </c>
      <c r="D192" s="148"/>
      <c r="E192" s="148"/>
      <c r="F192" s="148"/>
      <c r="G192" s="148"/>
      <c r="H192" s="148"/>
      <c r="I192" s="148"/>
      <c r="J192" s="148"/>
      <c r="K192" s="165" t="s">
        <v>3661</v>
      </c>
      <c r="L192" s="165" t="s">
        <v>3657</v>
      </c>
      <c r="M192" s="165"/>
      <c r="N192" s="165"/>
      <c r="O192" s="165" t="s">
        <v>3532</v>
      </c>
      <c r="P192" s="165" t="s">
        <v>1961</v>
      </c>
      <c r="Q192" s="127" t="s">
        <v>1799</v>
      </c>
      <c r="R192" s="60" t="s">
        <v>1800</v>
      </c>
      <c r="S192" s="60"/>
      <c r="T192" s="60" t="s">
        <v>139</v>
      </c>
      <c r="U192" s="48" t="s">
        <v>139</v>
      </c>
      <c r="V192" s="48" t="s">
        <v>139</v>
      </c>
      <c r="W192" s="79" t="s">
        <v>1801</v>
      </c>
      <c r="X192" s="48" t="s">
        <v>139</v>
      </c>
      <c r="Y192" s="48" t="s">
        <v>139</v>
      </c>
      <c r="Z192" s="50" t="s">
        <v>139</v>
      </c>
      <c r="AA192" s="48" t="s">
        <v>139</v>
      </c>
      <c r="AB192" s="79" t="s">
        <v>1125</v>
      </c>
      <c r="AC192" s="48" t="s">
        <v>139</v>
      </c>
      <c r="AD192" s="48" t="s">
        <v>139</v>
      </c>
      <c r="AE192" s="44"/>
      <c r="AF192" s="45"/>
      <c r="AG192" s="45"/>
      <c r="AH192" s="46"/>
      <c r="AI192" s="45"/>
      <c r="AJ192" s="45"/>
      <c r="AK192" s="45"/>
      <c r="AL192" s="3" t="s">
        <v>1582</v>
      </c>
    </row>
    <row r="193" spans="2:38" ht="27" hidden="1">
      <c r="B193" s="144">
        <f t="shared" si="2"/>
        <v>190</v>
      </c>
      <c r="C193" s="148" t="s">
        <v>3732</v>
      </c>
      <c r="D193" s="148"/>
      <c r="E193" s="148"/>
      <c r="F193" s="148"/>
      <c r="G193" s="148"/>
      <c r="H193" s="148"/>
      <c r="I193" s="148"/>
      <c r="J193" s="148"/>
      <c r="K193" s="165" t="s">
        <v>3661</v>
      </c>
      <c r="L193" s="165" t="s">
        <v>3657</v>
      </c>
      <c r="M193" s="165"/>
      <c r="N193" s="165"/>
      <c r="O193" s="165" t="s">
        <v>1784</v>
      </c>
      <c r="P193" s="165" t="s">
        <v>1784</v>
      </c>
      <c r="Q193" s="127" t="s">
        <v>139</v>
      </c>
      <c r="R193" s="60" t="s">
        <v>1785</v>
      </c>
      <c r="S193" s="60"/>
      <c r="T193" s="60" t="s">
        <v>139</v>
      </c>
      <c r="U193" s="48" t="s">
        <v>139</v>
      </c>
      <c r="V193" s="48" t="s">
        <v>139</v>
      </c>
      <c r="W193" s="79" t="s">
        <v>1786</v>
      </c>
      <c r="X193" s="48" t="s">
        <v>139</v>
      </c>
      <c r="Y193" s="48" t="s">
        <v>139</v>
      </c>
      <c r="Z193" s="75" t="s">
        <v>139</v>
      </c>
      <c r="AA193" s="48" t="s">
        <v>139</v>
      </c>
      <c r="AB193" s="79" t="s">
        <v>1125</v>
      </c>
      <c r="AC193" s="48" t="s">
        <v>139</v>
      </c>
      <c r="AD193" s="48" t="s">
        <v>139</v>
      </c>
      <c r="AE193" s="44"/>
      <c r="AF193" s="45"/>
      <c r="AG193" s="45"/>
      <c r="AH193" s="46"/>
      <c r="AI193" s="45"/>
      <c r="AJ193" s="45"/>
      <c r="AK193" s="45"/>
      <c r="AL193" s="3" t="s">
        <v>1582</v>
      </c>
    </row>
    <row r="194" spans="2:38" ht="27" hidden="1">
      <c r="B194" s="144">
        <f t="shared" si="2"/>
        <v>191</v>
      </c>
      <c r="C194" s="148" t="s">
        <v>3732</v>
      </c>
      <c r="D194" s="148"/>
      <c r="E194" s="148"/>
      <c r="F194" s="148"/>
      <c r="G194" s="148"/>
      <c r="H194" s="148"/>
      <c r="I194" s="148"/>
      <c r="J194" s="148"/>
      <c r="K194" s="165" t="s">
        <v>3661</v>
      </c>
      <c r="L194" s="165" t="s">
        <v>3657</v>
      </c>
      <c r="M194" s="165"/>
      <c r="N194" s="165"/>
      <c r="O194" s="165" t="s">
        <v>1067</v>
      </c>
      <c r="P194" s="165" t="s">
        <v>1067</v>
      </c>
      <c r="Q194" s="126" t="s">
        <v>139</v>
      </c>
      <c r="R194" s="40" t="s">
        <v>1068</v>
      </c>
      <c r="S194" s="40"/>
      <c r="T194" s="40" t="s">
        <v>139</v>
      </c>
      <c r="U194" s="41" t="s">
        <v>139</v>
      </c>
      <c r="V194" s="41" t="s">
        <v>139</v>
      </c>
      <c r="W194" s="41" t="s">
        <v>139</v>
      </c>
      <c r="X194" s="41" t="s">
        <v>139</v>
      </c>
      <c r="Y194" s="41" t="s">
        <v>1069</v>
      </c>
      <c r="Z194" s="74" t="s">
        <v>139</v>
      </c>
      <c r="AA194" s="41" t="s">
        <v>139</v>
      </c>
      <c r="AB194" s="41" t="s">
        <v>139</v>
      </c>
      <c r="AC194" s="41" t="s">
        <v>139</v>
      </c>
      <c r="AD194" s="41" t="s">
        <v>614</v>
      </c>
      <c r="AE194" s="44"/>
      <c r="AF194" s="45"/>
      <c r="AG194" s="45"/>
      <c r="AH194" s="46"/>
      <c r="AI194" s="45"/>
      <c r="AJ194" s="45"/>
      <c r="AK194" s="45"/>
      <c r="AL194" s="3" t="s">
        <v>1582</v>
      </c>
    </row>
    <row r="195" spans="2:38" ht="27" hidden="1">
      <c r="B195" s="144">
        <f t="shared" si="2"/>
        <v>192</v>
      </c>
      <c r="C195" s="148" t="s">
        <v>3732</v>
      </c>
      <c r="D195" s="148"/>
      <c r="E195" s="148"/>
      <c r="F195" s="148"/>
      <c r="G195" s="148"/>
      <c r="H195" s="148"/>
      <c r="I195" s="148"/>
      <c r="J195" s="148"/>
      <c r="K195" s="165" t="s">
        <v>3661</v>
      </c>
      <c r="L195" s="165" t="s">
        <v>3657</v>
      </c>
      <c r="M195" s="165"/>
      <c r="N195" s="165"/>
      <c r="O195" s="165" t="s">
        <v>3533</v>
      </c>
      <c r="P195" s="165" t="s">
        <v>1941</v>
      </c>
      <c r="Q195" s="126" t="s">
        <v>1637</v>
      </c>
      <c r="R195" s="40" t="s">
        <v>1943</v>
      </c>
      <c r="S195" s="40"/>
      <c r="T195" s="41" t="s">
        <v>1637</v>
      </c>
      <c r="U195" s="41" t="s">
        <v>139</v>
      </c>
      <c r="V195" s="41" t="s">
        <v>139</v>
      </c>
      <c r="W195" s="41" t="s">
        <v>1123</v>
      </c>
      <c r="X195" s="41" t="s">
        <v>139</v>
      </c>
      <c r="Y195" s="41" t="s">
        <v>139</v>
      </c>
      <c r="Z195" s="74" t="s">
        <v>139</v>
      </c>
      <c r="AA195" s="41" t="s">
        <v>139</v>
      </c>
      <c r="AB195" s="41" t="s">
        <v>1076</v>
      </c>
      <c r="AC195" s="41" t="s">
        <v>139</v>
      </c>
      <c r="AD195" s="41" t="s">
        <v>139</v>
      </c>
      <c r="AE195" s="44"/>
      <c r="AF195" s="45"/>
      <c r="AG195" s="45"/>
      <c r="AH195" s="46"/>
      <c r="AI195" s="45"/>
      <c r="AJ195" s="45"/>
      <c r="AK195" s="45"/>
      <c r="AL195" s="3" t="s">
        <v>1582</v>
      </c>
    </row>
    <row r="196" spans="2:38" ht="27" hidden="1">
      <c r="B196" s="144">
        <f t="shared" si="2"/>
        <v>193</v>
      </c>
      <c r="C196" s="148" t="s">
        <v>3732</v>
      </c>
      <c r="D196" s="148"/>
      <c r="E196" s="148"/>
      <c r="F196" s="148"/>
      <c r="G196" s="148"/>
      <c r="H196" s="148"/>
      <c r="I196" s="148"/>
      <c r="J196" s="148"/>
      <c r="K196" s="165" t="s">
        <v>3661</v>
      </c>
      <c r="L196" s="165" t="s">
        <v>3657</v>
      </c>
      <c r="M196" s="165"/>
      <c r="N196" s="165"/>
      <c r="O196" s="165" t="s">
        <v>3534</v>
      </c>
      <c r="P196" s="165" t="s">
        <v>1942</v>
      </c>
      <c r="Q196" s="126" t="s">
        <v>1637</v>
      </c>
      <c r="R196" s="40" t="s">
        <v>2105</v>
      </c>
      <c r="S196" s="40"/>
      <c r="T196" s="41" t="s">
        <v>1637</v>
      </c>
      <c r="U196" s="41" t="s">
        <v>139</v>
      </c>
      <c r="V196" s="41" t="s">
        <v>139</v>
      </c>
      <c r="W196" s="41" t="s">
        <v>1123</v>
      </c>
      <c r="X196" s="41" t="s">
        <v>139</v>
      </c>
      <c r="Y196" s="41" t="s">
        <v>139</v>
      </c>
      <c r="Z196" s="74" t="s">
        <v>139</v>
      </c>
      <c r="AA196" s="41" t="s">
        <v>139</v>
      </c>
      <c r="AB196" s="41" t="s">
        <v>1076</v>
      </c>
      <c r="AC196" s="41" t="s">
        <v>139</v>
      </c>
      <c r="AD196" s="41" t="s">
        <v>139</v>
      </c>
      <c r="AE196" s="44"/>
      <c r="AF196" s="45"/>
      <c r="AG196" s="45"/>
      <c r="AH196" s="46"/>
      <c r="AI196" s="45"/>
      <c r="AJ196" s="45"/>
      <c r="AK196" s="45"/>
      <c r="AL196" s="3" t="s">
        <v>1582</v>
      </c>
    </row>
    <row r="197" spans="2:38" ht="27" hidden="1">
      <c r="B197" s="144">
        <f t="shared" ref="B197:B260" si="3">ROW()-3</f>
        <v>194</v>
      </c>
      <c r="C197" s="148" t="s">
        <v>3732</v>
      </c>
      <c r="D197" s="148"/>
      <c r="E197" s="148"/>
      <c r="F197" s="148"/>
      <c r="G197" s="148"/>
      <c r="H197" s="148"/>
      <c r="I197" s="148"/>
      <c r="J197" s="148"/>
      <c r="K197" s="165" t="s">
        <v>3661</v>
      </c>
      <c r="L197" s="165" t="s">
        <v>3657</v>
      </c>
      <c r="M197" s="165"/>
      <c r="N197" s="165"/>
      <c r="O197" s="165" t="s">
        <v>3535</v>
      </c>
      <c r="P197" s="165" t="s">
        <v>1935</v>
      </c>
      <c r="Q197" s="126" t="s">
        <v>1637</v>
      </c>
      <c r="R197" s="40" t="s">
        <v>1937</v>
      </c>
      <c r="S197" s="40"/>
      <c r="T197" s="40" t="s">
        <v>139</v>
      </c>
      <c r="U197" s="41" t="s">
        <v>139</v>
      </c>
      <c r="V197" s="41" t="s">
        <v>139</v>
      </c>
      <c r="W197" s="41" t="s">
        <v>1124</v>
      </c>
      <c r="X197" s="41" t="s">
        <v>139</v>
      </c>
      <c r="Y197" s="41" t="s">
        <v>139</v>
      </c>
      <c r="Z197" s="43" t="s">
        <v>139</v>
      </c>
      <c r="AA197" s="41" t="s">
        <v>139</v>
      </c>
      <c r="AB197" s="41" t="s">
        <v>1125</v>
      </c>
      <c r="AC197" s="41" t="s">
        <v>139</v>
      </c>
      <c r="AD197" s="41" t="s">
        <v>139</v>
      </c>
      <c r="AE197" s="44"/>
      <c r="AF197" s="45"/>
      <c r="AG197" s="45"/>
      <c r="AH197" s="46"/>
      <c r="AI197" s="45"/>
      <c r="AJ197" s="45"/>
      <c r="AK197" s="45"/>
      <c r="AL197" s="3" t="s">
        <v>1582</v>
      </c>
    </row>
    <row r="198" spans="2:38" hidden="1">
      <c r="B198" s="144">
        <f t="shared" si="3"/>
        <v>195</v>
      </c>
      <c r="C198" s="148" t="s">
        <v>3732</v>
      </c>
      <c r="D198" s="148"/>
      <c r="E198" s="148"/>
      <c r="F198" s="148"/>
      <c r="G198" s="148"/>
      <c r="H198" s="148"/>
      <c r="I198" s="148"/>
      <c r="J198" s="148"/>
      <c r="K198" s="165" t="s">
        <v>3661</v>
      </c>
      <c r="L198" s="165" t="s">
        <v>3657</v>
      </c>
      <c r="M198" s="165"/>
      <c r="N198" s="165"/>
      <c r="O198" s="165" t="s">
        <v>3536</v>
      </c>
      <c r="P198" s="165" t="s">
        <v>2120</v>
      </c>
      <c r="Q198" s="126" t="s">
        <v>1637</v>
      </c>
      <c r="R198" s="47" t="s">
        <v>2121</v>
      </c>
      <c r="S198" s="62"/>
      <c r="T198" s="41" t="s">
        <v>1637</v>
      </c>
      <c r="U198" s="41" t="s">
        <v>139</v>
      </c>
      <c r="V198" s="41" t="s">
        <v>139</v>
      </c>
      <c r="W198" s="41" t="s">
        <v>139</v>
      </c>
      <c r="X198" s="41" t="s">
        <v>2123</v>
      </c>
      <c r="Y198" s="41" t="s">
        <v>139</v>
      </c>
      <c r="Z198" s="43" t="s">
        <v>139</v>
      </c>
      <c r="AA198" s="41" t="s">
        <v>139</v>
      </c>
      <c r="AB198" s="41" t="s">
        <v>139</v>
      </c>
      <c r="AC198" s="41" t="s">
        <v>711</v>
      </c>
      <c r="AD198" s="41" t="s">
        <v>139</v>
      </c>
      <c r="AE198" s="44"/>
      <c r="AF198" s="45"/>
      <c r="AG198" s="45"/>
      <c r="AH198" s="46"/>
      <c r="AI198" s="45"/>
      <c r="AJ198" s="45"/>
      <c r="AK198" s="45"/>
      <c r="AL198" s="3" t="s">
        <v>1582</v>
      </c>
    </row>
    <row r="199" spans="2:38" ht="27" hidden="1">
      <c r="B199" s="144">
        <f t="shared" si="3"/>
        <v>196</v>
      </c>
      <c r="C199" s="148" t="s">
        <v>3732</v>
      </c>
      <c r="D199" s="148"/>
      <c r="E199" s="148"/>
      <c r="F199" s="148"/>
      <c r="G199" s="148"/>
      <c r="H199" s="148"/>
      <c r="I199" s="148"/>
      <c r="J199" s="148"/>
      <c r="K199" s="165" t="s">
        <v>3661</v>
      </c>
      <c r="L199" s="165" t="s">
        <v>3657</v>
      </c>
      <c r="M199" s="165"/>
      <c r="N199" s="165"/>
      <c r="O199" s="165" t="s">
        <v>1870</v>
      </c>
      <c r="P199" s="165" t="s">
        <v>1870</v>
      </c>
      <c r="Q199" s="127" t="s">
        <v>139</v>
      </c>
      <c r="R199" s="60" t="s">
        <v>1871</v>
      </c>
      <c r="S199" s="60"/>
      <c r="T199" s="60" t="s">
        <v>139</v>
      </c>
      <c r="U199" s="48" t="s">
        <v>139</v>
      </c>
      <c r="V199" s="48" t="s">
        <v>139</v>
      </c>
      <c r="W199" s="79" t="s">
        <v>1872</v>
      </c>
      <c r="X199" s="48" t="s">
        <v>139</v>
      </c>
      <c r="Y199" s="48" t="s">
        <v>139</v>
      </c>
      <c r="Z199" s="50" t="s">
        <v>139</v>
      </c>
      <c r="AA199" s="48" t="s">
        <v>139</v>
      </c>
      <c r="AB199" s="79" t="s">
        <v>1125</v>
      </c>
      <c r="AC199" s="48" t="s">
        <v>139</v>
      </c>
      <c r="AD199" s="48" t="s">
        <v>139</v>
      </c>
      <c r="AE199" s="44"/>
      <c r="AF199" s="45"/>
      <c r="AG199" s="45"/>
      <c r="AH199" s="46"/>
      <c r="AI199" s="45"/>
      <c r="AJ199" s="45"/>
      <c r="AK199" s="45"/>
      <c r="AL199" s="3" t="s">
        <v>1582</v>
      </c>
    </row>
    <row r="200" spans="2:38" ht="81" hidden="1">
      <c r="B200" s="144">
        <f t="shared" si="3"/>
        <v>197</v>
      </c>
      <c r="C200" s="148" t="s">
        <v>3732</v>
      </c>
      <c r="D200" s="148"/>
      <c r="E200" s="148"/>
      <c r="F200" s="148"/>
      <c r="G200" s="148"/>
      <c r="H200" s="148"/>
      <c r="I200" s="148"/>
      <c r="J200" s="148"/>
      <c r="K200" s="165" t="s">
        <v>3661</v>
      </c>
      <c r="L200" s="165" t="s">
        <v>3657</v>
      </c>
      <c r="M200" s="165"/>
      <c r="N200" s="165"/>
      <c r="O200" s="165" t="s">
        <v>3537</v>
      </c>
      <c r="P200" s="165" t="s">
        <v>2066</v>
      </c>
      <c r="Q200" s="126" t="s">
        <v>1637</v>
      </c>
      <c r="R200" s="40" t="s">
        <v>2069</v>
      </c>
      <c r="S200" s="40"/>
      <c r="T200" s="41" t="s">
        <v>1637</v>
      </c>
      <c r="U200" s="41" t="s">
        <v>139</v>
      </c>
      <c r="V200" s="41" t="s">
        <v>139</v>
      </c>
      <c r="W200" s="41" t="s">
        <v>139</v>
      </c>
      <c r="X200" s="41" t="s">
        <v>2071</v>
      </c>
      <c r="Y200" s="41" t="s">
        <v>139</v>
      </c>
      <c r="Z200" s="43" t="s">
        <v>139</v>
      </c>
      <c r="AA200" s="41" t="s">
        <v>139</v>
      </c>
      <c r="AB200" s="41" t="s">
        <v>139</v>
      </c>
      <c r="AC200" s="41" t="s">
        <v>2074</v>
      </c>
      <c r="AD200" s="41" t="s">
        <v>139</v>
      </c>
      <c r="AE200" s="44" t="s">
        <v>2070</v>
      </c>
      <c r="AF200" s="45"/>
      <c r="AG200" s="45"/>
      <c r="AH200" s="46"/>
      <c r="AI200" s="45"/>
      <c r="AJ200" s="45"/>
      <c r="AK200" s="45"/>
      <c r="AL200" s="3" t="s">
        <v>1582</v>
      </c>
    </row>
    <row r="201" spans="2:38" ht="40.5" hidden="1">
      <c r="B201" s="144">
        <f t="shared" si="3"/>
        <v>198</v>
      </c>
      <c r="C201" s="148" t="s">
        <v>3732</v>
      </c>
      <c r="D201" s="148"/>
      <c r="E201" s="148"/>
      <c r="F201" s="148"/>
      <c r="G201" s="148"/>
      <c r="H201" s="148"/>
      <c r="I201" s="148"/>
      <c r="J201" s="148"/>
      <c r="K201" s="165" t="s">
        <v>3661</v>
      </c>
      <c r="L201" s="165" t="s">
        <v>3657</v>
      </c>
      <c r="M201" s="165"/>
      <c r="N201" s="165"/>
      <c r="O201" s="165" t="s">
        <v>1131</v>
      </c>
      <c r="P201" s="165" t="s">
        <v>1131</v>
      </c>
      <c r="Q201" s="126" t="s">
        <v>139</v>
      </c>
      <c r="R201" s="40" t="s">
        <v>1615</v>
      </c>
      <c r="S201" s="40"/>
      <c r="T201" s="40" t="s">
        <v>139</v>
      </c>
      <c r="U201" s="41" t="s">
        <v>139</v>
      </c>
      <c r="V201" s="41" t="s">
        <v>139</v>
      </c>
      <c r="W201" s="41" t="s">
        <v>1132</v>
      </c>
      <c r="X201" s="41" t="s">
        <v>139</v>
      </c>
      <c r="Y201" s="41" t="s">
        <v>139</v>
      </c>
      <c r="Z201" s="43" t="s">
        <v>139</v>
      </c>
      <c r="AA201" s="41" t="s">
        <v>139</v>
      </c>
      <c r="AB201" s="41" t="s">
        <v>1125</v>
      </c>
      <c r="AC201" s="41" t="s">
        <v>139</v>
      </c>
      <c r="AD201" s="41" t="s">
        <v>139</v>
      </c>
      <c r="AE201" s="44"/>
      <c r="AF201" s="45"/>
      <c r="AG201" s="45"/>
      <c r="AH201" s="46"/>
      <c r="AI201" s="45"/>
      <c r="AJ201" s="45"/>
      <c r="AK201" s="45"/>
      <c r="AL201" s="3" t="s">
        <v>1582</v>
      </c>
    </row>
    <row r="202" spans="2:38" ht="27" hidden="1">
      <c r="B202" s="144">
        <f t="shared" si="3"/>
        <v>199</v>
      </c>
      <c r="C202" s="148" t="s">
        <v>3732</v>
      </c>
      <c r="D202" s="148"/>
      <c r="E202" s="148"/>
      <c r="F202" s="148"/>
      <c r="G202" s="148"/>
      <c r="H202" s="148"/>
      <c r="I202" s="148"/>
      <c r="J202" s="148"/>
      <c r="K202" s="165" t="s">
        <v>3661</v>
      </c>
      <c r="L202" s="165" t="s">
        <v>3657</v>
      </c>
      <c r="M202" s="165"/>
      <c r="N202" s="165"/>
      <c r="O202" s="165" t="s">
        <v>3538</v>
      </c>
      <c r="P202" s="165" t="s">
        <v>1934</v>
      </c>
      <c r="Q202" s="126" t="s">
        <v>1637</v>
      </c>
      <c r="R202" s="40" t="s">
        <v>1936</v>
      </c>
      <c r="S202" s="40"/>
      <c r="T202" s="40" t="s">
        <v>139</v>
      </c>
      <c r="U202" s="41" t="s">
        <v>139</v>
      </c>
      <c r="V202" s="41" t="s">
        <v>139</v>
      </c>
      <c r="W202" s="41" t="s">
        <v>1124</v>
      </c>
      <c r="X202" s="41" t="s">
        <v>139</v>
      </c>
      <c r="Y202" s="41" t="s">
        <v>139</v>
      </c>
      <c r="Z202" s="43" t="s">
        <v>139</v>
      </c>
      <c r="AA202" s="41" t="s">
        <v>139</v>
      </c>
      <c r="AB202" s="41" t="s">
        <v>1125</v>
      </c>
      <c r="AC202" s="41" t="s">
        <v>139</v>
      </c>
      <c r="AD202" s="41" t="s">
        <v>139</v>
      </c>
      <c r="AE202" s="44"/>
      <c r="AF202" s="45"/>
      <c r="AG202" s="45"/>
      <c r="AH202" s="46"/>
      <c r="AI202" s="45"/>
      <c r="AJ202" s="45"/>
      <c r="AK202" s="45"/>
      <c r="AL202" s="3" t="s">
        <v>1582</v>
      </c>
    </row>
    <row r="203" spans="2:38" ht="27" hidden="1">
      <c r="B203" s="144">
        <f t="shared" si="3"/>
        <v>200</v>
      </c>
      <c r="C203" s="148" t="s">
        <v>3732</v>
      </c>
      <c r="D203" s="148"/>
      <c r="E203" s="148"/>
      <c r="F203" s="148"/>
      <c r="G203" s="148"/>
      <c r="H203" s="148"/>
      <c r="I203" s="148"/>
      <c r="J203" s="148"/>
      <c r="K203" s="165" t="s">
        <v>3661</v>
      </c>
      <c r="L203" s="165" t="s">
        <v>3657</v>
      </c>
      <c r="M203" s="165"/>
      <c r="N203" s="165"/>
      <c r="O203" s="165" t="s">
        <v>1873</v>
      </c>
      <c r="P203" s="165" t="s">
        <v>1873</v>
      </c>
      <c r="Q203" s="127" t="s">
        <v>139</v>
      </c>
      <c r="R203" s="60" t="s">
        <v>1874</v>
      </c>
      <c r="S203" s="60"/>
      <c r="T203" s="60" t="s">
        <v>139</v>
      </c>
      <c r="U203" s="48" t="s">
        <v>139</v>
      </c>
      <c r="V203" s="48" t="s">
        <v>139</v>
      </c>
      <c r="W203" s="79" t="s">
        <v>1875</v>
      </c>
      <c r="X203" s="48" t="s">
        <v>139</v>
      </c>
      <c r="Y203" s="48" t="s">
        <v>139</v>
      </c>
      <c r="Z203" s="50" t="s">
        <v>139</v>
      </c>
      <c r="AA203" s="48" t="s">
        <v>139</v>
      </c>
      <c r="AB203" s="79" t="s">
        <v>1125</v>
      </c>
      <c r="AC203" s="48" t="s">
        <v>139</v>
      </c>
      <c r="AD203" s="48" t="s">
        <v>139</v>
      </c>
      <c r="AE203" s="44"/>
      <c r="AF203" s="45"/>
      <c r="AG203" s="45"/>
      <c r="AH203" s="46"/>
      <c r="AI203" s="45"/>
      <c r="AJ203" s="45"/>
      <c r="AK203" s="45"/>
      <c r="AL203" s="3" t="s">
        <v>1582</v>
      </c>
    </row>
    <row r="204" spans="2:38" ht="27" hidden="1">
      <c r="B204" s="144">
        <f t="shared" si="3"/>
        <v>201</v>
      </c>
      <c r="C204" s="148" t="s">
        <v>3732</v>
      </c>
      <c r="D204" s="148"/>
      <c r="E204" s="148"/>
      <c r="F204" s="148"/>
      <c r="G204" s="148"/>
      <c r="H204" s="148"/>
      <c r="I204" s="148"/>
      <c r="J204" s="148"/>
      <c r="K204" s="165" t="s">
        <v>3661</v>
      </c>
      <c r="L204" s="165" t="s">
        <v>3657</v>
      </c>
      <c r="M204" s="165"/>
      <c r="N204" s="165"/>
      <c r="O204" s="165" t="s">
        <v>1876</v>
      </c>
      <c r="P204" s="165" t="s">
        <v>1876</v>
      </c>
      <c r="Q204" s="127" t="s">
        <v>139</v>
      </c>
      <c r="R204" s="60" t="s">
        <v>1877</v>
      </c>
      <c r="S204" s="60"/>
      <c r="T204" s="60" t="s">
        <v>139</v>
      </c>
      <c r="U204" s="48" t="s">
        <v>139</v>
      </c>
      <c r="V204" s="48" t="s">
        <v>139</v>
      </c>
      <c r="W204" s="79" t="s">
        <v>1878</v>
      </c>
      <c r="X204" s="79" t="s">
        <v>139</v>
      </c>
      <c r="Y204" s="48" t="s">
        <v>139</v>
      </c>
      <c r="Z204" s="50" t="s">
        <v>139</v>
      </c>
      <c r="AA204" s="48" t="s">
        <v>139</v>
      </c>
      <c r="AB204" s="79" t="s">
        <v>1125</v>
      </c>
      <c r="AC204" s="48" t="s">
        <v>139</v>
      </c>
      <c r="AD204" s="48" t="s">
        <v>139</v>
      </c>
      <c r="AE204" s="44"/>
      <c r="AF204" s="45"/>
      <c r="AG204" s="45"/>
      <c r="AH204" s="46"/>
      <c r="AI204" s="45"/>
      <c r="AJ204" s="45"/>
      <c r="AK204" s="45"/>
      <c r="AL204" s="3" t="s">
        <v>1582</v>
      </c>
    </row>
    <row r="205" spans="2:38" ht="27" hidden="1">
      <c r="B205" s="144">
        <f t="shared" si="3"/>
        <v>202</v>
      </c>
      <c r="C205" s="148" t="s">
        <v>3732</v>
      </c>
      <c r="D205" s="148"/>
      <c r="E205" s="148"/>
      <c r="F205" s="148"/>
      <c r="G205" s="148"/>
      <c r="H205" s="148"/>
      <c r="I205" s="148"/>
      <c r="J205" s="148"/>
      <c r="K205" s="165" t="s">
        <v>3661</v>
      </c>
      <c r="L205" s="165" t="s">
        <v>3657</v>
      </c>
      <c r="M205" s="165"/>
      <c r="N205" s="165"/>
      <c r="O205" s="165" t="s">
        <v>1903</v>
      </c>
      <c r="P205" s="165" t="s">
        <v>1903</v>
      </c>
      <c r="Q205" s="127" t="s">
        <v>139</v>
      </c>
      <c r="R205" s="60" t="s">
        <v>1904</v>
      </c>
      <c r="S205" s="60"/>
      <c r="T205" s="60" t="s">
        <v>139</v>
      </c>
      <c r="U205" s="48" t="s">
        <v>139</v>
      </c>
      <c r="V205" s="48" t="s">
        <v>139</v>
      </c>
      <c r="W205" s="79" t="s">
        <v>1905</v>
      </c>
      <c r="X205" s="48" t="s">
        <v>139</v>
      </c>
      <c r="Y205" s="48" t="s">
        <v>139</v>
      </c>
      <c r="Z205" s="50" t="s">
        <v>139</v>
      </c>
      <c r="AA205" s="48" t="s">
        <v>139</v>
      </c>
      <c r="AB205" s="79" t="s">
        <v>1125</v>
      </c>
      <c r="AC205" s="48" t="s">
        <v>139</v>
      </c>
      <c r="AD205" s="48" t="s">
        <v>139</v>
      </c>
      <c r="AE205" s="44"/>
      <c r="AF205" s="45"/>
      <c r="AG205" s="45"/>
      <c r="AH205" s="46"/>
      <c r="AI205" s="45"/>
      <c r="AJ205" s="45"/>
      <c r="AK205" s="45"/>
      <c r="AL205" s="3" t="s">
        <v>1582</v>
      </c>
    </row>
    <row r="206" spans="2:38" hidden="1">
      <c r="B206" s="144">
        <f t="shared" si="3"/>
        <v>203</v>
      </c>
      <c r="C206" s="148" t="s">
        <v>3732</v>
      </c>
      <c r="D206" s="148"/>
      <c r="E206" s="148"/>
      <c r="F206" s="148"/>
      <c r="G206" s="148"/>
      <c r="H206" s="148"/>
      <c r="I206" s="148"/>
      <c r="J206" s="148"/>
      <c r="K206" s="165" t="s">
        <v>3661</v>
      </c>
      <c r="L206" s="165" t="s">
        <v>3657</v>
      </c>
      <c r="M206" s="165"/>
      <c r="N206" s="165"/>
      <c r="O206" s="165" t="s">
        <v>3539</v>
      </c>
      <c r="P206" s="165" t="s">
        <v>1946</v>
      </c>
      <c r="Q206" s="126" t="s">
        <v>1945</v>
      </c>
      <c r="R206" s="40" t="s">
        <v>3071</v>
      </c>
      <c r="S206" s="40"/>
      <c r="T206" s="40" t="s">
        <v>139</v>
      </c>
      <c r="U206" s="41" t="s">
        <v>139</v>
      </c>
      <c r="V206" s="41" t="s">
        <v>139</v>
      </c>
      <c r="W206" s="41" t="s">
        <v>1126</v>
      </c>
      <c r="X206" s="41" t="s">
        <v>139</v>
      </c>
      <c r="Y206" s="41" t="s">
        <v>139</v>
      </c>
      <c r="Z206" s="43" t="s">
        <v>139</v>
      </c>
      <c r="AA206" s="41" t="s">
        <v>139</v>
      </c>
      <c r="AB206" s="41" t="s">
        <v>1125</v>
      </c>
      <c r="AC206" s="41" t="s">
        <v>139</v>
      </c>
      <c r="AD206" s="41" t="s">
        <v>139</v>
      </c>
      <c r="AE206" s="44"/>
      <c r="AF206" s="45"/>
      <c r="AG206" s="45"/>
      <c r="AH206" s="46"/>
      <c r="AI206" s="45"/>
      <c r="AJ206" s="45"/>
      <c r="AK206" s="45"/>
      <c r="AL206" s="3" t="s">
        <v>1582</v>
      </c>
    </row>
    <row r="207" spans="2:38" ht="40.5" hidden="1">
      <c r="B207" s="144">
        <f t="shared" si="3"/>
        <v>204</v>
      </c>
      <c r="C207" s="148" t="s">
        <v>3732</v>
      </c>
      <c r="D207" s="148"/>
      <c r="E207" s="148"/>
      <c r="F207" s="148"/>
      <c r="G207" s="148"/>
      <c r="H207" s="148"/>
      <c r="I207" s="148"/>
      <c r="J207" s="148"/>
      <c r="K207" s="165" t="s">
        <v>3661</v>
      </c>
      <c r="L207" s="165" t="s">
        <v>3657</v>
      </c>
      <c r="M207" s="165"/>
      <c r="N207" s="165"/>
      <c r="O207" s="165" t="s">
        <v>3540</v>
      </c>
      <c r="P207" s="165" t="s">
        <v>3075</v>
      </c>
      <c r="Q207" s="126" t="s">
        <v>3076</v>
      </c>
      <c r="R207" s="40" t="s">
        <v>718</v>
      </c>
      <c r="S207" s="40"/>
      <c r="T207" s="40" t="s">
        <v>719</v>
      </c>
      <c r="U207" s="41" t="s">
        <v>139</v>
      </c>
      <c r="V207" s="41" t="s">
        <v>139</v>
      </c>
      <c r="W207" s="41" t="s">
        <v>720</v>
      </c>
      <c r="X207" s="41" t="s">
        <v>721</v>
      </c>
      <c r="Y207" s="41" t="s">
        <v>139</v>
      </c>
      <c r="Z207" s="43" t="s">
        <v>139</v>
      </c>
      <c r="AA207" s="41" t="s">
        <v>139</v>
      </c>
      <c r="AB207" s="41" t="s">
        <v>722</v>
      </c>
      <c r="AC207" s="41" t="s">
        <v>723</v>
      </c>
      <c r="AD207" s="41" t="s">
        <v>139</v>
      </c>
      <c r="AE207" s="44"/>
      <c r="AF207" s="45"/>
      <c r="AG207" s="45"/>
      <c r="AH207" s="46"/>
      <c r="AI207" s="45"/>
      <c r="AJ207" s="45"/>
      <c r="AK207" s="45"/>
      <c r="AL207" s="3" t="s">
        <v>1582</v>
      </c>
    </row>
    <row r="208" spans="2:38" ht="27" hidden="1">
      <c r="B208" s="144">
        <f t="shared" si="3"/>
        <v>205</v>
      </c>
      <c r="C208" s="148" t="s">
        <v>3732</v>
      </c>
      <c r="D208" s="148"/>
      <c r="E208" s="148"/>
      <c r="F208" s="148"/>
      <c r="G208" s="148"/>
      <c r="H208" s="148"/>
      <c r="I208" s="148"/>
      <c r="J208" s="148"/>
      <c r="K208" s="165" t="s">
        <v>3661</v>
      </c>
      <c r="L208" s="165" t="s">
        <v>3657</v>
      </c>
      <c r="M208" s="165"/>
      <c r="N208" s="165"/>
      <c r="O208" s="165" t="s">
        <v>1861</v>
      </c>
      <c r="P208" s="165" t="s">
        <v>1861</v>
      </c>
      <c r="Q208" s="127" t="s">
        <v>1862</v>
      </c>
      <c r="R208" s="60" t="s">
        <v>1863</v>
      </c>
      <c r="S208" s="60"/>
      <c r="T208" s="60" t="s">
        <v>139</v>
      </c>
      <c r="U208" s="48" t="s">
        <v>139</v>
      </c>
      <c r="V208" s="48" t="s">
        <v>139</v>
      </c>
      <c r="W208" s="79" t="s">
        <v>1845</v>
      </c>
      <c r="X208" s="48" t="s">
        <v>139</v>
      </c>
      <c r="Y208" s="48" t="s">
        <v>139</v>
      </c>
      <c r="Z208" s="50" t="s">
        <v>139</v>
      </c>
      <c r="AA208" s="48" t="s">
        <v>139</v>
      </c>
      <c r="AB208" s="79" t="s">
        <v>1125</v>
      </c>
      <c r="AC208" s="48" t="s">
        <v>139</v>
      </c>
      <c r="AD208" s="48" t="s">
        <v>139</v>
      </c>
      <c r="AE208" s="44"/>
      <c r="AF208" s="45"/>
      <c r="AG208" s="45"/>
      <c r="AH208" s="46"/>
      <c r="AI208" s="45"/>
      <c r="AJ208" s="45"/>
      <c r="AK208" s="45"/>
      <c r="AL208" s="3" t="s">
        <v>1582</v>
      </c>
    </row>
    <row r="209" spans="2:38" ht="54" hidden="1">
      <c r="B209" s="144">
        <f t="shared" si="3"/>
        <v>206</v>
      </c>
      <c r="C209" s="148" t="s">
        <v>3732</v>
      </c>
      <c r="D209" s="148"/>
      <c r="E209" s="148"/>
      <c r="F209" s="148"/>
      <c r="G209" s="148"/>
      <c r="H209" s="148"/>
      <c r="I209" s="148"/>
      <c r="J209" s="148"/>
      <c r="K209" s="165" t="s">
        <v>3661</v>
      </c>
      <c r="L209" s="165" t="s">
        <v>3657</v>
      </c>
      <c r="M209" s="165"/>
      <c r="N209" s="165"/>
      <c r="O209" s="165" t="s">
        <v>1737</v>
      </c>
      <c r="P209" s="165" t="s">
        <v>1737</v>
      </c>
      <c r="Q209" s="127" t="s">
        <v>139</v>
      </c>
      <c r="R209" s="60" t="s">
        <v>1938</v>
      </c>
      <c r="S209" s="60"/>
      <c r="T209" s="60" t="s">
        <v>139</v>
      </c>
      <c r="U209" s="48" t="s">
        <v>139</v>
      </c>
      <c r="V209" s="48" t="s">
        <v>139</v>
      </c>
      <c r="W209" s="79" t="s">
        <v>1738</v>
      </c>
      <c r="X209" s="48" t="s">
        <v>139</v>
      </c>
      <c r="Y209" s="48" t="s">
        <v>139</v>
      </c>
      <c r="Z209" s="50" t="s">
        <v>139</v>
      </c>
      <c r="AA209" s="48" t="s">
        <v>139</v>
      </c>
      <c r="AB209" s="79" t="s">
        <v>1125</v>
      </c>
      <c r="AC209" s="48" t="s">
        <v>139</v>
      </c>
      <c r="AD209" s="48" t="s">
        <v>139</v>
      </c>
      <c r="AE209" s="44"/>
      <c r="AF209" s="45"/>
      <c r="AG209" s="45"/>
      <c r="AH209" s="46"/>
      <c r="AI209" s="45"/>
      <c r="AJ209" s="45"/>
      <c r="AK209" s="45"/>
      <c r="AL209" s="3" t="s">
        <v>1582</v>
      </c>
    </row>
    <row r="210" spans="2:38" ht="27" hidden="1">
      <c r="B210" s="144">
        <f t="shared" si="3"/>
        <v>207</v>
      </c>
      <c r="C210" s="148" t="s">
        <v>3732</v>
      </c>
      <c r="D210" s="148"/>
      <c r="E210" s="148"/>
      <c r="F210" s="148"/>
      <c r="G210" s="148"/>
      <c r="H210" s="148"/>
      <c r="I210" s="148"/>
      <c r="J210" s="148"/>
      <c r="K210" s="165" t="s">
        <v>3661</v>
      </c>
      <c r="L210" s="165" t="s">
        <v>3657</v>
      </c>
      <c r="M210" s="165"/>
      <c r="N210" s="165"/>
      <c r="O210" s="165" t="s">
        <v>1842</v>
      </c>
      <c r="P210" s="165" t="s">
        <v>1842</v>
      </c>
      <c r="Q210" s="127" t="s">
        <v>1843</v>
      </c>
      <c r="R210" s="60" t="s">
        <v>1844</v>
      </c>
      <c r="S210" s="60"/>
      <c r="T210" s="60" t="s">
        <v>139</v>
      </c>
      <c r="U210" s="48" t="s">
        <v>139</v>
      </c>
      <c r="V210" s="48" t="s">
        <v>139</v>
      </c>
      <c r="W210" s="79" t="s">
        <v>1845</v>
      </c>
      <c r="X210" s="48" t="s">
        <v>139</v>
      </c>
      <c r="Y210" s="48" t="s">
        <v>139</v>
      </c>
      <c r="Z210" s="50" t="s">
        <v>139</v>
      </c>
      <c r="AA210" s="48" t="s">
        <v>139</v>
      </c>
      <c r="AB210" s="79" t="s">
        <v>1125</v>
      </c>
      <c r="AC210" s="48" t="s">
        <v>139</v>
      </c>
      <c r="AD210" s="48" t="s">
        <v>139</v>
      </c>
      <c r="AE210" s="44"/>
      <c r="AF210" s="45"/>
      <c r="AG210" s="45"/>
      <c r="AH210" s="46"/>
      <c r="AI210" s="45"/>
      <c r="AJ210" s="45"/>
      <c r="AK210" s="45"/>
      <c r="AL210" s="3" t="s">
        <v>1582</v>
      </c>
    </row>
    <row r="211" spans="2:38" ht="54" hidden="1">
      <c r="B211" s="144">
        <f t="shared" si="3"/>
        <v>208</v>
      </c>
      <c r="C211" s="148" t="s">
        <v>3732</v>
      </c>
      <c r="D211" s="148"/>
      <c r="E211" s="148"/>
      <c r="F211" s="148"/>
      <c r="G211" s="148"/>
      <c r="H211" s="148"/>
      <c r="I211" s="148"/>
      <c r="J211" s="148"/>
      <c r="K211" s="165" t="s">
        <v>3661</v>
      </c>
      <c r="L211" s="165" t="s">
        <v>3657</v>
      </c>
      <c r="M211" s="165"/>
      <c r="N211" s="165"/>
      <c r="O211" s="165" t="s">
        <v>3541</v>
      </c>
      <c r="P211" s="165" t="s">
        <v>2034</v>
      </c>
      <c r="Q211" s="127" t="s">
        <v>2035</v>
      </c>
      <c r="R211" s="60" t="s">
        <v>1901</v>
      </c>
      <c r="S211" s="60"/>
      <c r="T211" s="60" t="s">
        <v>139</v>
      </c>
      <c r="U211" s="48" t="s">
        <v>139</v>
      </c>
      <c r="V211" s="48" t="s">
        <v>139</v>
      </c>
      <c r="W211" s="79" t="s">
        <v>1902</v>
      </c>
      <c r="X211" s="48" t="s">
        <v>139</v>
      </c>
      <c r="Y211" s="48" t="s">
        <v>139</v>
      </c>
      <c r="Z211" s="50" t="s">
        <v>139</v>
      </c>
      <c r="AA211" s="48" t="s">
        <v>139</v>
      </c>
      <c r="AB211" s="79" t="s">
        <v>1125</v>
      </c>
      <c r="AC211" s="48" t="s">
        <v>139</v>
      </c>
      <c r="AD211" s="48" t="s">
        <v>139</v>
      </c>
      <c r="AE211" s="44"/>
      <c r="AF211" s="45"/>
      <c r="AG211" s="45"/>
      <c r="AH211" s="46"/>
      <c r="AI211" s="45"/>
      <c r="AJ211" s="45"/>
      <c r="AK211" s="45"/>
      <c r="AL211" s="3" t="s">
        <v>1582</v>
      </c>
    </row>
    <row r="212" spans="2:38" hidden="1">
      <c r="B212" s="144">
        <f t="shared" si="3"/>
        <v>209</v>
      </c>
      <c r="C212" s="148" t="s">
        <v>3732</v>
      </c>
      <c r="D212" s="148"/>
      <c r="E212" s="148"/>
      <c r="F212" s="148"/>
      <c r="G212" s="148"/>
      <c r="H212" s="148"/>
      <c r="I212" s="148"/>
      <c r="J212" s="148"/>
      <c r="K212" s="165" t="s">
        <v>3661</v>
      </c>
      <c r="L212" s="165" t="s">
        <v>3657</v>
      </c>
      <c r="M212" s="165"/>
      <c r="N212" s="165"/>
      <c r="O212" s="165" t="s">
        <v>1811</v>
      </c>
      <c r="P212" s="165" t="s">
        <v>1811</v>
      </c>
      <c r="Q212" s="127" t="s">
        <v>139</v>
      </c>
      <c r="R212" s="60" t="s">
        <v>1812</v>
      </c>
      <c r="S212" s="60"/>
      <c r="T212" s="60" t="s">
        <v>139</v>
      </c>
      <c r="U212" s="48" t="s">
        <v>139</v>
      </c>
      <c r="V212" s="48" t="s">
        <v>139</v>
      </c>
      <c r="W212" s="79" t="s">
        <v>1810</v>
      </c>
      <c r="X212" s="48" t="s">
        <v>139</v>
      </c>
      <c r="Y212" s="48" t="s">
        <v>139</v>
      </c>
      <c r="Z212" s="50" t="s">
        <v>139</v>
      </c>
      <c r="AA212" s="48" t="s">
        <v>139</v>
      </c>
      <c r="AB212" s="79" t="s">
        <v>1125</v>
      </c>
      <c r="AC212" s="48" t="s">
        <v>139</v>
      </c>
      <c r="AD212" s="48" t="s">
        <v>139</v>
      </c>
      <c r="AE212" s="44"/>
      <c r="AF212" s="45"/>
      <c r="AG212" s="45"/>
      <c r="AH212" s="46"/>
      <c r="AI212" s="45"/>
      <c r="AJ212" s="45"/>
      <c r="AK212" s="45"/>
      <c r="AL212" s="3" t="s">
        <v>1582</v>
      </c>
    </row>
    <row r="213" spans="2:38" ht="54" hidden="1">
      <c r="B213" s="144">
        <f t="shared" si="3"/>
        <v>210</v>
      </c>
      <c r="C213" s="148" t="s">
        <v>3732</v>
      </c>
      <c r="D213" s="148"/>
      <c r="E213" s="148"/>
      <c r="F213" s="148"/>
      <c r="G213" s="148"/>
      <c r="H213" s="148"/>
      <c r="I213" s="148"/>
      <c r="J213" s="148"/>
      <c r="K213" s="165" t="s">
        <v>3661</v>
      </c>
      <c r="L213" s="165" t="s">
        <v>3657</v>
      </c>
      <c r="M213" s="165"/>
      <c r="N213" s="165"/>
      <c r="O213" s="165" t="s">
        <v>3542</v>
      </c>
      <c r="P213" s="165" t="s">
        <v>2321</v>
      </c>
      <c r="Q213" s="126" t="s">
        <v>3110</v>
      </c>
      <c r="R213" s="40" t="s">
        <v>697</v>
      </c>
      <c r="S213" s="40"/>
      <c r="T213" s="40" t="s">
        <v>284</v>
      </c>
      <c r="U213" s="41" t="s">
        <v>139</v>
      </c>
      <c r="V213" s="41" t="s">
        <v>139</v>
      </c>
      <c r="W213" s="41" t="s">
        <v>698</v>
      </c>
      <c r="X213" s="41" t="s">
        <v>699</v>
      </c>
      <c r="Y213" s="41" t="s">
        <v>139</v>
      </c>
      <c r="Z213" s="43" t="s">
        <v>139</v>
      </c>
      <c r="AA213" s="41" t="s">
        <v>139</v>
      </c>
      <c r="AB213" s="41" t="s">
        <v>700</v>
      </c>
      <c r="AC213" s="41" t="s">
        <v>701</v>
      </c>
      <c r="AD213" s="41" t="s">
        <v>139</v>
      </c>
      <c r="AE213" s="44"/>
      <c r="AF213" s="45"/>
      <c r="AG213" s="45"/>
      <c r="AH213" s="46"/>
      <c r="AI213" s="45"/>
      <c r="AJ213" s="45"/>
      <c r="AK213" s="45"/>
      <c r="AL213" s="3" t="s">
        <v>1582</v>
      </c>
    </row>
    <row r="214" spans="2:38" ht="27" hidden="1">
      <c r="B214" s="144">
        <f t="shared" si="3"/>
        <v>211</v>
      </c>
      <c r="C214" s="148" t="s">
        <v>3732</v>
      </c>
      <c r="D214" s="148"/>
      <c r="E214" s="148"/>
      <c r="F214" s="148"/>
      <c r="G214" s="148"/>
      <c r="H214" s="148"/>
      <c r="I214" s="148"/>
      <c r="J214" s="148"/>
      <c r="K214" s="165" t="s">
        <v>3661</v>
      </c>
      <c r="L214" s="165" t="s">
        <v>3657</v>
      </c>
      <c r="M214" s="165"/>
      <c r="N214" s="165"/>
      <c r="O214" s="165" t="s">
        <v>1765</v>
      </c>
      <c r="P214" s="165" t="s">
        <v>1765</v>
      </c>
      <c r="Q214" s="127" t="s">
        <v>139</v>
      </c>
      <c r="R214" s="60" t="s">
        <v>1766</v>
      </c>
      <c r="S214" s="60"/>
      <c r="T214" s="60" t="s">
        <v>139</v>
      </c>
      <c r="U214" s="48" t="s">
        <v>139</v>
      </c>
      <c r="V214" s="48" t="s">
        <v>139</v>
      </c>
      <c r="W214" s="79" t="s">
        <v>1753</v>
      </c>
      <c r="X214" s="48" t="s">
        <v>139</v>
      </c>
      <c r="Y214" s="48" t="s">
        <v>139</v>
      </c>
      <c r="Z214" s="50" t="s">
        <v>139</v>
      </c>
      <c r="AA214" s="48" t="s">
        <v>139</v>
      </c>
      <c r="AB214" s="79" t="s">
        <v>1125</v>
      </c>
      <c r="AC214" s="48" t="s">
        <v>139</v>
      </c>
      <c r="AD214" s="48" t="s">
        <v>139</v>
      </c>
      <c r="AE214" s="44"/>
      <c r="AF214" s="45"/>
      <c r="AG214" s="45"/>
      <c r="AH214" s="46"/>
      <c r="AI214" s="45"/>
      <c r="AJ214" s="45"/>
      <c r="AK214" s="45"/>
      <c r="AL214" s="3" t="s">
        <v>1582</v>
      </c>
    </row>
    <row r="215" spans="2:38" ht="27" hidden="1">
      <c r="B215" s="144">
        <f t="shared" si="3"/>
        <v>212</v>
      </c>
      <c r="C215" s="148" t="s">
        <v>3732</v>
      </c>
      <c r="D215" s="148"/>
      <c r="E215" s="148"/>
      <c r="F215" s="148"/>
      <c r="G215" s="148"/>
      <c r="H215" s="148"/>
      <c r="I215" s="148"/>
      <c r="J215" s="148"/>
      <c r="K215" s="165" t="s">
        <v>3661</v>
      </c>
      <c r="L215" s="165" t="s">
        <v>3657</v>
      </c>
      <c r="M215" s="165"/>
      <c r="N215" s="165"/>
      <c r="O215" s="165" t="s">
        <v>1864</v>
      </c>
      <c r="P215" s="165" t="s">
        <v>1864</v>
      </c>
      <c r="Q215" s="127" t="s">
        <v>139</v>
      </c>
      <c r="R215" s="60" t="s">
        <v>1865</v>
      </c>
      <c r="S215" s="60"/>
      <c r="T215" s="60" t="s">
        <v>139</v>
      </c>
      <c r="U215" s="48" t="s">
        <v>139</v>
      </c>
      <c r="V215" s="48" t="s">
        <v>139</v>
      </c>
      <c r="W215" s="79" t="s">
        <v>1866</v>
      </c>
      <c r="X215" s="48" t="s">
        <v>139</v>
      </c>
      <c r="Y215" s="48" t="s">
        <v>139</v>
      </c>
      <c r="Z215" s="50" t="s">
        <v>139</v>
      </c>
      <c r="AA215" s="48" t="s">
        <v>139</v>
      </c>
      <c r="AB215" s="79" t="s">
        <v>1125</v>
      </c>
      <c r="AC215" s="48" t="s">
        <v>139</v>
      </c>
      <c r="AD215" s="48" t="s">
        <v>139</v>
      </c>
      <c r="AE215" s="44"/>
      <c r="AF215" s="45"/>
      <c r="AG215" s="45"/>
      <c r="AH215" s="46"/>
      <c r="AI215" s="45"/>
      <c r="AJ215" s="45"/>
      <c r="AK215" s="45"/>
      <c r="AL215" s="3" t="s">
        <v>1582</v>
      </c>
    </row>
    <row r="216" spans="2:38" hidden="1">
      <c r="B216" s="144">
        <f t="shared" si="3"/>
        <v>213</v>
      </c>
      <c r="C216" s="148" t="s">
        <v>3732</v>
      </c>
      <c r="D216" s="148"/>
      <c r="E216" s="148"/>
      <c r="F216" s="148"/>
      <c r="G216" s="148"/>
      <c r="H216" s="148"/>
      <c r="I216" s="148"/>
      <c r="J216" s="148"/>
      <c r="K216" s="165" t="s">
        <v>3661</v>
      </c>
      <c r="L216" s="165" t="s">
        <v>3657</v>
      </c>
      <c r="M216" s="165"/>
      <c r="N216" s="165"/>
      <c r="O216" s="165" t="s">
        <v>3543</v>
      </c>
      <c r="P216" s="165" t="s">
        <v>1944</v>
      </c>
      <c r="Q216" s="126" t="s">
        <v>1948</v>
      </c>
      <c r="R216" s="40" t="s">
        <v>1950</v>
      </c>
      <c r="S216" s="40"/>
      <c r="T216" s="40" t="s">
        <v>139</v>
      </c>
      <c r="U216" s="41" t="s">
        <v>139</v>
      </c>
      <c r="V216" s="41" t="s">
        <v>139</v>
      </c>
      <c r="W216" s="41" t="s">
        <v>1126</v>
      </c>
      <c r="X216" s="41" t="s">
        <v>139</v>
      </c>
      <c r="Y216" s="41" t="s">
        <v>139</v>
      </c>
      <c r="Z216" s="43" t="s">
        <v>139</v>
      </c>
      <c r="AA216" s="41" t="s">
        <v>139</v>
      </c>
      <c r="AB216" s="41" t="s">
        <v>1125</v>
      </c>
      <c r="AC216" s="41" t="s">
        <v>139</v>
      </c>
      <c r="AD216" s="41" t="s">
        <v>139</v>
      </c>
      <c r="AE216" s="44"/>
      <c r="AF216" s="45"/>
      <c r="AG216" s="45"/>
      <c r="AH216" s="46"/>
      <c r="AI216" s="45"/>
      <c r="AJ216" s="45"/>
      <c r="AK216" s="45"/>
      <c r="AL216" s="3" t="s">
        <v>1582</v>
      </c>
    </row>
    <row r="217" spans="2:38" ht="81" hidden="1">
      <c r="B217" s="144">
        <f t="shared" si="3"/>
        <v>214</v>
      </c>
      <c r="C217" s="148" t="s">
        <v>3732</v>
      </c>
      <c r="D217" s="148"/>
      <c r="E217" s="148"/>
      <c r="F217" s="148"/>
      <c r="G217" s="148"/>
      <c r="H217" s="148"/>
      <c r="I217" s="148"/>
      <c r="J217" s="148"/>
      <c r="K217" s="165" t="s">
        <v>3661</v>
      </c>
      <c r="L217" s="165" t="s">
        <v>3657</v>
      </c>
      <c r="M217" s="165"/>
      <c r="N217" s="165"/>
      <c r="O217" s="165" t="s">
        <v>1797</v>
      </c>
      <c r="P217" s="165" t="s">
        <v>1797</v>
      </c>
      <c r="Q217" s="129" t="s">
        <v>1637</v>
      </c>
      <c r="R217" s="60" t="s">
        <v>1960</v>
      </c>
      <c r="S217" s="60"/>
      <c r="T217" s="60" t="s">
        <v>139</v>
      </c>
      <c r="U217" s="48" t="s">
        <v>139</v>
      </c>
      <c r="V217" s="48" t="s">
        <v>139</v>
      </c>
      <c r="W217" s="79" t="s">
        <v>1798</v>
      </c>
      <c r="X217" s="48" t="s">
        <v>139</v>
      </c>
      <c r="Y217" s="48" t="s">
        <v>139</v>
      </c>
      <c r="Z217" s="50" t="s">
        <v>139</v>
      </c>
      <c r="AA217" s="48" t="s">
        <v>139</v>
      </c>
      <c r="AB217" s="79" t="s">
        <v>1125</v>
      </c>
      <c r="AC217" s="48" t="s">
        <v>139</v>
      </c>
      <c r="AD217" s="48" t="s">
        <v>139</v>
      </c>
      <c r="AE217" s="44"/>
      <c r="AF217" s="45"/>
      <c r="AG217" s="45"/>
      <c r="AH217" s="46"/>
      <c r="AI217" s="45"/>
      <c r="AJ217" s="45"/>
      <c r="AK217" s="45"/>
      <c r="AL217" s="3" t="s">
        <v>1582</v>
      </c>
    </row>
    <row r="218" spans="2:38" ht="27" hidden="1">
      <c r="B218" s="144">
        <f t="shared" si="3"/>
        <v>215</v>
      </c>
      <c r="C218" s="148" t="s">
        <v>3732</v>
      </c>
      <c r="D218" s="148"/>
      <c r="E218" s="148"/>
      <c r="F218" s="148"/>
      <c r="G218" s="148"/>
      <c r="H218" s="148"/>
      <c r="I218" s="148"/>
      <c r="J218" s="148"/>
      <c r="K218" s="165" t="s">
        <v>3661</v>
      </c>
      <c r="L218" s="165" t="s">
        <v>3657</v>
      </c>
      <c r="M218" s="165"/>
      <c r="N218" s="165"/>
      <c r="O218" s="165" t="s">
        <v>1767</v>
      </c>
      <c r="P218" s="165" t="s">
        <v>1767</v>
      </c>
      <c r="Q218" s="127" t="s">
        <v>139</v>
      </c>
      <c r="R218" s="60" t="s">
        <v>1959</v>
      </c>
      <c r="S218" s="60"/>
      <c r="T218" s="60" t="s">
        <v>139</v>
      </c>
      <c r="U218" s="48" t="s">
        <v>139</v>
      </c>
      <c r="V218" s="48" t="s">
        <v>139</v>
      </c>
      <c r="W218" s="79" t="s">
        <v>1768</v>
      </c>
      <c r="X218" s="48" t="s">
        <v>139</v>
      </c>
      <c r="Y218" s="48" t="s">
        <v>139</v>
      </c>
      <c r="Z218" s="50" t="s">
        <v>139</v>
      </c>
      <c r="AA218" s="48" t="s">
        <v>139</v>
      </c>
      <c r="AB218" s="79" t="s">
        <v>1125</v>
      </c>
      <c r="AC218" s="48" t="s">
        <v>139</v>
      </c>
      <c r="AD218" s="48" t="s">
        <v>139</v>
      </c>
      <c r="AE218" s="44"/>
      <c r="AF218" s="45"/>
      <c r="AG218" s="45"/>
      <c r="AH218" s="46"/>
      <c r="AI218" s="45"/>
      <c r="AJ218" s="45"/>
      <c r="AK218" s="45"/>
      <c r="AL218" s="3" t="s">
        <v>1582</v>
      </c>
    </row>
    <row r="219" spans="2:38" ht="27" hidden="1">
      <c r="B219" s="144">
        <f t="shared" si="3"/>
        <v>216</v>
      </c>
      <c r="C219" s="148" t="s">
        <v>3732</v>
      </c>
      <c r="D219" s="148"/>
      <c r="E219" s="148"/>
      <c r="F219" s="148"/>
      <c r="G219" s="148"/>
      <c r="H219" s="148"/>
      <c r="I219" s="148"/>
      <c r="J219" s="148"/>
      <c r="K219" s="165" t="s">
        <v>3661</v>
      </c>
      <c r="L219" s="165" t="s">
        <v>3657</v>
      </c>
      <c r="M219" s="165"/>
      <c r="N219" s="165"/>
      <c r="O219" s="165" t="s">
        <v>1852</v>
      </c>
      <c r="P219" s="165" t="s">
        <v>1852</v>
      </c>
      <c r="Q219" s="127" t="s">
        <v>1853</v>
      </c>
      <c r="R219" s="60" t="s">
        <v>1854</v>
      </c>
      <c r="S219" s="60"/>
      <c r="T219" s="60" t="s">
        <v>139</v>
      </c>
      <c r="U219" s="48" t="s">
        <v>139</v>
      </c>
      <c r="V219" s="48" t="s">
        <v>139</v>
      </c>
      <c r="W219" s="79" t="s">
        <v>1845</v>
      </c>
      <c r="X219" s="48" t="s">
        <v>139</v>
      </c>
      <c r="Y219" s="48" t="s">
        <v>139</v>
      </c>
      <c r="Z219" s="50" t="s">
        <v>139</v>
      </c>
      <c r="AA219" s="48" t="s">
        <v>139</v>
      </c>
      <c r="AB219" s="79" t="s">
        <v>1125</v>
      </c>
      <c r="AC219" s="48" t="s">
        <v>139</v>
      </c>
      <c r="AD219" s="48" t="s">
        <v>139</v>
      </c>
      <c r="AE219" s="44"/>
      <c r="AF219" s="45"/>
      <c r="AG219" s="45"/>
      <c r="AH219" s="46"/>
      <c r="AI219" s="45"/>
      <c r="AJ219" s="45"/>
      <c r="AK219" s="45"/>
      <c r="AL219" s="3" t="s">
        <v>1582</v>
      </c>
    </row>
    <row r="220" spans="2:38" ht="27" hidden="1">
      <c r="B220" s="144">
        <f t="shared" si="3"/>
        <v>217</v>
      </c>
      <c r="C220" s="148" t="s">
        <v>3732</v>
      </c>
      <c r="D220" s="148"/>
      <c r="E220" s="148"/>
      <c r="F220" s="148"/>
      <c r="G220" s="148"/>
      <c r="H220" s="148"/>
      <c r="I220" s="148"/>
      <c r="J220" s="148"/>
      <c r="K220" s="165" t="s">
        <v>3661</v>
      </c>
      <c r="L220" s="165" t="s">
        <v>3657</v>
      </c>
      <c r="M220" s="165"/>
      <c r="N220" s="165"/>
      <c r="O220" s="165" t="s">
        <v>1802</v>
      </c>
      <c r="P220" s="165" t="s">
        <v>1802</v>
      </c>
      <c r="Q220" s="127" t="s">
        <v>139</v>
      </c>
      <c r="R220" s="60" t="s">
        <v>1803</v>
      </c>
      <c r="S220" s="60"/>
      <c r="T220" s="60" t="s">
        <v>139</v>
      </c>
      <c r="U220" s="48" t="s">
        <v>139</v>
      </c>
      <c r="V220" s="48" t="s">
        <v>139</v>
      </c>
      <c r="W220" s="79" t="s">
        <v>1804</v>
      </c>
      <c r="X220" s="48" t="s">
        <v>139</v>
      </c>
      <c r="Y220" s="48" t="s">
        <v>139</v>
      </c>
      <c r="Z220" s="50" t="s">
        <v>139</v>
      </c>
      <c r="AA220" s="48" t="s">
        <v>139</v>
      </c>
      <c r="AB220" s="79" t="s">
        <v>1125</v>
      </c>
      <c r="AC220" s="48" t="s">
        <v>139</v>
      </c>
      <c r="AD220" s="48" t="s">
        <v>139</v>
      </c>
      <c r="AE220" s="44"/>
      <c r="AF220" s="45"/>
      <c r="AG220" s="45"/>
      <c r="AH220" s="46"/>
      <c r="AI220" s="45"/>
      <c r="AJ220" s="45"/>
      <c r="AK220" s="45"/>
      <c r="AL220" s="3" t="s">
        <v>1582</v>
      </c>
    </row>
    <row r="221" spans="2:38" hidden="1">
      <c r="B221" s="144">
        <f t="shared" si="3"/>
        <v>218</v>
      </c>
      <c r="C221" s="148" t="s">
        <v>3732</v>
      </c>
      <c r="D221" s="148"/>
      <c r="E221" s="148"/>
      <c r="F221" s="148"/>
      <c r="G221" s="148"/>
      <c r="H221" s="148"/>
      <c r="I221" s="148"/>
      <c r="J221" s="148"/>
      <c r="K221" s="165" t="s">
        <v>3661</v>
      </c>
      <c r="L221" s="165" t="s">
        <v>3657</v>
      </c>
      <c r="M221" s="165"/>
      <c r="N221" s="165"/>
      <c r="O221" s="165" t="s">
        <v>1805</v>
      </c>
      <c r="P221" s="165" t="s">
        <v>1805</v>
      </c>
      <c r="Q221" s="127" t="s">
        <v>139</v>
      </c>
      <c r="R221" s="60" t="s">
        <v>1806</v>
      </c>
      <c r="S221" s="60"/>
      <c r="T221" s="60" t="s">
        <v>139</v>
      </c>
      <c r="U221" s="48" t="s">
        <v>139</v>
      </c>
      <c r="V221" s="48" t="s">
        <v>139</v>
      </c>
      <c r="W221" s="79" t="s">
        <v>1807</v>
      </c>
      <c r="X221" s="48" t="s">
        <v>139</v>
      </c>
      <c r="Y221" s="48" t="s">
        <v>139</v>
      </c>
      <c r="Z221" s="50" t="s">
        <v>139</v>
      </c>
      <c r="AA221" s="48" t="s">
        <v>139</v>
      </c>
      <c r="AB221" s="79" t="s">
        <v>1125</v>
      </c>
      <c r="AC221" s="48" t="s">
        <v>139</v>
      </c>
      <c r="AD221" s="48" t="s">
        <v>139</v>
      </c>
      <c r="AE221" s="44"/>
      <c r="AF221" s="45"/>
      <c r="AG221" s="45"/>
      <c r="AH221" s="46"/>
      <c r="AI221" s="45"/>
      <c r="AJ221" s="45"/>
      <c r="AK221" s="45"/>
      <c r="AL221" s="3" t="s">
        <v>1582</v>
      </c>
    </row>
    <row r="222" spans="2:38" ht="27" hidden="1">
      <c r="B222" s="144">
        <f t="shared" si="3"/>
        <v>219</v>
      </c>
      <c r="C222" s="148" t="s">
        <v>3732</v>
      </c>
      <c r="D222" s="148"/>
      <c r="E222" s="148"/>
      <c r="F222" s="148"/>
      <c r="G222" s="148"/>
      <c r="H222" s="148"/>
      <c r="I222" s="148"/>
      <c r="J222" s="148"/>
      <c r="K222" s="165" t="s">
        <v>3661</v>
      </c>
      <c r="L222" s="165" t="s">
        <v>3657</v>
      </c>
      <c r="M222" s="165"/>
      <c r="N222" s="165"/>
      <c r="O222" s="165" t="s">
        <v>1769</v>
      </c>
      <c r="P222" s="165" t="s">
        <v>1769</v>
      </c>
      <c r="Q222" s="127" t="s">
        <v>139</v>
      </c>
      <c r="R222" s="60" t="s">
        <v>1770</v>
      </c>
      <c r="S222" s="60"/>
      <c r="T222" s="60" t="s">
        <v>139</v>
      </c>
      <c r="U222" s="48" t="s">
        <v>139</v>
      </c>
      <c r="V222" s="48" t="s">
        <v>139</v>
      </c>
      <c r="W222" s="79" t="s">
        <v>1771</v>
      </c>
      <c r="X222" s="48" t="s">
        <v>139</v>
      </c>
      <c r="Y222" s="48" t="s">
        <v>139</v>
      </c>
      <c r="Z222" s="50" t="s">
        <v>139</v>
      </c>
      <c r="AA222" s="48" t="s">
        <v>139</v>
      </c>
      <c r="AB222" s="79" t="s">
        <v>1125</v>
      </c>
      <c r="AC222" s="48" t="s">
        <v>139</v>
      </c>
      <c r="AD222" s="48" t="s">
        <v>139</v>
      </c>
      <c r="AE222" s="44"/>
      <c r="AF222" s="45"/>
      <c r="AG222" s="45"/>
      <c r="AH222" s="46"/>
      <c r="AI222" s="45"/>
      <c r="AJ222" s="45"/>
      <c r="AK222" s="45"/>
      <c r="AL222" s="3" t="s">
        <v>1582</v>
      </c>
    </row>
    <row r="223" spans="2:38" ht="27" hidden="1">
      <c r="B223" s="144">
        <f t="shared" si="3"/>
        <v>220</v>
      </c>
      <c r="C223" s="148" t="s">
        <v>3732</v>
      </c>
      <c r="D223" s="148"/>
      <c r="E223" s="148"/>
      <c r="F223" s="148"/>
      <c r="G223" s="148"/>
      <c r="H223" s="148"/>
      <c r="I223" s="148"/>
      <c r="J223" s="148"/>
      <c r="K223" s="165" t="s">
        <v>3661</v>
      </c>
      <c r="L223" s="165" t="s">
        <v>3657</v>
      </c>
      <c r="M223" s="165"/>
      <c r="N223" s="165"/>
      <c r="O223" s="165" t="s">
        <v>1727</v>
      </c>
      <c r="P223" s="165" t="s">
        <v>1727</v>
      </c>
      <c r="Q223" s="127" t="s">
        <v>139</v>
      </c>
      <c r="R223" s="60" t="s">
        <v>1728</v>
      </c>
      <c r="S223" s="60"/>
      <c r="T223" s="60" t="s">
        <v>139</v>
      </c>
      <c r="U223" s="48" t="s">
        <v>139</v>
      </c>
      <c r="V223" s="48" t="s">
        <v>139</v>
      </c>
      <c r="W223" s="79" t="s">
        <v>1729</v>
      </c>
      <c r="X223" s="48" t="s">
        <v>139</v>
      </c>
      <c r="Y223" s="48" t="s">
        <v>139</v>
      </c>
      <c r="Z223" s="50" t="s">
        <v>139</v>
      </c>
      <c r="AA223" s="48" t="s">
        <v>139</v>
      </c>
      <c r="AB223" s="79" t="s">
        <v>1125</v>
      </c>
      <c r="AC223" s="48" t="s">
        <v>139</v>
      </c>
      <c r="AD223" s="48" t="s">
        <v>139</v>
      </c>
      <c r="AE223" s="44"/>
      <c r="AF223" s="45"/>
      <c r="AG223" s="45"/>
      <c r="AH223" s="46"/>
      <c r="AI223" s="45"/>
      <c r="AJ223" s="45"/>
      <c r="AK223" s="45"/>
      <c r="AL223" s="3" t="s">
        <v>1582</v>
      </c>
    </row>
    <row r="224" spans="2:38" ht="40.5" hidden="1">
      <c r="B224" s="144">
        <f t="shared" si="3"/>
        <v>221</v>
      </c>
      <c r="C224" s="148" t="s">
        <v>3732</v>
      </c>
      <c r="D224" s="148"/>
      <c r="E224" s="148"/>
      <c r="F224" s="148"/>
      <c r="G224" s="148"/>
      <c r="H224" s="148"/>
      <c r="I224" s="148"/>
      <c r="J224" s="148"/>
      <c r="K224" s="165" t="s">
        <v>3661</v>
      </c>
      <c r="L224" s="165" t="s">
        <v>3657</v>
      </c>
      <c r="M224" s="165"/>
      <c r="N224" s="165"/>
      <c r="O224" s="165" t="s">
        <v>3544</v>
      </c>
      <c r="P224" s="165" t="s">
        <v>3273</v>
      </c>
      <c r="Q224" s="126" t="s">
        <v>3274</v>
      </c>
      <c r="R224" s="40" t="s">
        <v>712</v>
      </c>
      <c r="S224" s="40"/>
      <c r="T224" s="40" t="s">
        <v>139</v>
      </c>
      <c r="U224" s="41" t="s">
        <v>139</v>
      </c>
      <c r="V224" s="41" t="s">
        <v>139</v>
      </c>
      <c r="W224" s="41" t="s">
        <v>713</v>
      </c>
      <c r="X224" s="41" t="s">
        <v>714</v>
      </c>
      <c r="Y224" s="41" t="s">
        <v>139</v>
      </c>
      <c r="Z224" s="43" t="s">
        <v>139</v>
      </c>
      <c r="AA224" s="41" t="s">
        <v>139</v>
      </c>
      <c r="AB224" s="41" t="s">
        <v>715</v>
      </c>
      <c r="AC224" s="41" t="s">
        <v>716</v>
      </c>
      <c r="AD224" s="41" t="s">
        <v>139</v>
      </c>
      <c r="AE224" s="44"/>
      <c r="AF224" s="45"/>
      <c r="AG224" s="45"/>
      <c r="AH224" s="46"/>
      <c r="AI224" s="45"/>
      <c r="AJ224" s="45"/>
      <c r="AK224" s="45"/>
      <c r="AL224" s="3" t="s">
        <v>1582</v>
      </c>
    </row>
    <row r="225" spans="2:38" ht="40.5" hidden="1">
      <c r="B225" s="144">
        <f t="shared" si="3"/>
        <v>222</v>
      </c>
      <c r="C225" s="148" t="s">
        <v>3732</v>
      </c>
      <c r="D225" s="148"/>
      <c r="E225" s="148"/>
      <c r="F225" s="148"/>
      <c r="G225" s="148"/>
      <c r="H225" s="148"/>
      <c r="I225" s="148"/>
      <c r="J225" s="148"/>
      <c r="K225" s="165" t="s">
        <v>3661</v>
      </c>
      <c r="L225" s="165" t="s">
        <v>3657</v>
      </c>
      <c r="M225" s="165"/>
      <c r="N225" s="165"/>
      <c r="O225" s="165" t="s">
        <v>1855</v>
      </c>
      <c r="P225" s="165" t="s">
        <v>1855</v>
      </c>
      <c r="Q225" s="127" t="s">
        <v>1856</v>
      </c>
      <c r="R225" s="60" t="s">
        <v>1857</v>
      </c>
      <c r="S225" s="60"/>
      <c r="T225" s="60" t="s">
        <v>139</v>
      </c>
      <c r="U225" s="48" t="s">
        <v>139</v>
      </c>
      <c r="V225" s="48" t="s">
        <v>139</v>
      </c>
      <c r="W225" s="79" t="s">
        <v>1845</v>
      </c>
      <c r="X225" s="79" t="s">
        <v>139</v>
      </c>
      <c r="Y225" s="48" t="s">
        <v>139</v>
      </c>
      <c r="Z225" s="50" t="s">
        <v>139</v>
      </c>
      <c r="AA225" s="48" t="s">
        <v>139</v>
      </c>
      <c r="AB225" s="79" t="s">
        <v>1125</v>
      </c>
      <c r="AC225" s="48" t="s">
        <v>139</v>
      </c>
      <c r="AD225" s="48" t="s">
        <v>139</v>
      </c>
      <c r="AE225" s="44"/>
      <c r="AF225" s="45"/>
      <c r="AG225" s="45"/>
      <c r="AH225" s="46"/>
      <c r="AI225" s="45"/>
      <c r="AJ225" s="45"/>
      <c r="AK225" s="45"/>
      <c r="AL225" s="3" t="s">
        <v>1582</v>
      </c>
    </row>
    <row r="226" spans="2:38" hidden="1">
      <c r="B226" s="144">
        <f t="shared" si="3"/>
        <v>223</v>
      </c>
      <c r="C226" s="148" t="s">
        <v>3732</v>
      </c>
      <c r="D226" s="148"/>
      <c r="E226" s="148"/>
      <c r="F226" s="148"/>
      <c r="G226" s="148"/>
      <c r="H226" s="148"/>
      <c r="I226" s="148"/>
      <c r="J226" s="148"/>
      <c r="K226" s="165" t="s">
        <v>3661</v>
      </c>
      <c r="L226" s="165" t="s">
        <v>3657</v>
      </c>
      <c r="M226" s="165"/>
      <c r="N226" s="165"/>
      <c r="O226" s="165" t="s">
        <v>1776</v>
      </c>
      <c r="P226" s="165" t="s">
        <v>1776</v>
      </c>
      <c r="Q226" s="127" t="s">
        <v>139</v>
      </c>
      <c r="R226" s="60" t="s">
        <v>1777</v>
      </c>
      <c r="S226" s="60"/>
      <c r="T226" s="60" t="s">
        <v>139</v>
      </c>
      <c r="U226" s="48" t="s">
        <v>139</v>
      </c>
      <c r="V226" s="48" t="s">
        <v>139</v>
      </c>
      <c r="W226" s="79" t="s">
        <v>1778</v>
      </c>
      <c r="X226" s="48" t="s">
        <v>139</v>
      </c>
      <c r="Y226" s="48" t="s">
        <v>139</v>
      </c>
      <c r="Z226" s="50" t="s">
        <v>139</v>
      </c>
      <c r="AA226" s="48" t="s">
        <v>139</v>
      </c>
      <c r="AB226" s="79" t="s">
        <v>1125</v>
      </c>
      <c r="AC226" s="48" t="s">
        <v>139</v>
      </c>
      <c r="AD226" s="48" t="s">
        <v>139</v>
      </c>
      <c r="AE226" s="44"/>
      <c r="AF226" s="45"/>
      <c r="AG226" s="45"/>
      <c r="AH226" s="46"/>
      <c r="AI226" s="45"/>
      <c r="AJ226" s="45"/>
      <c r="AK226" s="45"/>
      <c r="AL226" s="3" t="s">
        <v>1582</v>
      </c>
    </row>
    <row r="227" spans="2:38" ht="27" hidden="1">
      <c r="B227" s="144">
        <f t="shared" si="3"/>
        <v>224</v>
      </c>
      <c r="C227" s="148" t="s">
        <v>3732</v>
      </c>
      <c r="D227" s="148"/>
      <c r="E227" s="148"/>
      <c r="F227" s="148"/>
      <c r="G227" s="148"/>
      <c r="H227" s="148"/>
      <c r="I227" s="148"/>
      <c r="J227" s="148"/>
      <c r="K227" s="165" t="s">
        <v>3661</v>
      </c>
      <c r="L227" s="165" t="s">
        <v>3657</v>
      </c>
      <c r="M227" s="165"/>
      <c r="N227" s="165"/>
      <c r="O227" s="165" t="s">
        <v>1858</v>
      </c>
      <c r="P227" s="165" t="s">
        <v>1858</v>
      </c>
      <c r="Q227" s="127" t="s">
        <v>1859</v>
      </c>
      <c r="R227" s="60" t="s">
        <v>1860</v>
      </c>
      <c r="S227" s="60"/>
      <c r="T227" s="60" t="s">
        <v>139</v>
      </c>
      <c r="U227" s="48" t="s">
        <v>139</v>
      </c>
      <c r="V227" s="48" t="s">
        <v>139</v>
      </c>
      <c r="W227" s="79" t="s">
        <v>1845</v>
      </c>
      <c r="X227" s="48" t="s">
        <v>139</v>
      </c>
      <c r="Y227" s="48" t="s">
        <v>139</v>
      </c>
      <c r="Z227" s="50" t="s">
        <v>139</v>
      </c>
      <c r="AA227" s="48" t="s">
        <v>139</v>
      </c>
      <c r="AB227" s="79" t="s">
        <v>1125</v>
      </c>
      <c r="AC227" s="48" t="s">
        <v>139</v>
      </c>
      <c r="AD227" s="48" t="s">
        <v>139</v>
      </c>
      <c r="AE227" s="44"/>
      <c r="AF227" s="45"/>
      <c r="AG227" s="45"/>
      <c r="AH227" s="46"/>
      <c r="AI227" s="45"/>
      <c r="AJ227" s="45"/>
      <c r="AK227" s="45"/>
      <c r="AL227" s="3" t="s">
        <v>1582</v>
      </c>
    </row>
    <row r="228" spans="2:38" ht="27" hidden="1">
      <c r="B228" s="144">
        <f t="shared" si="3"/>
        <v>225</v>
      </c>
      <c r="C228" s="148" t="s">
        <v>3732</v>
      </c>
      <c r="D228" s="148"/>
      <c r="E228" s="148"/>
      <c r="F228" s="148"/>
      <c r="G228" s="148"/>
      <c r="H228" s="148"/>
      <c r="I228" s="148"/>
      <c r="J228" s="148"/>
      <c r="K228" s="165" t="s">
        <v>3661</v>
      </c>
      <c r="L228" s="165" t="s">
        <v>3657</v>
      </c>
      <c r="M228" s="165"/>
      <c r="N228" s="165"/>
      <c r="O228" s="165" t="s">
        <v>1867</v>
      </c>
      <c r="P228" s="165" t="s">
        <v>1867</v>
      </c>
      <c r="Q228" s="127" t="s">
        <v>139</v>
      </c>
      <c r="R228" s="60" t="s">
        <v>1868</v>
      </c>
      <c r="S228" s="60"/>
      <c r="T228" s="60" t="s">
        <v>139</v>
      </c>
      <c r="U228" s="48" t="s">
        <v>139</v>
      </c>
      <c r="V228" s="48" t="s">
        <v>139</v>
      </c>
      <c r="W228" s="79" t="s">
        <v>1869</v>
      </c>
      <c r="X228" s="48" t="s">
        <v>139</v>
      </c>
      <c r="Y228" s="48" t="s">
        <v>139</v>
      </c>
      <c r="Z228" s="50" t="s">
        <v>139</v>
      </c>
      <c r="AA228" s="48" t="s">
        <v>139</v>
      </c>
      <c r="AB228" s="79" t="s">
        <v>1125</v>
      </c>
      <c r="AC228" s="48" t="s">
        <v>139</v>
      </c>
      <c r="AD228" s="48" t="s">
        <v>139</v>
      </c>
      <c r="AE228" s="44"/>
      <c r="AF228" s="45"/>
      <c r="AG228" s="45"/>
      <c r="AH228" s="46"/>
      <c r="AI228" s="45"/>
      <c r="AJ228" s="45"/>
      <c r="AK228" s="45"/>
      <c r="AL228" s="3" t="s">
        <v>1582</v>
      </c>
    </row>
    <row r="229" spans="2:38" ht="27" hidden="1">
      <c r="B229" s="144">
        <f t="shared" si="3"/>
        <v>226</v>
      </c>
      <c r="C229" s="148" t="s">
        <v>3732</v>
      </c>
      <c r="D229" s="148"/>
      <c r="E229" s="148"/>
      <c r="F229" s="148"/>
      <c r="G229" s="148"/>
      <c r="H229" s="148"/>
      <c r="I229" s="148"/>
      <c r="J229" s="148"/>
      <c r="K229" s="165" t="s">
        <v>3661</v>
      </c>
      <c r="L229" s="165" t="s">
        <v>3657</v>
      </c>
      <c r="M229" s="165"/>
      <c r="N229" s="165"/>
      <c r="O229" s="165" t="s">
        <v>1808</v>
      </c>
      <c r="P229" s="165" t="s">
        <v>1808</v>
      </c>
      <c r="Q229" s="127" t="s">
        <v>139</v>
      </c>
      <c r="R229" s="60" t="s">
        <v>1809</v>
      </c>
      <c r="S229" s="60"/>
      <c r="T229" s="60" t="s">
        <v>139</v>
      </c>
      <c r="U229" s="48" t="s">
        <v>139</v>
      </c>
      <c r="V229" s="48" t="s">
        <v>139</v>
      </c>
      <c r="W229" s="79" t="s">
        <v>1810</v>
      </c>
      <c r="X229" s="48" t="s">
        <v>139</v>
      </c>
      <c r="Y229" s="48" t="s">
        <v>139</v>
      </c>
      <c r="Z229" s="50" t="s">
        <v>139</v>
      </c>
      <c r="AA229" s="48" t="s">
        <v>139</v>
      </c>
      <c r="AB229" s="79" t="s">
        <v>1125</v>
      </c>
      <c r="AC229" s="48" t="s">
        <v>139</v>
      </c>
      <c r="AD229" s="48" t="s">
        <v>139</v>
      </c>
      <c r="AE229" s="44"/>
      <c r="AF229" s="45"/>
      <c r="AG229" s="45"/>
      <c r="AH229" s="46"/>
      <c r="AI229" s="45"/>
      <c r="AJ229" s="45"/>
      <c r="AK229" s="45"/>
      <c r="AL229" s="3" t="s">
        <v>1582</v>
      </c>
    </row>
    <row r="230" spans="2:38" hidden="1">
      <c r="B230" s="144">
        <f t="shared" si="3"/>
        <v>227</v>
      </c>
      <c r="C230" s="148" t="s">
        <v>3732</v>
      </c>
      <c r="D230" s="148"/>
      <c r="E230" s="148"/>
      <c r="F230" s="148"/>
      <c r="G230" s="148"/>
      <c r="H230" s="148"/>
      <c r="I230" s="148"/>
      <c r="J230" s="148"/>
      <c r="K230" s="165" t="s">
        <v>3661</v>
      </c>
      <c r="L230" s="165" t="s">
        <v>3657</v>
      </c>
      <c r="M230" s="165"/>
      <c r="N230" s="165"/>
      <c r="O230" s="165" t="s">
        <v>1792</v>
      </c>
      <c r="P230" s="165" t="s">
        <v>1792</v>
      </c>
      <c r="Q230" s="127" t="s">
        <v>139</v>
      </c>
      <c r="R230" s="60" t="s">
        <v>1793</v>
      </c>
      <c r="S230" s="60"/>
      <c r="T230" s="60" t="s">
        <v>139</v>
      </c>
      <c r="U230" s="48" t="s">
        <v>139</v>
      </c>
      <c r="V230" s="48" t="s">
        <v>139</v>
      </c>
      <c r="W230" s="79" t="s">
        <v>1778</v>
      </c>
      <c r="X230" s="48" t="s">
        <v>139</v>
      </c>
      <c r="Y230" s="48" t="s">
        <v>139</v>
      </c>
      <c r="Z230" s="50" t="s">
        <v>139</v>
      </c>
      <c r="AA230" s="48" t="s">
        <v>139</v>
      </c>
      <c r="AB230" s="79" t="s">
        <v>1125</v>
      </c>
      <c r="AC230" s="48" t="s">
        <v>139</v>
      </c>
      <c r="AD230" s="48" t="s">
        <v>139</v>
      </c>
      <c r="AE230" s="44"/>
      <c r="AF230" s="45"/>
      <c r="AG230" s="45"/>
      <c r="AH230" s="46"/>
      <c r="AI230" s="45"/>
      <c r="AJ230" s="45"/>
      <c r="AK230" s="45"/>
      <c r="AL230" s="3" t="s">
        <v>1582</v>
      </c>
    </row>
    <row r="231" spans="2:38" ht="40.5" hidden="1">
      <c r="B231" s="144">
        <f t="shared" si="3"/>
        <v>228</v>
      </c>
      <c r="C231" s="148" t="s">
        <v>3732</v>
      </c>
      <c r="D231" s="148"/>
      <c r="E231" s="148"/>
      <c r="F231" s="148"/>
      <c r="G231" s="148"/>
      <c r="H231" s="148"/>
      <c r="I231" s="148"/>
      <c r="J231" s="148"/>
      <c r="K231" s="165" t="s">
        <v>3661</v>
      </c>
      <c r="L231" s="165" t="s">
        <v>3657</v>
      </c>
      <c r="M231" s="165"/>
      <c r="N231" s="165"/>
      <c r="O231" s="165" t="s">
        <v>1849</v>
      </c>
      <c r="P231" s="165" t="s">
        <v>1849</v>
      </c>
      <c r="Q231" s="127" t="s">
        <v>1850</v>
      </c>
      <c r="R231" s="60" t="s">
        <v>1851</v>
      </c>
      <c r="S231" s="60"/>
      <c r="T231" s="60" t="s">
        <v>139</v>
      </c>
      <c r="U231" s="48" t="s">
        <v>139</v>
      </c>
      <c r="V231" s="48" t="s">
        <v>139</v>
      </c>
      <c r="W231" s="79" t="s">
        <v>1845</v>
      </c>
      <c r="X231" s="48" t="s">
        <v>139</v>
      </c>
      <c r="Y231" s="48" t="s">
        <v>139</v>
      </c>
      <c r="Z231" s="50" t="s">
        <v>139</v>
      </c>
      <c r="AA231" s="48" t="s">
        <v>139</v>
      </c>
      <c r="AB231" s="79" t="s">
        <v>1125</v>
      </c>
      <c r="AC231" s="48" t="s">
        <v>139</v>
      </c>
      <c r="AD231" s="48" t="s">
        <v>139</v>
      </c>
      <c r="AE231" s="44"/>
      <c r="AF231" s="45"/>
      <c r="AG231" s="45"/>
      <c r="AH231" s="46"/>
      <c r="AI231" s="45"/>
      <c r="AJ231" s="45"/>
      <c r="AK231" s="45"/>
      <c r="AL231" s="3" t="s">
        <v>1582</v>
      </c>
    </row>
    <row r="232" spans="2:38" ht="27" hidden="1">
      <c r="B232" s="144">
        <f t="shared" si="3"/>
        <v>229</v>
      </c>
      <c r="C232" s="148" t="s">
        <v>3732</v>
      </c>
      <c r="D232" s="148"/>
      <c r="E232" s="148"/>
      <c r="F232" s="148"/>
      <c r="G232" s="148"/>
      <c r="H232" s="148"/>
      <c r="I232" s="148"/>
      <c r="J232" s="148"/>
      <c r="K232" s="165" t="s">
        <v>3661</v>
      </c>
      <c r="L232" s="165" t="s">
        <v>3657</v>
      </c>
      <c r="M232" s="165"/>
      <c r="N232" s="165"/>
      <c r="O232" s="165" t="s">
        <v>1772</v>
      </c>
      <c r="P232" s="165" t="s">
        <v>1772</v>
      </c>
      <c r="Q232" s="127" t="s">
        <v>139</v>
      </c>
      <c r="R232" s="60" t="s">
        <v>1773</v>
      </c>
      <c r="S232" s="60"/>
      <c r="T232" s="60" t="s">
        <v>139</v>
      </c>
      <c r="U232" s="48" t="s">
        <v>139</v>
      </c>
      <c r="V232" s="48" t="s">
        <v>139</v>
      </c>
      <c r="W232" s="79" t="s">
        <v>1768</v>
      </c>
      <c r="X232" s="48" t="s">
        <v>139</v>
      </c>
      <c r="Y232" s="48" t="s">
        <v>139</v>
      </c>
      <c r="Z232" s="50" t="s">
        <v>139</v>
      </c>
      <c r="AA232" s="48" t="s">
        <v>139</v>
      </c>
      <c r="AB232" s="79" t="s">
        <v>1125</v>
      </c>
      <c r="AC232" s="48" t="s">
        <v>139</v>
      </c>
      <c r="AD232" s="48" t="s">
        <v>139</v>
      </c>
      <c r="AE232" s="44"/>
      <c r="AF232" s="45"/>
      <c r="AG232" s="45"/>
      <c r="AH232" s="46"/>
      <c r="AI232" s="45"/>
      <c r="AJ232" s="45"/>
      <c r="AK232" s="45"/>
      <c r="AL232" s="3" t="s">
        <v>1582</v>
      </c>
    </row>
    <row r="233" spans="2:38" ht="27" hidden="1">
      <c r="B233" s="144">
        <f t="shared" si="3"/>
        <v>230</v>
      </c>
      <c r="C233" s="148" t="s">
        <v>3732</v>
      </c>
      <c r="D233" s="148"/>
      <c r="E233" s="148"/>
      <c r="F233" s="148"/>
      <c r="G233" s="148"/>
      <c r="H233" s="148"/>
      <c r="I233" s="148"/>
      <c r="J233" s="148"/>
      <c r="K233" s="165" t="s">
        <v>3661</v>
      </c>
      <c r="L233" s="165" t="s">
        <v>3657</v>
      </c>
      <c r="M233" s="165"/>
      <c r="N233" s="165"/>
      <c r="O233" s="165" t="s">
        <v>1774</v>
      </c>
      <c r="P233" s="165" t="s">
        <v>1774</v>
      </c>
      <c r="Q233" s="127" t="s">
        <v>139</v>
      </c>
      <c r="R233" s="60" t="s">
        <v>1775</v>
      </c>
      <c r="S233" s="60"/>
      <c r="T233" s="60" t="s">
        <v>139</v>
      </c>
      <c r="U233" s="48" t="s">
        <v>139</v>
      </c>
      <c r="V233" s="48" t="s">
        <v>139</v>
      </c>
      <c r="W233" s="79" t="s">
        <v>1768</v>
      </c>
      <c r="X233" s="48" t="s">
        <v>139</v>
      </c>
      <c r="Y233" s="48" t="s">
        <v>139</v>
      </c>
      <c r="Z233" s="50" t="s">
        <v>139</v>
      </c>
      <c r="AA233" s="48" t="s">
        <v>139</v>
      </c>
      <c r="AB233" s="79" t="s">
        <v>1125</v>
      </c>
      <c r="AC233" s="48" t="s">
        <v>139</v>
      </c>
      <c r="AD233" s="48" t="s">
        <v>139</v>
      </c>
      <c r="AE233" s="44"/>
      <c r="AF233" s="45"/>
      <c r="AG233" s="45"/>
      <c r="AH233" s="46"/>
      <c r="AI233" s="45"/>
      <c r="AJ233" s="45"/>
      <c r="AK233" s="45"/>
      <c r="AL233" s="3" t="s">
        <v>1582</v>
      </c>
    </row>
    <row r="234" spans="2:38" ht="27" hidden="1">
      <c r="B234" s="144">
        <f t="shared" si="3"/>
        <v>231</v>
      </c>
      <c r="C234" s="148" t="s">
        <v>3732</v>
      </c>
      <c r="D234" s="148"/>
      <c r="E234" s="148"/>
      <c r="F234" s="148"/>
      <c r="G234" s="148"/>
      <c r="H234" s="148"/>
      <c r="I234" s="148"/>
      <c r="J234" s="148"/>
      <c r="K234" s="165" t="s">
        <v>3661</v>
      </c>
      <c r="L234" s="165" t="s">
        <v>3657</v>
      </c>
      <c r="M234" s="165"/>
      <c r="N234" s="165"/>
      <c r="O234" s="165" t="s">
        <v>1794</v>
      </c>
      <c r="P234" s="165" t="s">
        <v>1794</v>
      </c>
      <c r="Q234" s="127" t="s">
        <v>139</v>
      </c>
      <c r="R234" s="60" t="s">
        <v>1795</v>
      </c>
      <c r="S234" s="60"/>
      <c r="T234" s="60" t="s">
        <v>139</v>
      </c>
      <c r="U234" s="48" t="s">
        <v>139</v>
      </c>
      <c r="V234" s="48" t="s">
        <v>139</v>
      </c>
      <c r="W234" s="79" t="s">
        <v>1796</v>
      </c>
      <c r="X234" s="48" t="s">
        <v>139</v>
      </c>
      <c r="Y234" s="48" t="s">
        <v>139</v>
      </c>
      <c r="Z234" s="50" t="s">
        <v>139</v>
      </c>
      <c r="AA234" s="48" t="s">
        <v>139</v>
      </c>
      <c r="AB234" s="79" t="s">
        <v>1125</v>
      </c>
      <c r="AC234" s="48" t="s">
        <v>139</v>
      </c>
      <c r="AD234" s="48" t="s">
        <v>139</v>
      </c>
      <c r="AE234" s="44"/>
      <c r="AF234" s="45"/>
      <c r="AG234" s="45"/>
      <c r="AH234" s="46"/>
      <c r="AI234" s="45"/>
      <c r="AJ234" s="45"/>
      <c r="AK234" s="45"/>
      <c r="AL234" s="3" t="s">
        <v>1582</v>
      </c>
    </row>
    <row r="235" spans="2:38" ht="27" hidden="1">
      <c r="B235" s="144">
        <f t="shared" si="3"/>
        <v>232</v>
      </c>
      <c r="C235" s="148" t="s">
        <v>3732</v>
      </c>
      <c r="D235" s="148"/>
      <c r="E235" s="148"/>
      <c r="F235" s="148"/>
      <c r="G235" s="148"/>
      <c r="H235" s="148"/>
      <c r="I235" s="148"/>
      <c r="J235" s="148"/>
      <c r="K235" s="165" t="s">
        <v>3661</v>
      </c>
      <c r="L235" s="165" t="s">
        <v>3657</v>
      </c>
      <c r="M235" s="165"/>
      <c r="N235" s="165"/>
      <c r="O235" s="165" t="s">
        <v>1724</v>
      </c>
      <c r="P235" s="165" t="s">
        <v>1724</v>
      </c>
      <c r="Q235" s="127" t="s">
        <v>139</v>
      </c>
      <c r="R235" s="60" t="s">
        <v>1725</v>
      </c>
      <c r="S235" s="60"/>
      <c r="T235" s="60" t="s">
        <v>139</v>
      </c>
      <c r="U235" s="48" t="s">
        <v>139</v>
      </c>
      <c r="V235" s="48" t="s">
        <v>139</v>
      </c>
      <c r="W235" s="79" t="s">
        <v>1726</v>
      </c>
      <c r="X235" s="48" t="s">
        <v>139</v>
      </c>
      <c r="Y235" s="48" t="s">
        <v>139</v>
      </c>
      <c r="Z235" s="50" t="s">
        <v>139</v>
      </c>
      <c r="AA235" s="48" t="s">
        <v>139</v>
      </c>
      <c r="AB235" s="79" t="s">
        <v>1125</v>
      </c>
      <c r="AC235" s="48" t="s">
        <v>139</v>
      </c>
      <c r="AD235" s="48" t="s">
        <v>139</v>
      </c>
      <c r="AE235" s="44"/>
      <c r="AF235" s="45"/>
      <c r="AG235" s="45"/>
      <c r="AH235" s="46"/>
      <c r="AI235" s="45"/>
      <c r="AJ235" s="45"/>
      <c r="AK235" s="45"/>
      <c r="AL235" s="3" t="s">
        <v>1582</v>
      </c>
    </row>
    <row r="236" spans="2:38" hidden="1">
      <c r="B236" s="144">
        <f t="shared" si="3"/>
        <v>233</v>
      </c>
      <c r="C236" s="148" t="s">
        <v>3732</v>
      </c>
      <c r="D236" s="148"/>
      <c r="E236" s="148"/>
      <c r="F236" s="148"/>
      <c r="G236" s="148"/>
      <c r="H236" s="148"/>
      <c r="I236" s="148"/>
      <c r="J236" s="148"/>
      <c r="K236" s="165" t="s">
        <v>3661</v>
      </c>
      <c r="L236" s="165" t="s">
        <v>3657</v>
      </c>
      <c r="M236" s="165"/>
      <c r="N236" s="165"/>
      <c r="O236" s="165" t="s">
        <v>1779</v>
      </c>
      <c r="P236" s="165" t="s">
        <v>1779</v>
      </c>
      <c r="Q236" s="127" t="s">
        <v>139</v>
      </c>
      <c r="R236" s="60" t="s">
        <v>1780</v>
      </c>
      <c r="S236" s="60"/>
      <c r="T236" s="60" t="s">
        <v>139</v>
      </c>
      <c r="U236" s="48" t="s">
        <v>139</v>
      </c>
      <c r="V236" s="48" t="s">
        <v>139</v>
      </c>
      <c r="W236" s="79" t="s">
        <v>1778</v>
      </c>
      <c r="X236" s="48" t="s">
        <v>139</v>
      </c>
      <c r="Y236" s="48" t="s">
        <v>139</v>
      </c>
      <c r="Z236" s="50" t="s">
        <v>139</v>
      </c>
      <c r="AA236" s="48" t="s">
        <v>139</v>
      </c>
      <c r="AB236" s="79" t="s">
        <v>1125</v>
      </c>
      <c r="AC236" s="48" t="s">
        <v>139</v>
      </c>
      <c r="AD236" s="48" t="s">
        <v>139</v>
      </c>
      <c r="AE236" s="44"/>
      <c r="AF236" s="45"/>
      <c r="AG236" s="45"/>
      <c r="AH236" s="46"/>
      <c r="AI236" s="45"/>
      <c r="AJ236" s="45"/>
      <c r="AK236" s="45"/>
      <c r="AL236" s="3" t="s">
        <v>1582</v>
      </c>
    </row>
    <row r="237" spans="2:38" ht="27" hidden="1">
      <c r="B237" s="144">
        <f t="shared" si="3"/>
        <v>234</v>
      </c>
      <c r="C237" s="148" t="s">
        <v>3732</v>
      </c>
      <c r="D237" s="148"/>
      <c r="E237" s="148"/>
      <c r="F237" s="148"/>
      <c r="G237" s="148"/>
      <c r="H237" s="148"/>
      <c r="I237" s="148"/>
      <c r="J237" s="148"/>
      <c r="K237" s="165" t="s">
        <v>3661</v>
      </c>
      <c r="L237" s="165" t="s">
        <v>3657</v>
      </c>
      <c r="M237" s="165"/>
      <c r="N237" s="165"/>
      <c r="O237" s="165" t="s">
        <v>1781</v>
      </c>
      <c r="P237" s="165" t="s">
        <v>1781</v>
      </c>
      <c r="Q237" s="127" t="s">
        <v>139</v>
      </c>
      <c r="R237" s="60" t="s">
        <v>1782</v>
      </c>
      <c r="S237" s="60"/>
      <c r="T237" s="60" t="s">
        <v>139</v>
      </c>
      <c r="U237" s="48" t="s">
        <v>139</v>
      </c>
      <c r="V237" s="48" t="s">
        <v>139</v>
      </c>
      <c r="W237" s="79" t="s">
        <v>1783</v>
      </c>
      <c r="X237" s="48" t="s">
        <v>139</v>
      </c>
      <c r="Y237" s="48" t="s">
        <v>139</v>
      </c>
      <c r="Z237" s="50" t="s">
        <v>139</v>
      </c>
      <c r="AA237" s="48" t="s">
        <v>139</v>
      </c>
      <c r="AB237" s="79" t="s">
        <v>1125</v>
      </c>
      <c r="AC237" s="48" t="s">
        <v>139</v>
      </c>
      <c r="AD237" s="48" t="s">
        <v>139</v>
      </c>
      <c r="AE237" s="44"/>
      <c r="AF237" s="45"/>
      <c r="AG237" s="45"/>
      <c r="AH237" s="46"/>
      <c r="AI237" s="45"/>
      <c r="AJ237" s="45"/>
      <c r="AK237" s="45"/>
      <c r="AL237" s="3" t="s">
        <v>1582</v>
      </c>
    </row>
    <row r="238" spans="2:38" ht="27">
      <c r="B238" s="144">
        <f t="shared" si="3"/>
        <v>235</v>
      </c>
      <c r="C238" s="148" t="s">
        <v>3731</v>
      </c>
      <c r="D238" s="148"/>
      <c r="E238" s="148"/>
      <c r="F238" s="148"/>
      <c r="G238" s="148"/>
      <c r="H238" s="148"/>
      <c r="I238" s="148"/>
      <c r="J238" s="148"/>
      <c r="K238" s="165" t="s">
        <v>3661</v>
      </c>
      <c r="L238" s="165" t="s">
        <v>3657</v>
      </c>
      <c r="M238" s="165"/>
      <c r="N238" s="165"/>
      <c r="O238" s="165" t="s">
        <v>1105</v>
      </c>
      <c r="P238" s="165" t="s">
        <v>1105</v>
      </c>
      <c r="Q238" s="126" t="s">
        <v>1106</v>
      </c>
      <c r="R238" s="40" t="s">
        <v>1107</v>
      </c>
      <c r="S238" s="40"/>
      <c r="T238" s="40" t="s">
        <v>139</v>
      </c>
      <c r="U238" s="41" t="s">
        <v>139</v>
      </c>
      <c r="V238" s="41" t="s">
        <v>139</v>
      </c>
      <c r="W238" s="41" t="s">
        <v>1108</v>
      </c>
      <c r="X238" s="41" t="s">
        <v>139</v>
      </c>
      <c r="Y238" s="41" t="s">
        <v>139</v>
      </c>
      <c r="Z238" s="43" t="s">
        <v>139</v>
      </c>
      <c r="AA238" s="41" t="s">
        <v>139</v>
      </c>
      <c r="AB238" s="41" t="s">
        <v>1607</v>
      </c>
      <c r="AC238" s="41" t="s">
        <v>139</v>
      </c>
      <c r="AD238" s="41" t="s">
        <v>139</v>
      </c>
      <c r="AE238" s="44"/>
      <c r="AF238" s="45"/>
      <c r="AG238" s="45"/>
      <c r="AH238" s="46"/>
      <c r="AI238" s="45"/>
      <c r="AJ238" s="45"/>
      <c r="AK238" s="45"/>
      <c r="AL238" s="3" t="s">
        <v>1582</v>
      </c>
    </row>
    <row r="239" spans="2:38" ht="40.5">
      <c r="B239" s="144">
        <f t="shared" si="3"/>
        <v>236</v>
      </c>
      <c r="C239" s="148" t="s">
        <v>3731</v>
      </c>
      <c r="D239" s="148"/>
      <c r="E239" s="148"/>
      <c r="F239" s="148"/>
      <c r="G239" s="148"/>
      <c r="H239" s="148"/>
      <c r="I239" s="148"/>
      <c r="J239" s="148"/>
      <c r="K239" s="165" t="s">
        <v>3661</v>
      </c>
      <c r="L239" s="165" t="s">
        <v>3690</v>
      </c>
      <c r="M239" s="165"/>
      <c r="N239" s="165"/>
      <c r="O239" s="165" t="s">
        <v>3509</v>
      </c>
      <c r="P239" s="165" t="s">
        <v>2679</v>
      </c>
      <c r="Q239" s="126" t="s">
        <v>1637</v>
      </c>
      <c r="R239" s="40" t="s">
        <v>1998</v>
      </c>
      <c r="S239" s="40" t="s">
        <v>1979</v>
      </c>
      <c r="T239" s="40" t="s">
        <v>1895</v>
      </c>
      <c r="U239" s="41" t="s">
        <v>139</v>
      </c>
      <c r="V239" s="41" t="s">
        <v>139</v>
      </c>
      <c r="W239" s="41" t="s">
        <v>139</v>
      </c>
      <c r="X239" s="41" t="s">
        <v>139</v>
      </c>
      <c r="Y239" s="41" t="s">
        <v>1165</v>
      </c>
      <c r="Z239" s="43" t="s">
        <v>139</v>
      </c>
      <c r="AA239" s="41" t="s">
        <v>139</v>
      </c>
      <c r="AB239" s="41" t="s">
        <v>139</v>
      </c>
      <c r="AC239" s="41" t="s">
        <v>139</v>
      </c>
      <c r="AD239" s="41" t="s">
        <v>1166</v>
      </c>
      <c r="AE239" s="44"/>
      <c r="AF239" s="45"/>
      <c r="AG239" s="45"/>
      <c r="AH239" s="46"/>
      <c r="AI239" s="45"/>
      <c r="AJ239" s="45"/>
      <c r="AK239" s="45"/>
      <c r="AL239" s="3" t="s">
        <v>1582</v>
      </c>
    </row>
    <row r="240" spans="2:38" ht="40.5" hidden="1">
      <c r="B240" s="144">
        <f t="shared" si="3"/>
        <v>237</v>
      </c>
      <c r="C240" s="148" t="s">
        <v>3732</v>
      </c>
      <c r="D240" s="148"/>
      <c r="E240" s="148"/>
      <c r="F240" s="148"/>
      <c r="G240" s="148"/>
      <c r="H240" s="148"/>
      <c r="I240" s="148"/>
      <c r="J240" s="148"/>
      <c r="K240" s="165" t="s">
        <v>3661</v>
      </c>
      <c r="L240" s="165" t="s">
        <v>3690</v>
      </c>
      <c r="M240" s="65"/>
      <c r="N240" s="65"/>
      <c r="O240" s="65" t="s">
        <v>2877</v>
      </c>
      <c r="P240" s="65" t="s">
        <v>2877</v>
      </c>
      <c r="Q240" s="54" t="s">
        <v>1637</v>
      </c>
      <c r="R240" s="41" t="s">
        <v>2882</v>
      </c>
      <c r="S240" s="41"/>
      <c r="T240" s="41"/>
      <c r="U240" s="41" t="s">
        <v>2887</v>
      </c>
      <c r="V240" s="41" t="s">
        <v>139</v>
      </c>
      <c r="W240" s="41" t="s">
        <v>139</v>
      </c>
      <c r="X240" s="41" t="s">
        <v>139</v>
      </c>
      <c r="Y240" s="41" t="s">
        <v>139</v>
      </c>
      <c r="Z240" s="53" t="s">
        <v>235</v>
      </c>
      <c r="AA240" s="54" t="s">
        <v>139</v>
      </c>
      <c r="AB240" s="54" t="s">
        <v>139</v>
      </c>
      <c r="AC240" s="54" t="s">
        <v>139</v>
      </c>
      <c r="AD240" s="54" t="s">
        <v>139</v>
      </c>
      <c r="AE240" s="55"/>
      <c r="AF240" s="56"/>
      <c r="AG240" s="56"/>
      <c r="AH240" s="57"/>
      <c r="AI240" s="56"/>
      <c r="AJ240" s="56"/>
      <c r="AK240" s="56"/>
      <c r="AL240" s="3" t="s">
        <v>1582</v>
      </c>
    </row>
    <row r="241" spans="2:38" ht="40.5" hidden="1">
      <c r="B241" s="144">
        <f t="shared" si="3"/>
        <v>238</v>
      </c>
      <c r="C241" s="148" t="s">
        <v>3732</v>
      </c>
      <c r="D241" s="148"/>
      <c r="E241" s="148"/>
      <c r="F241" s="148"/>
      <c r="G241" s="148"/>
      <c r="H241" s="148"/>
      <c r="I241" s="148"/>
      <c r="J241" s="148"/>
      <c r="K241" s="165" t="s">
        <v>3661</v>
      </c>
      <c r="L241" s="165" t="s">
        <v>3690</v>
      </c>
      <c r="M241" s="65"/>
      <c r="N241" s="65"/>
      <c r="O241" s="65" t="s">
        <v>2819</v>
      </c>
      <c r="P241" s="65" t="s">
        <v>2819</v>
      </c>
      <c r="Q241" s="54" t="s">
        <v>1637</v>
      </c>
      <c r="R241" s="41" t="s">
        <v>2824</v>
      </c>
      <c r="S241" s="41"/>
      <c r="T241" s="41"/>
      <c r="U241" s="41" t="s">
        <v>2815</v>
      </c>
      <c r="V241" s="41" t="s">
        <v>139</v>
      </c>
      <c r="W241" s="41" t="s">
        <v>139</v>
      </c>
      <c r="X241" s="41" t="s">
        <v>139</v>
      </c>
      <c r="Y241" s="41" t="s">
        <v>139</v>
      </c>
      <c r="Z241" s="53" t="s">
        <v>218</v>
      </c>
      <c r="AA241" s="54" t="s">
        <v>139</v>
      </c>
      <c r="AB241" s="54" t="s">
        <v>139</v>
      </c>
      <c r="AC241" s="54" t="s">
        <v>139</v>
      </c>
      <c r="AD241" s="54" t="s">
        <v>139</v>
      </c>
      <c r="AE241" s="55"/>
      <c r="AF241" s="56"/>
      <c r="AG241" s="56"/>
      <c r="AH241" s="57"/>
      <c r="AI241" s="56"/>
      <c r="AJ241" s="56"/>
      <c r="AK241" s="56"/>
      <c r="AL241" s="3" t="s">
        <v>1582</v>
      </c>
    </row>
    <row r="242" spans="2:38" ht="40.5" hidden="1">
      <c r="B242" s="144">
        <f t="shared" si="3"/>
        <v>239</v>
      </c>
      <c r="C242" s="148" t="s">
        <v>3732</v>
      </c>
      <c r="D242" s="148"/>
      <c r="E242" s="148"/>
      <c r="F242" s="148"/>
      <c r="G242" s="148"/>
      <c r="H242" s="148"/>
      <c r="I242" s="148"/>
      <c r="J242" s="148"/>
      <c r="K242" s="165" t="s">
        <v>3661</v>
      </c>
      <c r="L242" s="165" t="s">
        <v>3690</v>
      </c>
      <c r="M242" s="65"/>
      <c r="N242" s="65"/>
      <c r="O242" s="65" t="s">
        <v>2822</v>
      </c>
      <c r="P242" s="65" t="s">
        <v>2822</v>
      </c>
      <c r="Q242" s="54" t="s">
        <v>1637</v>
      </c>
      <c r="R242" s="41" t="s">
        <v>2827</v>
      </c>
      <c r="S242" s="41"/>
      <c r="T242" s="41"/>
      <c r="U242" s="41" t="s">
        <v>2815</v>
      </c>
      <c r="V242" s="41" t="s">
        <v>139</v>
      </c>
      <c r="W242" s="41" t="s">
        <v>139</v>
      </c>
      <c r="X242" s="41" t="s">
        <v>139</v>
      </c>
      <c r="Y242" s="41" t="s">
        <v>139</v>
      </c>
      <c r="Z242" s="53" t="s">
        <v>218</v>
      </c>
      <c r="AA242" s="54" t="s">
        <v>139</v>
      </c>
      <c r="AB242" s="54" t="s">
        <v>139</v>
      </c>
      <c r="AC242" s="54" t="s">
        <v>139</v>
      </c>
      <c r="AD242" s="54" t="s">
        <v>139</v>
      </c>
      <c r="AE242" s="55"/>
      <c r="AF242" s="56"/>
      <c r="AG242" s="56"/>
      <c r="AH242" s="57"/>
      <c r="AI242" s="56"/>
      <c r="AJ242" s="56"/>
      <c r="AK242" s="56"/>
      <c r="AL242" s="3" t="s">
        <v>1582</v>
      </c>
    </row>
    <row r="243" spans="2:38" ht="27" hidden="1">
      <c r="B243" s="144">
        <f t="shared" si="3"/>
        <v>240</v>
      </c>
      <c r="C243" s="148" t="s">
        <v>3732</v>
      </c>
      <c r="D243" s="148"/>
      <c r="E243" s="148"/>
      <c r="F243" s="148"/>
      <c r="G243" s="148"/>
      <c r="H243" s="148"/>
      <c r="I243" s="148"/>
      <c r="J243" s="148"/>
      <c r="K243" s="165" t="s">
        <v>3661</v>
      </c>
      <c r="L243" s="165" t="s">
        <v>3690</v>
      </c>
      <c r="M243" s="65"/>
      <c r="N243" s="65"/>
      <c r="O243" s="65" t="s">
        <v>452</v>
      </c>
      <c r="P243" s="65" t="s">
        <v>452</v>
      </c>
      <c r="Q243" s="54" t="s">
        <v>139</v>
      </c>
      <c r="R243" s="41" t="s">
        <v>453</v>
      </c>
      <c r="S243" s="41"/>
      <c r="T243" s="41" t="s">
        <v>139</v>
      </c>
      <c r="U243" s="41" t="s">
        <v>454</v>
      </c>
      <c r="V243" s="41" t="s">
        <v>139</v>
      </c>
      <c r="W243" s="41" t="s">
        <v>139</v>
      </c>
      <c r="X243" s="41" t="s">
        <v>139</v>
      </c>
      <c r="Y243" s="41" t="s">
        <v>139</v>
      </c>
      <c r="Z243" s="53" t="s">
        <v>455</v>
      </c>
      <c r="AA243" s="54" t="s">
        <v>139</v>
      </c>
      <c r="AB243" s="54" t="s">
        <v>139</v>
      </c>
      <c r="AC243" s="54" t="s">
        <v>139</v>
      </c>
      <c r="AD243" s="54" t="s">
        <v>139</v>
      </c>
      <c r="AE243" s="55"/>
      <c r="AF243" s="56"/>
      <c r="AG243" s="56"/>
      <c r="AH243" s="57"/>
      <c r="AI243" s="56"/>
      <c r="AJ243" s="56"/>
      <c r="AK243" s="56"/>
      <c r="AL243" s="3" t="s">
        <v>1582</v>
      </c>
    </row>
    <row r="244" spans="2:38" ht="40.5" hidden="1">
      <c r="B244" s="144">
        <f t="shared" si="3"/>
        <v>241</v>
      </c>
      <c r="C244" s="148" t="s">
        <v>3732</v>
      </c>
      <c r="D244" s="148"/>
      <c r="E244" s="148"/>
      <c r="F244" s="148"/>
      <c r="G244" s="148"/>
      <c r="H244" s="148"/>
      <c r="I244" s="148"/>
      <c r="J244" s="148"/>
      <c r="K244" s="165" t="s">
        <v>3661</v>
      </c>
      <c r="L244" s="165" t="s">
        <v>3690</v>
      </c>
      <c r="M244" s="65"/>
      <c r="N244" s="65"/>
      <c r="O244" s="65" t="s">
        <v>2821</v>
      </c>
      <c r="P244" s="65" t="s">
        <v>2821</v>
      </c>
      <c r="Q244" s="54" t="s">
        <v>1637</v>
      </c>
      <c r="R244" s="41" t="s">
        <v>2826</v>
      </c>
      <c r="S244" s="41"/>
      <c r="T244" s="41"/>
      <c r="U244" s="41" t="s">
        <v>2815</v>
      </c>
      <c r="V244" s="41" t="s">
        <v>139</v>
      </c>
      <c r="W244" s="41" t="s">
        <v>139</v>
      </c>
      <c r="X244" s="41" t="s">
        <v>139</v>
      </c>
      <c r="Y244" s="41" t="s">
        <v>139</v>
      </c>
      <c r="Z244" s="53" t="s">
        <v>218</v>
      </c>
      <c r="AA244" s="54" t="s">
        <v>139</v>
      </c>
      <c r="AB244" s="54" t="s">
        <v>139</v>
      </c>
      <c r="AC244" s="54" t="s">
        <v>139</v>
      </c>
      <c r="AD244" s="54" t="s">
        <v>139</v>
      </c>
      <c r="AE244" s="55"/>
      <c r="AF244" s="56"/>
      <c r="AG244" s="56"/>
      <c r="AH244" s="57"/>
      <c r="AI244" s="56"/>
      <c r="AJ244" s="56"/>
      <c r="AK244" s="56"/>
      <c r="AL244" s="3" t="s">
        <v>1582</v>
      </c>
    </row>
    <row r="245" spans="2:38" ht="40.5" hidden="1">
      <c r="B245" s="144">
        <f t="shared" si="3"/>
        <v>242</v>
      </c>
      <c r="C245" s="148" t="s">
        <v>3732</v>
      </c>
      <c r="D245" s="148"/>
      <c r="E245" s="148"/>
      <c r="F245" s="148"/>
      <c r="G245" s="148"/>
      <c r="H245" s="148"/>
      <c r="I245" s="148"/>
      <c r="J245" s="148"/>
      <c r="K245" s="165" t="s">
        <v>3661</v>
      </c>
      <c r="L245" s="165" t="s">
        <v>3690</v>
      </c>
      <c r="M245" s="65"/>
      <c r="N245" s="65"/>
      <c r="O245" s="65" t="s">
        <v>2820</v>
      </c>
      <c r="P245" s="65" t="s">
        <v>2820</v>
      </c>
      <c r="Q245" s="54" t="s">
        <v>1637</v>
      </c>
      <c r="R245" s="41" t="s">
        <v>2825</v>
      </c>
      <c r="S245" s="41"/>
      <c r="T245" s="41"/>
      <c r="U245" s="41" t="s">
        <v>2815</v>
      </c>
      <c r="V245" s="41" t="s">
        <v>139</v>
      </c>
      <c r="W245" s="41" t="s">
        <v>139</v>
      </c>
      <c r="X245" s="41" t="s">
        <v>139</v>
      </c>
      <c r="Y245" s="41" t="s">
        <v>139</v>
      </c>
      <c r="Z245" s="53" t="s">
        <v>218</v>
      </c>
      <c r="AA245" s="54" t="s">
        <v>139</v>
      </c>
      <c r="AB245" s="54" t="s">
        <v>139</v>
      </c>
      <c r="AC245" s="54" t="s">
        <v>139</v>
      </c>
      <c r="AD245" s="54" t="s">
        <v>139</v>
      </c>
      <c r="AE245" s="55"/>
      <c r="AF245" s="56"/>
      <c r="AG245" s="56"/>
      <c r="AH245" s="57"/>
      <c r="AI245" s="56"/>
      <c r="AJ245" s="56"/>
      <c r="AK245" s="56"/>
      <c r="AL245" s="3" t="s">
        <v>1582</v>
      </c>
    </row>
    <row r="246" spans="2:38" ht="27" hidden="1">
      <c r="B246" s="144">
        <f t="shared" si="3"/>
        <v>243</v>
      </c>
      <c r="C246" s="148" t="s">
        <v>3732</v>
      </c>
      <c r="D246" s="148"/>
      <c r="E246" s="148"/>
      <c r="F246" s="148"/>
      <c r="G246" s="148"/>
      <c r="H246" s="148"/>
      <c r="I246" s="148"/>
      <c r="J246" s="148"/>
      <c r="K246" s="165" t="s">
        <v>3661</v>
      </c>
      <c r="L246" s="165" t="s">
        <v>3690</v>
      </c>
      <c r="M246" s="65"/>
      <c r="N246" s="165"/>
      <c r="O246" s="165" t="s">
        <v>1169</v>
      </c>
      <c r="P246" s="165" t="s">
        <v>1169</v>
      </c>
      <c r="Q246" s="126" t="s">
        <v>1170</v>
      </c>
      <c r="R246" s="40" t="s">
        <v>1171</v>
      </c>
      <c r="S246" s="40"/>
      <c r="T246" s="40" t="s">
        <v>139</v>
      </c>
      <c r="U246" s="41" t="s">
        <v>1172</v>
      </c>
      <c r="V246" s="41" t="s">
        <v>139</v>
      </c>
      <c r="W246" s="41" t="s">
        <v>139</v>
      </c>
      <c r="X246" s="41" t="s">
        <v>139</v>
      </c>
      <c r="Y246" s="41" t="s">
        <v>139</v>
      </c>
      <c r="Z246" s="43" t="s">
        <v>1138</v>
      </c>
      <c r="AA246" s="41" t="s">
        <v>139</v>
      </c>
      <c r="AB246" s="41" t="s">
        <v>139</v>
      </c>
      <c r="AC246" s="41" t="s">
        <v>139</v>
      </c>
      <c r="AD246" s="41" t="s">
        <v>139</v>
      </c>
      <c r="AE246" s="44"/>
      <c r="AF246" s="45"/>
      <c r="AG246" s="45"/>
      <c r="AH246" s="46"/>
      <c r="AI246" s="45"/>
      <c r="AJ246" s="45"/>
      <c r="AK246" s="45"/>
      <c r="AL246" s="3" t="s">
        <v>1582</v>
      </c>
    </row>
    <row r="247" spans="2:38" ht="27">
      <c r="B247" s="144">
        <f t="shared" si="3"/>
        <v>244</v>
      </c>
      <c r="C247" s="148" t="s">
        <v>3731</v>
      </c>
      <c r="D247" s="148"/>
      <c r="E247" s="148"/>
      <c r="F247" s="148"/>
      <c r="G247" s="148"/>
      <c r="H247" s="148"/>
      <c r="I247" s="148"/>
      <c r="J247" s="148"/>
      <c r="K247" s="165" t="s">
        <v>3661</v>
      </c>
      <c r="L247" s="165" t="s">
        <v>3690</v>
      </c>
      <c r="M247" s="65"/>
      <c r="N247" s="65"/>
      <c r="O247" s="65" t="s">
        <v>3510</v>
      </c>
      <c r="P247" s="65" t="s">
        <v>2984</v>
      </c>
      <c r="Q247" s="54" t="s">
        <v>139</v>
      </c>
      <c r="R247" s="70" t="s">
        <v>402</v>
      </c>
      <c r="S247" s="70" t="s">
        <v>403</v>
      </c>
      <c r="T247" s="41" t="s">
        <v>139</v>
      </c>
      <c r="U247" s="41" t="s">
        <v>404</v>
      </c>
      <c r="V247" s="41" t="s">
        <v>139</v>
      </c>
      <c r="W247" s="41" t="s">
        <v>139</v>
      </c>
      <c r="X247" s="41" t="s">
        <v>139</v>
      </c>
      <c r="Y247" s="41" t="s">
        <v>139</v>
      </c>
      <c r="Z247" s="53" t="s">
        <v>117</v>
      </c>
      <c r="AA247" s="54" t="s">
        <v>139</v>
      </c>
      <c r="AB247" s="54" t="s">
        <v>139</v>
      </c>
      <c r="AC247" s="54" t="s">
        <v>139</v>
      </c>
      <c r="AD247" s="54" t="s">
        <v>139</v>
      </c>
      <c r="AE247" s="55"/>
      <c r="AF247" s="56"/>
      <c r="AG247" s="56"/>
      <c r="AH247" s="57"/>
      <c r="AI247" s="56"/>
      <c r="AJ247" s="56"/>
      <c r="AK247" s="56"/>
      <c r="AL247" s="3" t="s">
        <v>1582</v>
      </c>
    </row>
    <row r="248" spans="2:38" ht="94.5" hidden="1">
      <c r="B248" s="144">
        <f t="shared" si="3"/>
        <v>245</v>
      </c>
      <c r="C248" s="148" t="s">
        <v>3732</v>
      </c>
      <c r="D248" s="148"/>
      <c r="E248" s="148"/>
      <c r="F248" s="148"/>
      <c r="G248" s="148"/>
      <c r="H248" s="148"/>
      <c r="I248" s="148"/>
      <c r="J248" s="148"/>
      <c r="K248" s="165" t="s">
        <v>3661</v>
      </c>
      <c r="L248" s="165" t="s">
        <v>3690</v>
      </c>
      <c r="M248" s="65"/>
      <c r="N248" s="65"/>
      <c r="O248" s="65" t="s">
        <v>3511</v>
      </c>
      <c r="P248" s="65" t="s">
        <v>2061</v>
      </c>
      <c r="Q248" s="54" t="s">
        <v>1637</v>
      </c>
      <c r="R248" s="70" t="s">
        <v>2062</v>
      </c>
      <c r="S248" s="41"/>
      <c r="T248" s="41" t="s">
        <v>1645</v>
      </c>
      <c r="U248" s="41" t="s">
        <v>139</v>
      </c>
      <c r="V248" s="41" t="s">
        <v>139</v>
      </c>
      <c r="W248" s="41" t="s">
        <v>139</v>
      </c>
      <c r="X248" s="41" t="s">
        <v>2059</v>
      </c>
      <c r="Y248" s="41" t="s">
        <v>139</v>
      </c>
      <c r="Z248" s="53" t="s">
        <v>139</v>
      </c>
      <c r="AA248" s="54" t="s">
        <v>139</v>
      </c>
      <c r="AB248" s="54" t="s">
        <v>139</v>
      </c>
      <c r="AC248" s="54" t="s">
        <v>2063</v>
      </c>
      <c r="AD248" s="54" t="s">
        <v>139</v>
      </c>
      <c r="AE248" s="55" t="s">
        <v>3218</v>
      </c>
      <c r="AF248" s="56"/>
      <c r="AG248" s="56"/>
      <c r="AH248" s="57"/>
      <c r="AI248" s="56"/>
      <c r="AJ248" s="56"/>
      <c r="AK248" s="56"/>
      <c r="AL248" s="3" t="s">
        <v>1582</v>
      </c>
    </row>
    <row r="249" spans="2:38" ht="27">
      <c r="B249" s="144">
        <f t="shared" si="3"/>
        <v>246</v>
      </c>
      <c r="C249" s="148" t="s">
        <v>3731</v>
      </c>
      <c r="D249" s="148"/>
      <c r="E249" s="148"/>
      <c r="F249" s="148"/>
      <c r="G249" s="148"/>
      <c r="H249" s="148"/>
      <c r="I249" s="148"/>
      <c r="J249" s="148"/>
      <c r="K249" s="165" t="s">
        <v>3661</v>
      </c>
      <c r="L249" s="165" t="s">
        <v>3690</v>
      </c>
      <c r="M249" s="65"/>
      <c r="N249" s="65"/>
      <c r="O249" s="65" t="s">
        <v>2801</v>
      </c>
      <c r="P249" s="65" t="s">
        <v>2801</v>
      </c>
      <c r="Q249" s="54" t="s">
        <v>1637</v>
      </c>
      <c r="R249" s="41" t="s">
        <v>2828</v>
      </c>
      <c r="S249" s="41"/>
      <c r="T249" s="41"/>
      <c r="U249" s="41" t="s">
        <v>2814</v>
      </c>
      <c r="V249" s="41" t="s">
        <v>139</v>
      </c>
      <c r="W249" s="41" t="s">
        <v>139</v>
      </c>
      <c r="X249" s="41" t="s">
        <v>139</v>
      </c>
      <c r="Y249" s="41" t="s">
        <v>139</v>
      </c>
      <c r="Z249" s="53" t="s">
        <v>218</v>
      </c>
      <c r="AA249" s="54" t="s">
        <v>139</v>
      </c>
      <c r="AB249" s="54" t="s">
        <v>139</v>
      </c>
      <c r="AC249" s="54" t="s">
        <v>139</v>
      </c>
      <c r="AD249" s="54" t="s">
        <v>139</v>
      </c>
      <c r="AE249" s="55"/>
      <c r="AF249" s="56"/>
      <c r="AG249" s="56"/>
      <c r="AH249" s="57"/>
      <c r="AI249" s="56"/>
      <c r="AJ249" s="56"/>
      <c r="AK249" s="56"/>
      <c r="AL249" s="3" t="s">
        <v>1582</v>
      </c>
    </row>
    <row r="250" spans="2:38" ht="27">
      <c r="B250" s="144">
        <f t="shared" si="3"/>
        <v>247</v>
      </c>
      <c r="C250" s="148" t="s">
        <v>3731</v>
      </c>
      <c r="D250" s="148"/>
      <c r="E250" s="148"/>
      <c r="F250" s="148"/>
      <c r="G250" s="148"/>
      <c r="H250" s="148"/>
      <c r="I250" s="148"/>
      <c r="J250" s="148"/>
      <c r="K250" s="165" t="s">
        <v>3661</v>
      </c>
      <c r="L250" s="165" t="s">
        <v>3690</v>
      </c>
      <c r="M250" s="65"/>
      <c r="N250" s="65"/>
      <c r="O250" s="65" t="s">
        <v>2802</v>
      </c>
      <c r="P250" s="65" t="s">
        <v>2802</v>
      </c>
      <c r="Q250" s="54" t="s">
        <v>1637</v>
      </c>
      <c r="R250" s="41" t="s">
        <v>2808</v>
      </c>
      <c r="S250" s="41"/>
      <c r="T250" s="41"/>
      <c r="U250" s="41" t="s">
        <v>2814</v>
      </c>
      <c r="V250" s="41" t="s">
        <v>139</v>
      </c>
      <c r="W250" s="41" t="s">
        <v>139</v>
      </c>
      <c r="X250" s="41" t="s">
        <v>139</v>
      </c>
      <c r="Y250" s="41" t="s">
        <v>139</v>
      </c>
      <c r="Z250" s="53" t="s">
        <v>218</v>
      </c>
      <c r="AA250" s="54" t="s">
        <v>139</v>
      </c>
      <c r="AB250" s="54" t="s">
        <v>139</v>
      </c>
      <c r="AC250" s="54" t="s">
        <v>139</v>
      </c>
      <c r="AD250" s="54" t="s">
        <v>139</v>
      </c>
      <c r="AE250" s="55"/>
      <c r="AF250" s="56"/>
      <c r="AG250" s="56"/>
      <c r="AH250" s="57"/>
      <c r="AI250" s="56"/>
      <c r="AJ250" s="56"/>
      <c r="AK250" s="56"/>
      <c r="AL250" s="3" t="s">
        <v>1582</v>
      </c>
    </row>
    <row r="251" spans="2:38" ht="27">
      <c r="B251" s="144">
        <f t="shared" si="3"/>
        <v>248</v>
      </c>
      <c r="C251" s="148" t="s">
        <v>3731</v>
      </c>
      <c r="D251" s="148"/>
      <c r="E251" s="148"/>
      <c r="F251" s="148"/>
      <c r="G251" s="148"/>
      <c r="H251" s="148"/>
      <c r="I251" s="148"/>
      <c r="J251" s="148"/>
      <c r="K251" s="165" t="s">
        <v>3661</v>
      </c>
      <c r="L251" s="165" t="s">
        <v>3690</v>
      </c>
      <c r="M251" s="65"/>
      <c r="N251" s="65"/>
      <c r="O251" s="65" t="s">
        <v>2805</v>
      </c>
      <c r="P251" s="65" t="s">
        <v>2805</v>
      </c>
      <c r="Q251" s="54" t="s">
        <v>1637</v>
      </c>
      <c r="R251" s="41" t="s">
        <v>2811</v>
      </c>
      <c r="S251" s="41"/>
      <c r="T251" s="41"/>
      <c r="U251" s="41" t="s">
        <v>2814</v>
      </c>
      <c r="V251" s="41" t="s">
        <v>139</v>
      </c>
      <c r="W251" s="41" t="s">
        <v>139</v>
      </c>
      <c r="X251" s="41" t="s">
        <v>139</v>
      </c>
      <c r="Y251" s="41" t="s">
        <v>139</v>
      </c>
      <c r="Z251" s="53" t="s">
        <v>218</v>
      </c>
      <c r="AA251" s="54" t="s">
        <v>139</v>
      </c>
      <c r="AB251" s="54" t="s">
        <v>139</v>
      </c>
      <c r="AC251" s="54" t="s">
        <v>139</v>
      </c>
      <c r="AD251" s="54" t="s">
        <v>139</v>
      </c>
      <c r="AE251" s="55"/>
      <c r="AF251" s="56"/>
      <c r="AG251" s="56"/>
      <c r="AH251" s="57"/>
      <c r="AI251" s="56"/>
      <c r="AJ251" s="56"/>
      <c r="AK251" s="56"/>
      <c r="AL251" s="3" t="s">
        <v>1582</v>
      </c>
    </row>
    <row r="252" spans="2:38" hidden="1">
      <c r="B252" s="144">
        <f t="shared" si="3"/>
        <v>249</v>
      </c>
      <c r="C252" s="148" t="s">
        <v>3732</v>
      </c>
      <c r="D252" s="148"/>
      <c r="E252" s="148"/>
      <c r="F252" s="148"/>
      <c r="G252" s="148"/>
      <c r="H252" s="148"/>
      <c r="I252" s="148"/>
      <c r="J252" s="148"/>
      <c r="K252" s="165" t="s">
        <v>3661</v>
      </c>
      <c r="L252" s="165" t="s">
        <v>3690</v>
      </c>
      <c r="M252" s="65"/>
      <c r="N252" s="65"/>
      <c r="O252" s="65" t="s">
        <v>3513</v>
      </c>
      <c r="P252" s="65" t="s">
        <v>3297</v>
      </c>
      <c r="Q252" s="54" t="s">
        <v>139</v>
      </c>
      <c r="R252" s="41" t="s">
        <v>463</v>
      </c>
      <c r="S252" s="41"/>
      <c r="T252" s="41" t="s">
        <v>139</v>
      </c>
      <c r="U252" s="41" t="s">
        <v>378</v>
      </c>
      <c r="V252" s="41" t="s">
        <v>139</v>
      </c>
      <c r="W252" s="41" t="s">
        <v>139</v>
      </c>
      <c r="X252" s="41" t="s">
        <v>139</v>
      </c>
      <c r="Y252" s="41" t="s">
        <v>139</v>
      </c>
      <c r="Z252" s="53" t="s">
        <v>163</v>
      </c>
      <c r="AA252" s="54" t="s">
        <v>139</v>
      </c>
      <c r="AB252" s="54" t="s">
        <v>139</v>
      </c>
      <c r="AC252" s="54" t="s">
        <v>139</v>
      </c>
      <c r="AD252" s="54" t="s">
        <v>139</v>
      </c>
      <c r="AE252" s="55"/>
      <c r="AF252" s="56"/>
      <c r="AG252" s="56"/>
      <c r="AH252" s="57"/>
      <c r="AI252" s="56"/>
      <c r="AJ252" s="56"/>
      <c r="AK252" s="56"/>
      <c r="AL252" s="3" t="s">
        <v>1582</v>
      </c>
    </row>
    <row r="253" spans="2:38" hidden="1">
      <c r="B253" s="144">
        <f t="shared" si="3"/>
        <v>250</v>
      </c>
      <c r="C253" s="148" t="s">
        <v>3732</v>
      </c>
      <c r="D253" s="148"/>
      <c r="E253" s="148"/>
      <c r="F253" s="148"/>
      <c r="G253" s="148"/>
      <c r="H253" s="148"/>
      <c r="I253" s="148"/>
      <c r="J253" s="148"/>
      <c r="K253" s="165" t="s">
        <v>3661</v>
      </c>
      <c r="L253" s="165" t="s">
        <v>3690</v>
      </c>
      <c r="M253" s="65"/>
      <c r="N253" s="65"/>
      <c r="O253" s="65" t="s">
        <v>362</v>
      </c>
      <c r="P253" s="65" t="s">
        <v>362</v>
      </c>
      <c r="Q253" s="54" t="s">
        <v>139</v>
      </c>
      <c r="R253" s="41" t="s">
        <v>363</v>
      </c>
      <c r="S253" s="41"/>
      <c r="T253" s="41" t="s">
        <v>192</v>
      </c>
      <c r="U253" s="41" t="s">
        <v>162</v>
      </c>
      <c r="V253" s="41" t="s">
        <v>139</v>
      </c>
      <c r="W253" s="41" t="s">
        <v>139</v>
      </c>
      <c r="X253" s="41" t="s">
        <v>139</v>
      </c>
      <c r="Y253" s="41" t="s">
        <v>139</v>
      </c>
      <c r="Z253" s="53" t="s">
        <v>163</v>
      </c>
      <c r="AA253" s="54" t="s">
        <v>139</v>
      </c>
      <c r="AB253" s="54" t="s">
        <v>139</v>
      </c>
      <c r="AC253" s="54" t="s">
        <v>139</v>
      </c>
      <c r="AD253" s="54" t="s">
        <v>139</v>
      </c>
      <c r="AE253" s="55"/>
      <c r="AF253" s="56"/>
      <c r="AG253" s="56"/>
      <c r="AH253" s="57"/>
      <c r="AI253" s="56"/>
      <c r="AJ253" s="56"/>
      <c r="AK253" s="56"/>
      <c r="AL253" s="3" t="s">
        <v>1582</v>
      </c>
    </row>
    <row r="254" spans="2:38" ht="54" hidden="1">
      <c r="B254" s="144">
        <f t="shared" si="3"/>
        <v>251</v>
      </c>
      <c r="C254" s="148" t="s">
        <v>3732</v>
      </c>
      <c r="D254" s="148"/>
      <c r="E254" s="148"/>
      <c r="F254" s="148"/>
      <c r="G254" s="148"/>
      <c r="H254" s="148"/>
      <c r="I254" s="148"/>
      <c r="J254" s="148"/>
      <c r="K254" s="165" t="s">
        <v>3661</v>
      </c>
      <c r="L254" s="65" t="s">
        <v>3690</v>
      </c>
      <c r="M254" s="65"/>
      <c r="N254" s="65"/>
      <c r="O254" s="65" t="s">
        <v>2418</v>
      </c>
      <c r="P254" s="65" t="s">
        <v>2418</v>
      </c>
      <c r="Q254" s="54" t="s">
        <v>1637</v>
      </c>
      <c r="R254" s="41" t="s">
        <v>2450</v>
      </c>
      <c r="S254" s="41" t="s">
        <v>2548</v>
      </c>
      <c r="T254" s="41"/>
      <c r="U254" s="41" t="s">
        <v>139</v>
      </c>
      <c r="V254" s="41" t="s">
        <v>139</v>
      </c>
      <c r="W254" s="41" t="s">
        <v>139</v>
      </c>
      <c r="X254" s="41" t="s">
        <v>2670</v>
      </c>
      <c r="Y254" s="41" t="s">
        <v>139</v>
      </c>
      <c r="Z254" s="53" t="s">
        <v>139</v>
      </c>
      <c r="AA254" s="54" t="s">
        <v>139</v>
      </c>
      <c r="AB254" s="54" t="s">
        <v>139</v>
      </c>
      <c r="AC254" s="54" t="s">
        <v>2667</v>
      </c>
      <c r="AD254" s="54" t="s">
        <v>139</v>
      </c>
      <c r="AE254" s="55"/>
      <c r="AF254" s="56"/>
      <c r="AG254" s="56"/>
      <c r="AH254" s="57"/>
      <c r="AI254" s="56"/>
      <c r="AJ254" s="56"/>
      <c r="AK254" s="56"/>
      <c r="AL254" s="3" t="s">
        <v>1582</v>
      </c>
    </row>
    <row r="255" spans="2:38" ht="40.5" hidden="1">
      <c r="B255" s="144">
        <f t="shared" si="3"/>
        <v>252</v>
      </c>
      <c r="C255" s="148" t="s">
        <v>3732</v>
      </c>
      <c r="D255" s="148"/>
      <c r="E255" s="148"/>
      <c r="F255" s="148"/>
      <c r="G255" s="148"/>
      <c r="H255" s="148"/>
      <c r="I255" s="148"/>
      <c r="J255" s="148"/>
      <c r="K255" s="165" t="s">
        <v>3661</v>
      </c>
      <c r="L255" s="65" t="s">
        <v>3690</v>
      </c>
      <c r="M255" s="65"/>
      <c r="N255" s="65"/>
      <c r="O255" s="65" t="s">
        <v>2402</v>
      </c>
      <c r="P255" s="65" t="s">
        <v>2402</v>
      </c>
      <c r="Q255" s="54" t="s">
        <v>1637</v>
      </c>
      <c r="R255" s="41" t="s">
        <v>2444</v>
      </c>
      <c r="S255" s="41" t="s">
        <v>2445</v>
      </c>
      <c r="T255" s="41"/>
      <c r="U255" s="41" t="s">
        <v>139</v>
      </c>
      <c r="V255" s="41" t="s">
        <v>139</v>
      </c>
      <c r="W255" s="41" t="s">
        <v>139</v>
      </c>
      <c r="X255" s="41" t="s">
        <v>2670</v>
      </c>
      <c r="Y255" s="41" t="s">
        <v>139</v>
      </c>
      <c r="Z255" s="53" t="s">
        <v>139</v>
      </c>
      <c r="AA255" s="54" t="s">
        <v>139</v>
      </c>
      <c r="AB255" s="54" t="s">
        <v>139</v>
      </c>
      <c r="AC255" s="54" t="s">
        <v>2667</v>
      </c>
      <c r="AD255" s="54" t="s">
        <v>139</v>
      </c>
      <c r="AE255" s="55"/>
      <c r="AF255" s="56"/>
      <c r="AG255" s="56"/>
      <c r="AH255" s="57"/>
      <c r="AI255" s="56"/>
      <c r="AJ255" s="56"/>
      <c r="AK255" s="56"/>
      <c r="AL255" s="3" t="s">
        <v>1582</v>
      </c>
    </row>
    <row r="256" spans="2:38" ht="40.5" hidden="1">
      <c r="B256" s="144">
        <f t="shared" si="3"/>
        <v>253</v>
      </c>
      <c r="C256" s="148" t="s">
        <v>3732</v>
      </c>
      <c r="D256" s="148"/>
      <c r="E256" s="148"/>
      <c r="F256" s="148"/>
      <c r="G256" s="148"/>
      <c r="H256" s="148"/>
      <c r="I256" s="148"/>
      <c r="J256" s="148"/>
      <c r="K256" s="165" t="s">
        <v>3661</v>
      </c>
      <c r="L256" s="65" t="s">
        <v>3690</v>
      </c>
      <c r="M256" s="65"/>
      <c r="N256" s="65"/>
      <c r="O256" s="65" t="s">
        <v>2421</v>
      </c>
      <c r="P256" s="65" t="s">
        <v>2421</v>
      </c>
      <c r="Q256" s="54" t="s">
        <v>1637</v>
      </c>
      <c r="R256" s="41" t="s">
        <v>2451</v>
      </c>
      <c r="S256" s="41" t="s">
        <v>2549</v>
      </c>
      <c r="T256" s="41"/>
      <c r="U256" s="41" t="s">
        <v>139</v>
      </c>
      <c r="V256" s="41" t="s">
        <v>139</v>
      </c>
      <c r="W256" s="41" t="s">
        <v>139</v>
      </c>
      <c r="X256" s="41" t="s">
        <v>2670</v>
      </c>
      <c r="Y256" s="41" t="s">
        <v>139</v>
      </c>
      <c r="Z256" s="53" t="s">
        <v>139</v>
      </c>
      <c r="AA256" s="54" t="s">
        <v>139</v>
      </c>
      <c r="AB256" s="54" t="s">
        <v>139</v>
      </c>
      <c r="AC256" s="54" t="s">
        <v>2667</v>
      </c>
      <c r="AD256" s="54" t="s">
        <v>139</v>
      </c>
      <c r="AE256" s="55"/>
      <c r="AF256" s="56"/>
      <c r="AG256" s="56"/>
      <c r="AH256" s="57"/>
      <c r="AI256" s="56"/>
      <c r="AJ256" s="56"/>
      <c r="AK256" s="56"/>
      <c r="AL256" s="3" t="s">
        <v>1582</v>
      </c>
    </row>
    <row r="257" spans="2:38" ht="40.5" hidden="1">
      <c r="B257" s="144">
        <f t="shared" si="3"/>
        <v>254</v>
      </c>
      <c r="C257" s="148" t="s">
        <v>3732</v>
      </c>
      <c r="D257" s="148"/>
      <c r="E257" s="148"/>
      <c r="F257" s="148"/>
      <c r="G257" s="148"/>
      <c r="H257" s="148"/>
      <c r="I257" s="148"/>
      <c r="J257" s="148"/>
      <c r="K257" s="165" t="s">
        <v>3661</v>
      </c>
      <c r="L257" s="65" t="s">
        <v>3690</v>
      </c>
      <c r="M257" s="65"/>
      <c r="N257" s="65"/>
      <c r="O257" s="65" t="s">
        <v>2388</v>
      </c>
      <c r="P257" s="65" t="s">
        <v>2388</v>
      </c>
      <c r="Q257" s="54" t="s">
        <v>1637</v>
      </c>
      <c r="R257" s="41" t="s">
        <v>3137</v>
      </c>
      <c r="S257" s="41" t="s">
        <v>2550</v>
      </c>
      <c r="T257" s="41" t="s">
        <v>1645</v>
      </c>
      <c r="U257" s="41" t="s">
        <v>139</v>
      </c>
      <c r="V257" s="41" t="s">
        <v>139</v>
      </c>
      <c r="W257" s="41" t="s">
        <v>139</v>
      </c>
      <c r="X257" s="41" t="s">
        <v>2670</v>
      </c>
      <c r="Y257" s="41" t="s">
        <v>139</v>
      </c>
      <c r="Z257" s="53" t="s">
        <v>139</v>
      </c>
      <c r="AA257" s="54" t="s">
        <v>139</v>
      </c>
      <c r="AB257" s="54" t="s">
        <v>139</v>
      </c>
      <c r="AC257" s="54" t="s">
        <v>2667</v>
      </c>
      <c r="AD257" s="54" t="s">
        <v>139</v>
      </c>
      <c r="AE257" s="55"/>
      <c r="AF257" s="56"/>
      <c r="AG257" s="56"/>
      <c r="AH257" s="57"/>
      <c r="AI257" s="56"/>
      <c r="AJ257" s="56"/>
      <c r="AK257" s="56"/>
      <c r="AL257" s="3" t="s">
        <v>1582</v>
      </c>
    </row>
    <row r="258" spans="2:38" ht="40.5" hidden="1">
      <c r="B258" s="144">
        <f t="shared" si="3"/>
        <v>255</v>
      </c>
      <c r="C258" s="148" t="s">
        <v>3732</v>
      </c>
      <c r="D258" s="148"/>
      <c r="E258" s="148"/>
      <c r="F258" s="148"/>
      <c r="G258" s="148"/>
      <c r="H258" s="148"/>
      <c r="I258" s="148"/>
      <c r="J258" s="148"/>
      <c r="K258" s="165" t="s">
        <v>3661</v>
      </c>
      <c r="L258" s="65" t="s">
        <v>3690</v>
      </c>
      <c r="M258" s="65"/>
      <c r="N258" s="65"/>
      <c r="O258" s="65" t="s">
        <v>2391</v>
      </c>
      <c r="P258" s="65" t="s">
        <v>2391</v>
      </c>
      <c r="Q258" s="54" t="s">
        <v>1637</v>
      </c>
      <c r="R258" s="41" t="s">
        <v>3138</v>
      </c>
      <c r="S258" s="41" t="s">
        <v>2551</v>
      </c>
      <c r="T258" s="41" t="s">
        <v>1645</v>
      </c>
      <c r="U258" s="41" t="s">
        <v>139</v>
      </c>
      <c r="V258" s="41" t="s">
        <v>139</v>
      </c>
      <c r="W258" s="41" t="s">
        <v>139</v>
      </c>
      <c r="X258" s="41" t="s">
        <v>2670</v>
      </c>
      <c r="Y258" s="41" t="s">
        <v>139</v>
      </c>
      <c r="Z258" s="53" t="s">
        <v>139</v>
      </c>
      <c r="AA258" s="54" t="s">
        <v>139</v>
      </c>
      <c r="AB258" s="54" t="s">
        <v>139</v>
      </c>
      <c r="AC258" s="54" t="s">
        <v>2667</v>
      </c>
      <c r="AD258" s="54" t="s">
        <v>139</v>
      </c>
      <c r="AE258" s="55"/>
      <c r="AF258" s="56"/>
      <c r="AG258" s="56"/>
      <c r="AH258" s="57"/>
      <c r="AI258" s="56"/>
      <c r="AJ258" s="56"/>
      <c r="AK258" s="56"/>
      <c r="AL258" s="3" t="s">
        <v>1582</v>
      </c>
    </row>
    <row r="259" spans="2:38" ht="40.5" hidden="1">
      <c r="B259" s="144">
        <f t="shared" si="3"/>
        <v>256</v>
      </c>
      <c r="C259" s="148" t="s">
        <v>3732</v>
      </c>
      <c r="D259" s="148"/>
      <c r="E259" s="148"/>
      <c r="F259" s="148"/>
      <c r="G259" s="148"/>
      <c r="H259" s="148"/>
      <c r="I259" s="148"/>
      <c r="J259" s="148"/>
      <c r="K259" s="165" t="s">
        <v>3661</v>
      </c>
      <c r="L259" s="65" t="s">
        <v>3690</v>
      </c>
      <c r="M259" s="65"/>
      <c r="N259" s="65"/>
      <c r="O259" s="65" t="s">
        <v>2389</v>
      </c>
      <c r="P259" s="65" t="s">
        <v>2389</v>
      </c>
      <c r="Q259" s="54" t="s">
        <v>1637</v>
      </c>
      <c r="R259" s="41" t="s">
        <v>3139</v>
      </c>
      <c r="S259" s="41" t="s">
        <v>2552</v>
      </c>
      <c r="T259" s="41" t="s">
        <v>1645</v>
      </c>
      <c r="U259" s="41" t="s">
        <v>139</v>
      </c>
      <c r="V259" s="41" t="s">
        <v>139</v>
      </c>
      <c r="W259" s="41" t="s">
        <v>139</v>
      </c>
      <c r="X259" s="41" t="s">
        <v>2670</v>
      </c>
      <c r="Y259" s="41" t="s">
        <v>139</v>
      </c>
      <c r="Z259" s="53" t="s">
        <v>139</v>
      </c>
      <c r="AA259" s="54" t="s">
        <v>139</v>
      </c>
      <c r="AB259" s="54" t="s">
        <v>139</v>
      </c>
      <c r="AC259" s="54" t="s">
        <v>2667</v>
      </c>
      <c r="AD259" s="54" t="s">
        <v>139</v>
      </c>
      <c r="AE259" s="55"/>
      <c r="AF259" s="56"/>
      <c r="AG259" s="56"/>
      <c r="AH259" s="57"/>
      <c r="AI259" s="56"/>
      <c r="AJ259" s="56"/>
      <c r="AK259" s="56"/>
      <c r="AL259" s="3" t="s">
        <v>1582</v>
      </c>
    </row>
    <row r="260" spans="2:38" ht="40.5" hidden="1">
      <c r="B260" s="144">
        <f t="shared" si="3"/>
        <v>257</v>
      </c>
      <c r="C260" s="148" t="s">
        <v>3732</v>
      </c>
      <c r="D260" s="148"/>
      <c r="E260" s="148"/>
      <c r="F260" s="148"/>
      <c r="G260" s="148"/>
      <c r="H260" s="148"/>
      <c r="I260" s="148"/>
      <c r="J260" s="148"/>
      <c r="K260" s="165" t="s">
        <v>3661</v>
      </c>
      <c r="L260" s="65" t="s">
        <v>3690</v>
      </c>
      <c r="M260" s="65"/>
      <c r="N260" s="65"/>
      <c r="O260" s="65" t="s">
        <v>2390</v>
      </c>
      <c r="P260" s="65" t="s">
        <v>2390</v>
      </c>
      <c r="Q260" s="54" t="s">
        <v>1637</v>
      </c>
      <c r="R260" s="41" t="s">
        <v>3140</v>
      </c>
      <c r="S260" s="41" t="s">
        <v>2553</v>
      </c>
      <c r="T260" s="41" t="s">
        <v>1645</v>
      </c>
      <c r="U260" s="41" t="s">
        <v>139</v>
      </c>
      <c r="V260" s="41" t="s">
        <v>139</v>
      </c>
      <c r="W260" s="41" t="s">
        <v>139</v>
      </c>
      <c r="X260" s="41" t="s">
        <v>2670</v>
      </c>
      <c r="Y260" s="41" t="s">
        <v>139</v>
      </c>
      <c r="Z260" s="53" t="s">
        <v>139</v>
      </c>
      <c r="AA260" s="54" t="s">
        <v>139</v>
      </c>
      <c r="AB260" s="54" t="s">
        <v>139</v>
      </c>
      <c r="AC260" s="54" t="s">
        <v>2667</v>
      </c>
      <c r="AD260" s="54" t="s">
        <v>139</v>
      </c>
      <c r="AE260" s="55"/>
      <c r="AF260" s="56"/>
      <c r="AG260" s="56"/>
      <c r="AH260" s="57"/>
      <c r="AI260" s="56"/>
      <c r="AJ260" s="56"/>
      <c r="AK260" s="56"/>
      <c r="AL260" s="3" t="s">
        <v>1582</v>
      </c>
    </row>
    <row r="261" spans="2:38" ht="40.5" hidden="1">
      <c r="B261" s="144">
        <f t="shared" ref="B261:B302" si="4">ROW()-3</f>
        <v>258</v>
      </c>
      <c r="C261" s="148" t="s">
        <v>3732</v>
      </c>
      <c r="D261" s="148"/>
      <c r="E261" s="148"/>
      <c r="F261" s="148"/>
      <c r="G261" s="148"/>
      <c r="H261" s="148"/>
      <c r="I261" s="148"/>
      <c r="J261" s="148"/>
      <c r="K261" s="165" t="s">
        <v>3661</v>
      </c>
      <c r="L261" s="65" t="s">
        <v>3690</v>
      </c>
      <c r="M261" s="65"/>
      <c r="N261" s="65"/>
      <c r="O261" s="65" t="s">
        <v>2386</v>
      </c>
      <c r="P261" s="65" t="s">
        <v>2386</v>
      </c>
      <c r="Q261" s="54" t="s">
        <v>1637</v>
      </c>
      <c r="R261" s="41" t="s">
        <v>3141</v>
      </c>
      <c r="S261" s="41" t="s">
        <v>2554</v>
      </c>
      <c r="T261" s="41" t="s">
        <v>1645</v>
      </c>
      <c r="U261" s="41" t="s">
        <v>139</v>
      </c>
      <c r="V261" s="41" t="s">
        <v>139</v>
      </c>
      <c r="W261" s="41" t="s">
        <v>139</v>
      </c>
      <c r="X261" s="41" t="s">
        <v>2670</v>
      </c>
      <c r="Y261" s="41" t="s">
        <v>139</v>
      </c>
      <c r="Z261" s="53" t="s">
        <v>139</v>
      </c>
      <c r="AA261" s="54" t="s">
        <v>139</v>
      </c>
      <c r="AB261" s="54" t="s">
        <v>139</v>
      </c>
      <c r="AC261" s="54" t="s">
        <v>2667</v>
      </c>
      <c r="AD261" s="54" t="s">
        <v>139</v>
      </c>
      <c r="AE261" s="55"/>
      <c r="AF261" s="56"/>
      <c r="AG261" s="56"/>
      <c r="AH261" s="57"/>
      <c r="AI261" s="56"/>
      <c r="AJ261" s="56"/>
      <c r="AK261" s="56"/>
      <c r="AL261" s="3" t="s">
        <v>1582</v>
      </c>
    </row>
    <row r="262" spans="2:38" ht="40.5" hidden="1">
      <c r="B262" s="144">
        <f t="shared" si="4"/>
        <v>259</v>
      </c>
      <c r="C262" s="148" t="s">
        <v>3732</v>
      </c>
      <c r="D262" s="148"/>
      <c r="E262" s="148"/>
      <c r="F262" s="148"/>
      <c r="G262" s="148"/>
      <c r="H262" s="148"/>
      <c r="I262" s="148"/>
      <c r="J262" s="148"/>
      <c r="K262" s="165" t="s">
        <v>3661</v>
      </c>
      <c r="L262" s="65" t="s">
        <v>3690</v>
      </c>
      <c r="M262" s="65"/>
      <c r="N262" s="65"/>
      <c r="O262" s="65" t="s">
        <v>2387</v>
      </c>
      <c r="P262" s="65" t="s">
        <v>2387</v>
      </c>
      <c r="Q262" s="54" t="s">
        <v>1637</v>
      </c>
      <c r="R262" s="41" t="s">
        <v>3142</v>
      </c>
      <c r="S262" s="41" t="s">
        <v>2555</v>
      </c>
      <c r="T262" s="41" t="s">
        <v>1645</v>
      </c>
      <c r="U262" s="41" t="s">
        <v>139</v>
      </c>
      <c r="V262" s="41" t="s">
        <v>139</v>
      </c>
      <c r="W262" s="41" t="s">
        <v>139</v>
      </c>
      <c r="X262" s="41" t="s">
        <v>2670</v>
      </c>
      <c r="Y262" s="41" t="s">
        <v>139</v>
      </c>
      <c r="Z262" s="53" t="s">
        <v>139</v>
      </c>
      <c r="AA262" s="54" t="s">
        <v>139</v>
      </c>
      <c r="AB262" s="54" t="s">
        <v>139</v>
      </c>
      <c r="AC262" s="54" t="s">
        <v>2667</v>
      </c>
      <c r="AD262" s="54" t="s">
        <v>139</v>
      </c>
      <c r="AE262" s="55"/>
      <c r="AF262" s="56"/>
      <c r="AG262" s="56"/>
      <c r="AH262" s="57"/>
      <c r="AI262" s="56"/>
      <c r="AJ262" s="56"/>
      <c r="AK262" s="56"/>
      <c r="AL262" s="3" t="s">
        <v>1582</v>
      </c>
    </row>
    <row r="263" spans="2:38" ht="40.5" hidden="1">
      <c r="B263" s="144">
        <f t="shared" si="4"/>
        <v>260</v>
      </c>
      <c r="C263" s="148" t="s">
        <v>3732</v>
      </c>
      <c r="D263" s="148"/>
      <c r="E263" s="148"/>
      <c r="F263" s="148"/>
      <c r="G263" s="148"/>
      <c r="H263" s="148"/>
      <c r="I263" s="148"/>
      <c r="J263" s="148"/>
      <c r="K263" s="165" t="s">
        <v>3661</v>
      </c>
      <c r="L263" s="65" t="s">
        <v>3690</v>
      </c>
      <c r="M263" s="65"/>
      <c r="N263" s="65"/>
      <c r="O263" s="65" t="s">
        <v>2430</v>
      </c>
      <c r="P263" s="65" t="s">
        <v>2430</v>
      </c>
      <c r="Q263" s="54" t="s">
        <v>1637</v>
      </c>
      <c r="R263" s="41" t="s">
        <v>3143</v>
      </c>
      <c r="S263" s="41" t="s">
        <v>2556</v>
      </c>
      <c r="T263" s="41" t="s">
        <v>1645</v>
      </c>
      <c r="U263" s="41" t="s">
        <v>139</v>
      </c>
      <c r="V263" s="41" t="s">
        <v>139</v>
      </c>
      <c r="W263" s="41" t="s">
        <v>139</v>
      </c>
      <c r="X263" s="41" t="s">
        <v>2670</v>
      </c>
      <c r="Y263" s="41" t="s">
        <v>139</v>
      </c>
      <c r="Z263" s="53" t="s">
        <v>139</v>
      </c>
      <c r="AA263" s="54" t="s">
        <v>139</v>
      </c>
      <c r="AB263" s="54" t="s">
        <v>139</v>
      </c>
      <c r="AC263" s="54" t="s">
        <v>2667</v>
      </c>
      <c r="AD263" s="54" t="s">
        <v>139</v>
      </c>
      <c r="AE263" s="55"/>
      <c r="AF263" s="56"/>
      <c r="AG263" s="56"/>
      <c r="AH263" s="57"/>
      <c r="AI263" s="56"/>
      <c r="AJ263" s="56"/>
      <c r="AK263" s="56"/>
      <c r="AL263" s="3" t="s">
        <v>1582</v>
      </c>
    </row>
    <row r="264" spans="2:38" ht="40.5" hidden="1">
      <c r="B264" s="144">
        <f t="shared" si="4"/>
        <v>261</v>
      </c>
      <c r="C264" s="148" t="s">
        <v>3732</v>
      </c>
      <c r="D264" s="148"/>
      <c r="E264" s="148"/>
      <c r="F264" s="148"/>
      <c r="G264" s="148"/>
      <c r="H264" s="148"/>
      <c r="I264" s="148"/>
      <c r="J264" s="148"/>
      <c r="K264" s="165" t="s">
        <v>3661</v>
      </c>
      <c r="L264" s="65" t="s">
        <v>3690</v>
      </c>
      <c r="M264" s="65"/>
      <c r="N264" s="65"/>
      <c r="O264" s="65" t="s">
        <v>2429</v>
      </c>
      <c r="P264" s="65" t="s">
        <v>2429</v>
      </c>
      <c r="Q264" s="54" t="s">
        <v>1637</v>
      </c>
      <c r="R264" s="41" t="s">
        <v>3144</v>
      </c>
      <c r="S264" s="41" t="s">
        <v>2557</v>
      </c>
      <c r="T264" s="41" t="s">
        <v>1645</v>
      </c>
      <c r="U264" s="41" t="s">
        <v>139</v>
      </c>
      <c r="V264" s="41" t="s">
        <v>139</v>
      </c>
      <c r="W264" s="41" t="s">
        <v>139</v>
      </c>
      <c r="X264" s="41" t="s">
        <v>2670</v>
      </c>
      <c r="Y264" s="41" t="s">
        <v>139</v>
      </c>
      <c r="Z264" s="53" t="s">
        <v>139</v>
      </c>
      <c r="AA264" s="54" t="s">
        <v>139</v>
      </c>
      <c r="AB264" s="54" t="s">
        <v>139</v>
      </c>
      <c r="AC264" s="54" t="s">
        <v>2667</v>
      </c>
      <c r="AD264" s="54" t="s">
        <v>139</v>
      </c>
      <c r="AE264" s="55"/>
      <c r="AF264" s="56"/>
      <c r="AG264" s="56"/>
      <c r="AH264" s="57"/>
      <c r="AI264" s="56"/>
      <c r="AJ264" s="56"/>
      <c r="AK264" s="56"/>
      <c r="AL264" s="3" t="s">
        <v>1582</v>
      </c>
    </row>
    <row r="265" spans="2:38" ht="40.5" hidden="1">
      <c r="B265" s="144">
        <f t="shared" si="4"/>
        <v>262</v>
      </c>
      <c r="C265" s="148" t="s">
        <v>3732</v>
      </c>
      <c r="D265" s="148"/>
      <c r="E265" s="148"/>
      <c r="F265" s="148"/>
      <c r="G265" s="148"/>
      <c r="H265" s="148"/>
      <c r="I265" s="148"/>
      <c r="J265" s="148"/>
      <c r="K265" s="165" t="s">
        <v>3661</v>
      </c>
      <c r="L265" s="65" t="s">
        <v>3690</v>
      </c>
      <c r="M265" s="65"/>
      <c r="N265" s="65"/>
      <c r="O265" s="65" t="s">
        <v>2427</v>
      </c>
      <c r="P265" s="65" t="s">
        <v>2427</v>
      </c>
      <c r="Q265" s="54" t="s">
        <v>1637</v>
      </c>
      <c r="R265" s="41" t="s">
        <v>3145</v>
      </c>
      <c r="S265" s="41" t="s">
        <v>2558</v>
      </c>
      <c r="T265" s="41" t="s">
        <v>1645</v>
      </c>
      <c r="U265" s="41" t="s">
        <v>139</v>
      </c>
      <c r="V265" s="41" t="s">
        <v>139</v>
      </c>
      <c r="W265" s="41" t="s">
        <v>139</v>
      </c>
      <c r="X265" s="41" t="s">
        <v>2670</v>
      </c>
      <c r="Y265" s="41" t="s">
        <v>139</v>
      </c>
      <c r="Z265" s="53" t="s">
        <v>139</v>
      </c>
      <c r="AA265" s="54" t="s">
        <v>139</v>
      </c>
      <c r="AB265" s="54" t="s">
        <v>139</v>
      </c>
      <c r="AC265" s="54" t="s">
        <v>2667</v>
      </c>
      <c r="AD265" s="54" t="s">
        <v>139</v>
      </c>
      <c r="AE265" s="55"/>
      <c r="AF265" s="56"/>
      <c r="AG265" s="56"/>
      <c r="AH265" s="57"/>
      <c r="AI265" s="56"/>
      <c r="AJ265" s="56"/>
      <c r="AK265" s="56"/>
      <c r="AL265" s="3" t="s">
        <v>1582</v>
      </c>
    </row>
    <row r="266" spans="2:38" ht="40.5" hidden="1">
      <c r="B266" s="144">
        <f t="shared" si="4"/>
        <v>263</v>
      </c>
      <c r="C266" s="148" t="s">
        <v>3732</v>
      </c>
      <c r="D266" s="148"/>
      <c r="E266" s="148"/>
      <c r="F266" s="148"/>
      <c r="G266" s="148"/>
      <c r="H266" s="148"/>
      <c r="I266" s="148"/>
      <c r="J266" s="148"/>
      <c r="K266" s="165" t="s">
        <v>3661</v>
      </c>
      <c r="L266" s="65" t="s">
        <v>3690</v>
      </c>
      <c r="M266" s="65"/>
      <c r="N266" s="65"/>
      <c r="O266" s="65" t="s">
        <v>2428</v>
      </c>
      <c r="P266" s="65" t="s">
        <v>2428</v>
      </c>
      <c r="Q266" s="54" t="s">
        <v>1637</v>
      </c>
      <c r="R266" s="41" t="s">
        <v>3146</v>
      </c>
      <c r="S266" s="41" t="s">
        <v>2559</v>
      </c>
      <c r="T266" s="41" t="s">
        <v>1645</v>
      </c>
      <c r="U266" s="41" t="s">
        <v>139</v>
      </c>
      <c r="V266" s="41" t="s">
        <v>139</v>
      </c>
      <c r="W266" s="41" t="s">
        <v>139</v>
      </c>
      <c r="X266" s="41" t="s">
        <v>2670</v>
      </c>
      <c r="Y266" s="41" t="s">
        <v>139</v>
      </c>
      <c r="Z266" s="53" t="s">
        <v>139</v>
      </c>
      <c r="AA266" s="54" t="s">
        <v>139</v>
      </c>
      <c r="AB266" s="54" t="s">
        <v>139</v>
      </c>
      <c r="AC266" s="54" t="s">
        <v>2667</v>
      </c>
      <c r="AD266" s="54" t="s">
        <v>139</v>
      </c>
      <c r="AE266" s="55"/>
      <c r="AF266" s="56"/>
      <c r="AG266" s="56"/>
      <c r="AH266" s="57"/>
      <c r="AI266" s="56"/>
      <c r="AJ266" s="56"/>
      <c r="AK266" s="56"/>
      <c r="AL266" s="3" t="s">
        <v>1582</v>
      </c>
    </row>
    <row r="267" spans="2:38" ht="40.5" hidden="1">
      <c r="B267" s="144">
        <f t="shared" si="4"/>
        <v>264</v>
      </c>
      <c r="C267" s="148" t="s">
        <v>3732</v>
      </c>
      <c r="D267" s="148"/>
      <c r="E267" s="148"/>
      <c r="F267" s="148"/>
      <c r="G267" s="148"/>
      <c r="H267" s="148"/>
      <c r="I267" s="148"/>
      <c r="J267" s="148"/>
      <c r="K267" s="165" t="s">
        <v>3661</v>
      </c>
      <c r="L267" s="65" t="s">
        <v>3690</v>
      </c>
      <c r="M267" s="65"/>
      <c r="N267" s="65"/>
      <c r="O267" s="65" t="s">
        <v>2425</v>
      </c>
      <c r="P267" s="65" t="s">
        <v>2425</v>
      </c>
      <c r="Q267" s="54" t="s">
        <v>1637</v>
      </c>
      <c r="R267" s="41" t="s">
        <v>3147</v>
      </c>
      <c r="S267" s="41" t="s">
        <v>2560</v>
      </c>
      <c r="T267" s="41" t="s">
        <v>1645</v>
      </c>
      <c r="U267" s="41" t="s">
        <v>139</v>
      </c>
      <c r="V267" s="41" t="s">
        <v>139</v>
      </c>
      <c r="W267" s="41" t="s">
        <v>139</v>
      </c>
      <c r="X267" s="41" t="s">
        <v>2670</v>
      </c>
      <c r="Y267" s="41" t="s">
        <v>139</v>
      </c>
      <c r="Z267" s="53" t="s">
        <v>139</v>
      </c>
      <c r="AA267" s="54" t="s">
        <v>139</v>
      </c>
      <c r="AB267" s="54" t="s">
        <v>139</v>
      </c>
      <c r="AC267" s="54" t="s">
        <v>2667</v>
      </c>
      <c r="AD267" s="54" t="s">
        <v>139</v>
      </c>
      <c r="AE267" s="55"/>
      <c r="AF267" s="56"/>
      <c r="AG267" s="56"/>
      <c r="AH267" s="57"/>
      <c r="AI267" s="56"/>
      <c r="AJ267" s="56"/>
      <c r="AK267" s="56"/>
      <c r="AL267" s="3" t="s">
        <v>1582</v>
      </c>
    </row>
    <row r="268" spans="2:38" ht="40.5" hidden="1">
      <c r="B268" s="144">
        <f t="shared" si="4"/>
        <v>265</v>
      </c>
      <c r="C268" s="148" t="s">
        <v>3732</v>
      </c>
      <c r="D268" s="148"/>
      <c r="E268" s="148"/>
      <c r="F268" s="148"/>
      <c r="G268" s="148"/>
      <c r="H268" s="148"/>
      <c r="I268" s="148"/>
      <c r="J268" s="148"/>
      <c r="K268" s="165" t="s">
        <v>3661</v>
      </c>
      <c r="L268" s="65" t="s">
        <v>3690</v>
      </c>
      <c r="M268" s="65"/>
      <c r="N268" s="65"/>
      <c r="O268" s="65" t="s">
        <v>2426</v>
      </c>
      <c r="P268" s="65" t="s">
        <v>2426</v>
      </c>
      <c r="Q268" s="54" t="s">
        <v>1637</v>
      </c>
      <c r="R268" s="41" t="s">
        <v>3148</v>
      </c>
      <c r="S268" s="41" t="s">
        <v>2561</v>
      </c>
      <c r="T268" s="41" t="s">
        <v>1645</v>
      </c>
      <c r="U268" s="41" t="s">
        <v>139</v>
      </c>
      <c r="V268" s="41" t="s">
        <v>139</v>
      </c>
      <c r="W268" s="41" t="s">
        <v>139</v>
      </c>
      <c r="X268" s="41" t="s">
        <v>2670</v>
      </c>
      <c r="Y268" s="41" t="s">
        <v>139</v>
      </c>
      <c r="Z268" s="53" t="s">
        <v>139</v>
      </c>
      <c r="AA268" s="54" t="s">
        <v>139</v>
      </c>
      <c r="AB268" s="54" t="s">
        <v>139</v>
      </c>
      <c r="AC268" s="54" t="s">
        <v>2667</v>
      </c>
      <c r="AD268" s="54" t="s">
        <v>139</v>
      </c>
      <c r="AE268" s="55"/>
      <c r="AF268" s="56"/>
      <c r="AG268" s="56"/>
      <c r="AH268" s="57"/>
      <c r="AI268" s="56"/>
      <c r="AJ268" s="56"/>
      <c r="AK268" s="56"/>
      <c r="AL268" s="3" t="s">
        <v>1582</v>
      </c>
    </row>
    <row r="269" spans="2:38" ht="54" hidden="1">
      <c r="B269" s="144">
        <f t="shared" si="4"/>
        <v>266</v>
      </c>
      <c r="C269" s="148" t="s">
        <v>3732</v>
      </c>
      <c r="D269" s="148"/>
      <c r="E269" s="148"/>
      <c r="F269" s="148"/>
      <c r="G269" s="148"/>
      <c r="H269" s="148"/>
      <c r="I269" s="148"/>
      <c r="J269" s="148"/>
      <c r="K269" s="165" t="s">
        <v>3661</v>
      </c>
      <c r="L269" s="65" t="s">
        <v>3690</v>
      </c>
      <c r="M269" s="65"/>
      <c r="N269" s="65"/>
      <c r="O269" s="65" t="s">
        <v>2471</v>
      </c>
      <c r="P269" s="65" t="s">
        <v>2471</v>
      </c>
      <c r="Q269" s="54" t="s">
        <v>1637</v>
      </c>
      <c r="R269" s="41" t="s">
        <v>3149</v>
      </c>
      <c r="S269" s="41" t="s">
        <v>2562</v>
      </c>
      <c r="T269" s="41" t="s">
        <v>1645</v>
      </c>
      <c r="U269" s="41" t="s">
        <v>139</v>
      </c>
      <c r="V269" s="41" t="s">
        <v>139</v>
      </c>
      <c r="W269" s="41" t="s">
        <v>139</v>
      </c>
      <c r="X269" s="41" t="s">
        <v>2670</v>
      </c>
      <c r="Y269" s="41" t="s">
        <v>139</v>
      </c>
      <c r="Z269" s="53" t="s">
        <v>139</v>
      </c>
      <c r="AA269" s="54" t="s">
        <v>139</v>
      </c>
      <c r="AB269" s="54" t="s">
        <v>139</v>
      </c>
      <c r="AC269" s="54" t="s">
        <v>2667</v>
      </c>
      <c r="AD269" s="54" t="s">
        <v>139</v>
      </c>
      <c r="AE269" s="55"/>
      <c r="AF269" s="56"/>
      <c r="AG269" s="56"/>
      <c r="AH269" s="57"/>
      <c r="AI269" s="56"/>
      <c r="AJ269" s="56"/>
      <c r="AK269" s="56"/>
      <c r="AL269" s="3" t="s">
        <v>1582</v>
      </c>
    </row>
    <row r="270" spans="2:38" ht="40.5" hidden="1">
      <c r="B270" s="144">
        <f t="shared" si="4"/>
        <v>267</v>
      </c>
      <c r="C270" s="148" t="s">
        <v>3732</v>
      </c>
      <c r="D270" s="148"/>
      <c r="E270" s="148"/>
      <c r="F270" s="148"/>
      <c r="G270" s="148"/>
      <c r="H270" s="148"/>
      <c r="I270" s="148"/>
      <c r="J270" s="148"/>
      <c r="K270" s="165" t="s">
        <v>3661</v>
      </c>
      <c r="L270" s="65" t="s">
        <v>3690</v>
      </c>
      <c r="M270" s="65"/>
      <c r="N270" s="65"/>
      <c r="O270" s="65" t="s">
        <v>2392</v>
      </c>
      <c r="P270" s="65" t="s">
        <v>2392</v>
      </c>
      <c r="Q270" s="54" t="s">
        <v>1637</v>
      </c>
      <c r="R270" s="41" t="s">
        <v>3150</v>
      </c>
      <c r="S270" s="41" t="s">
        <v>2563</v>
      </c>
      <c r="T270" s="41" t="s">
        <v>1645</v>
      </c>
      <c r="U270" s="41" t="s">
        <v>139</v>
      </c>
      <c r="V270" s="41" t="s">
        <v>139</v>
      </c>
      <c r="W270" s="41" t="s">
        <v>139</v>
      </c>
      <c r="X270" s="41" t="s">
        <v>2670</v>
      </c>
      <c r="Y270" s="41" t="s">
        <v>139</v>
      </c>
      <c r="Z270" s="53" t="s">
        <v>139</v>
      </c>
      <c r="AA270" s="54" t="s">
        <v>139</v>
      </c>
      <c r="AB270" s="54" t="s">
        <v>139</v>
      </c>
      <c r="AC270" s="54" t="s">
        <v>2667</v>
      </c>
      <c r="AD270" s="54" t="s">
        <v>139</v>
      </c>
      <c r="AE270" s="55"/>
      <c r="AF270" s="56"/>
      <c r="AG270" s="56"/>
      <c r="AH270" s="57"/>
      <c r="AI270" s="56"/>
      <c r="AJ270" s="56"/>
      <c r="AK270" s="56"/>
      <c r="AL270" s="3" t="s">
        <v>1582</v>
      </c>
    </row>
    <row r="271" spans="2:38" ht="40.5" hidden="1">
      <c r="B271" s="144">
        <f t="shared" si="4"/>
        <v>268</v>
      </c>
      <c r="C271" s="148" t="s">
        <v>3732</v>
      </c>
      <c r="D271" s="148"/>
      <c r="E271" s="148"/>
      <c r="F271" s="148"/>
      <c r="G271" s="148"/>
      <c r="H271" s="148"/>
      <c r="I271" s="148"/>
      <c r="J271" s="148"/>
      <c r="K271" s="165" t="s">
        <v>3661</v>
      </c>
      <c r="L271" s="65" t="s">
        <v>3690</v>
      </c>
      <c r="M271" s="65"/>
      <c r="N271" s="65"/>
      <c r="O271" s="65" t="s">
        <v>438</v>
      </c>
      <c r="P271" s="65" t="s">
        <v>438</v>
      </c>
      <c r="Q271" s="54" t="s">
        <v>1637</v>
      </c>
      <c r="R271" s="41" t="s">
        <v>2564</v>
      </c>
      <c r="S271" s="41" t="s">
        <v>2565</v>
      </c>
      <c r="T271" s="41"/>
      <c r="U271" s="41" t="s">
        <v>139</v>
      </c>
      <c r="V271" s="41" t="s">
        <v>139</v>
      </c>
      <c r="W271" s="41" t="s">
        <v>139</v>
      </c>
      <c r="X271" s="41" t="s">
        <v>2670</v>
      </c>
      <c r="Y271" s="41" t="s">
        <v>139</v>
      </c>
      <c r="Z271" s="53" t="s">
        <v>139</v>
      </c>
      <c r="AA271" s="54" t="s">
        <v>139</v>
      </c>
      <c r="AB271" s="54" t="s">
        <v>139</v>
      </c>
      <c r="AC271" s="54" t="s">
        <v>2667</v>
      </c>
      <c r="AD271" s="54" t="s">
        <v>139</v>
      </c>
      <c r="AE271" s="55"/>
      <c r="AF271" s="56"/>
      <c r="AG271" s="56"/>
      <c r="AH271" s="57"/>
      <c r="AI271" s="56"/>
      <c r="AJ271" s="56"/>
      <c r="AK271" s="56"/>
      <c r="AL271" s="3" t="s">
        <v>1582</v>
      </c>
    </row>
    <row r="272" spans="2:38" ht="40.5">
      <c r="B272" s="144">
        <f t="shared" si="4"/>
        <v>269</v>
      </c>
      <c r="C272" s="148" t="s">
        <v>3731</v>
      </c>
      <c r="D272" s="148"/>
      <c r="E272" s="148"/>
      <c r="F272" s="148"/>
      <c r="G272" s="148"/>
      <c r="H272" s="148"/>
      <c r="I272" s="148"/>
      <c r="J272" s="148"/>
      <c r="K272" s="165" t="s">
        <v>3661</v>
      </c>
      <c r="L272" s="65" t="s">
        <v>3690</v>
      </c>
      <c r="M272" s="65"/>
      <c r="N272" s="65"/>
      <c r="O272" s="65" t="s">
        <v>2472</v>
      </c>
      <c r="P272" s="65" t="s">
        <v>2472</v>
      </c>
      <c r="Q272" s="54" t="s">
        <v>1637</v>
      </c>
      <c r="R272" s="41" t="s">
        <v>3151</v>
      </c>
      <c r="S272" s="41" t="s">
        <v>2566</v>
      </c>
      <c r="T272" s="41"/>
      <c r="U272" s="41" t="s">
        <v>139</v>
      </c>
      <c r="V272" s="41" t="s">
        <v>139</v>
      </c>
      <c r="W272" s="41" t="s">
        <v>139</v>
      </c>
      <c r="X272" s="41" t="s">
        <v>2670</v>
      </c>
      <c r="Y272" s="41" t="s">
        <v>139</v>
      </c>
      <c r="Z272" s="53" t="s">
        <v>139</v>
      </c>
      <c r="AA272" s="54" t="s">
        <v>139</v>
      </c>
      <c r="AB272" s="54" t="s">
        <v>139</v>
      </c>
      <c r="AC272" s="54" t="s">
        <v>2667</v>
      </c>
      <c r="AD272" s="54" t="s">
        <v>139</v>
      </c>
      <c r="AE272" s="55"/>
      <c r="AF272" s="56"/>
      <c r="AG272" s="56"/>
      <c r="AH272" s="57">
        <v>1</v>
      </c>
      <c r="AI272" s="56" t="s">
        <v>3799</v>
      </c>
      <c r="AJ272" s="56"/>
      <c r="AK272" s="56"/>
      <c r="AL272" s="3" t="s">
        <v>1582</v>
      </c>
    </row>
    <row r="273" spans="2:38" ht="27" hidden="1">
      <c r="B273" s="144">
        <f t="shared" si="4"/>
        <v>270</v>
      </c>
      <c r="C273" s="148" t="s">
        <v>3732</v>
      </c>
      <c r="D273" s="148"/>
      <c r="E273" s="148"/>
      <c r="F273" s="148"/>
      <c r="G273" s="148"/>
      <c r="H273" s="148"/>
      <c r="I273" s="148"/>
      <c r="J273" s="148"/>
      <c r="K273" s="165" t="s">
        <v>3661</v>
      </c>
      <c r="L273" s="165" t="s">
        <v>3690</v>
      </c>
      <c r="M273" s="65"/>
      <c r="N273" s="65"/>
      <c r="O273" s="65" t="s">
        <v>2879</v>
      </c>
      <c r="P273" s="65" t="s">
        <v>2879</v>
      </c>
      <c r="Q273" s="54" t="s">
        <v>1637</v>
      </c>
      <c r="R273" s="41" t="s">
        <v>2884</v>
      </c>
      <c r="S273" s="41"/>
      <c r="T273" s="41"/>
      <c r="U273" s="41" t="s">
        <v>2887</v>
      </c>
      <c r="V273" s="41" t="s">
        <v>139</v>
      </c>
      <c r="W273" s="41" t="s">
        <v>139</v>
      </c>
      <c r="X273" s="41" t="s">
        <v>139</v>
      </c>
      <c r="Y273" s="41" t="s">
        <v>139</v>
      </c>
      <c r="Z273" s="53" t="s">
        <v>235</v>
      </c>
      <c r="AA273" s="54" t="s">
        <v>139</v>
      </c>
      <c r="AB273" s="54" t="s">
        <v>139</v>
      </c>
      <c r="AC273" s="54" t="s">
        <v>139</v>
      </c>
      <c r="AD273" s="54" t="s">
        <v>139</v>
      </c>
      <c r="AE273" s="55"/>
      <c r="AF273" s="56"/>
      <c r="AG273" s="56"/>
      <c r="AH273" s="57"/>
      <c r="AI273" s="56"/>
      <c r="AJ273" s="56"/>
      <c r="AK273" s="56"/>
      <c r="AL273" s="3" t="s">
        <v>1582</v>
      </c>
    </row>
    <row r="274" spans="2:38" ht="27" hidden="1">
      <c r="B274" s="144">
        <f t="shared" si="4"/>
        <v>271</v>
      </c>
      <c r="C274" s="148" t="s">
        <v>3732</v>
      </c>
      <c r="D274" s="148"/>
      <c r="E274" s="148"/>
      <c r="F274" s="148"/>
      <c r="G274" s="148"/>
      <c r="H274" s="148"/>
      <c r="I274" s="148"/>
      <c r="J274" s="148"/>
      <c r="K274" s="165" t="s">
        <v>3661</v>
      </c>
      <c r="L274" s="165" t="s">
        <v>3690</v>
      </c>
      <c r="M274" s="65"/>
      <c r="N274" s="65"/>
      <c r="O274" s="65" t="s">
        <v>2880</v>
      </c>
      <c r="P274" s="65" t="s">
        <v>2880</v>
      </c>
      <c r="Q274" s="54" t="s">
        <v>1637</v>
      </c>
      <c r="R274" s="41" t="s">
        <v>2885</v>
      </c>
      <c r="S274" s="41"/>
      <c r="T274" s="41"/>
      <c r="U274" s="41" t="s">
        <v>2887</v>
      </c>
      <c r="V274" s="41" t="s">
        <v>139</v>
      </c>
      <c r="W274" s="41" t="s">
        <v>139</v>
      </c>
      <c r="X274" s="41" t="s">
        <v>139</v>
      </c>
      <c r="Y274" s="41" t="s">
        <v>139</v>
      </c>
      <c r="Z274" s="53" t="s">
        <v>235</v>
      </c>
      <c r="AA274" s="54" t="s">
        <v>139</v>
      </c>
      <c r="AB274" s="54" t="s">
        <v>139</v>
      </c>
      <c r="AC274" s="54" t="s">
        <v>139</v>
      </c>
      <c r="AD274" s="54" t="s">
        <v>139</v>
      </c>
      <c r="AE274" s="55"/>
      <c r="AF274" s="56"/>
      <c r="AG274" s="56"/>
      <c r="AH274" s="57"/>
      <c r="AI274" s="56"/>
      <c r="AJ274" s="56"/>
      <c r="AK274" s="56"/>
      <c r="AL274" s="3" t="s">
        <v>1582</v>
      </c>
    </row>
    <row r="275" spans="2:38" hidden="1">
      <c r="B275" s="144">
        <f t="shared" si="4"/>
        <v>272</v>
      </c>
      <c r="C275" s="148" t="s">
        <v>3732</v>
      </c>
      <c r="D275" s="148"/>
      <c r="E275" s="148"/>
      <c r="F275" s="148"/>
      <c r="G275" s="148"/>
      <c r="H275" s="148"/>
      <c r="I275" s="148"/>
      <c r="J275" s="148"/>
      <c r="K275" s="165" t="s">
        <v>3661</v>
      </c>
      <c r="L275" s="165" t="s">
        <v>3690</v>
      </c>
      <c r="M275" s="165"/>
      <c r="N275" s="165"/>
      <c r="O275" s="165" t="s">
        <v>3552</v>
      </c>
      <c r="P275" s="165" t="s">
        <v>2064</v>
      </c>
      <c r="Q275" s="126" t="s">
        <v>1637</v>
      </c>
      <c r="R275" s="40" t="s">
        <v>2065</v>
      </c>
      <c r="S275" s="40"/>
      <c r="T275" s="40" t="s">
        <v>1637</v>
      </c>
      <c r="U275" s="41" t="s">
        <v>139</v>
      </c>
      <c r="V275" s="41" t="s">
        <v>139</v>
      </c>
      <c r="W275" s="41" t="s">
        <v>139</v>
      </c>
      <c r="X275" s="41" t="s">
        <v>139</v>
      </c>
      <c r="Y275" s="41" t="s">
        <v>1891</v>
      </c>
      <c r="Z275" s="43" t="s">
        <v>139</v>
      </c>
      <c r="AA275" s="41" t="s">
        <v>139</v>
      </c>
      <c r="AB275" s="41" t="s">
        <v>139</v>
      </c>
      <c r="AC275" s="41" t="s">
        <v>139</v>
      </c>
      <c r="AD275" s="41" t="s">
        <v>1892</v>
      </c>
      <c r="AE275" s="44"/>
      <c r="AF275" s="45"/>
      <c r="AG275" s="45"/>
      <c r="AH275" s="46"/>
      <c r="AI275" s="45"/>
      <c r="AJ275" s="45"/>
      <c r="AK275" s="45"/>
      <c r="AL275" s="3" t="s">
        <v>1582</v>
      </c>
    </row>
    <row r="276" spans="2:38" ht="27" hidden="1">
      <c r="B276" s="144">
        <f t="shared" si="4"/>
        <v>273</v>
      </c>
      <c r="C276" s="148" t="s">
        <v>3732</v>
      </c>
      <c r="D276" s="148"/>
      <c r="E276" s="148"/>
      <c r="F276" s="148"/>
      <c r="G276" s="148"/>
      <c r="H276" s="148"/>
      <c r="I276" s="148"/>
      <c r="J276" s="148"/>
      <c r="K276" s="165" t="s">
        <v>3661</v>
      </c>
      <c r="L276" s="165" t="s">
        <v>3690</v>
      </c>
      <c r="M276" s="65"/>
      <c r="N276" s="65"/>
      <c r="O276" s="65" t="s">
        <v>3606</v>
      </c>
      <c r="P276" s="65" t="s">
        <v>3046</v>
      </c>
      <c r="Q276" s="54" t="s">
        <v>3047</v>
      </c>
      <c r="R276" s="41" t="s">
        <v>470</v>
      </c>
      <c r="S276" s="41"/>
      <c r="T276" s="41" t="s">
        <v>139</v>
      </c>
      <c r="U276" s="41" t="s">
        <v>378</v>
      </c>
      <c r="V276" s="41" t="s">
        <v>139</v>
      </c>
      <c r="W276" s="41" t="s">
        <v>139</v>
      </c>
      <c r="X276" s="41" t="s">
        <v>139</v>
      </c>
      <c r="Y276" s="41" t="s">
        <v>139</v>
      </c>
      <c r="Z276" s="53" t="s">
        <v>163</v>
      </c>
      <c r="AA276" s="54" t="s">
        <v>139</v>
      </c>
      <c r="AB276" s="54" t="s">
        <v>139</v>
      </c>
      <c r="AC276" s="54" t="s">
        <v>139</v>
      </c>
      <c r="AD276" s="54" t="s">
        <v>139</v>
      </c>
      <c r="AE276" s="55"/>
      <c r="AF276" s="56"/>
      <c r="AG276" s="56"/>
      <c r="AH276" s="57"/>
      <c r="AI276" s="56"/>
      <c r="AJ276" s="56"/>
      <c r="AK276" s="56"/>
      <c r="AL276" s="3" t="s">
        <v>1582</v>
      </c>
    </row>
    <row r="277" spans="2:38" ht="27">
      <c r="B277" s="144">
        <f t="shared" si="4"/>
        <v>274</v>
      </c>
      <c r="C277" s="148" t="s">
        <v>3731</v>
      </c>
      <c r="D277" s="148"/>
      <c r="E277" s="148"/>
      <c r="F277" s="148"/>
      <c r="G277" s="148"/>
      <c r="H277" s="148"/>
      <c r="I277" s="148"/>
      <c r="J277" s="148"/>
      <c r="K277" s="165" t="s">
        <v>3661</v>
      </c>
      <c r="L277" s="165" t="s">
        <v>3690</v>
      </c>
      <c r="M277" s="65"/>
      <c r="N277" s="65"/>
      <c r="O277" s="65" t="s">
        <v>3607</v>
      </c>
      <c r="P277" s="65" t="s">
        <v>3048</v>
      </c>
      <c r="Q277" s="54" t="s">
        <v>139</v>
      </c>
      <c r="R277" s="41" t="s">
        <v>450</v>
      </c>
      <c r="S277" s="41"/>
      <c r="T277" s="41" t="s">
        <v>139</v>
      </c>
      <c r="U277" s="41" t="s">
        <v>451</v>
      </c>
      <c r="V277" s="41" t="s">
        <v>139</v>
      </c>
      <c r="W277" s="41" t="s">
        <v>139</v>
      </c>
      <c r="X277" s="41" t="s">
        <v>139</v>
      </c>
      <c r="Y277" s="41" t="s">
        <v>139</v>
      </c>
      <c r="Z277" s="53" t="s">
        <v>163</v>
      </c>
      <c r="AA277" s="54" t="s">
        <v>139</v>
      </c>
      <c r="AB277" s="54" t="s">
        <v>139</v>
      </c>
      <c r="AC277" s="54" t="s">
        <v>139</v>
      </c>
      <c r="AD277" s="54" t="s">
        <v>139</v>
      </c>
      <c r="AE277" s="55"/>
      <c r="AF277" s="56"/>
      <c r="AG277" s="56"/>
      <c r="AH277" s="57"/>
      <c r="AI277" s="56"/>
      <c r="AJ277" s="56"/>
      <c r="AK277" s="56"/>
      <c r="AL277" s="3" t="s">
        <v>1582</v>
      </c>
    </row>
    <row r="278" spans="2:38" hidden="1">
      <c r="B278" s="144">
        <f t="shared" si="4"/>
        <v>275</v>
      </c>
      <c r="C278" s="148" t="s">
        <v>3732</v>
      </c>
      <c r="D278" s="148"/>
      <c r="E278" s="148"/>
      <c r="F278" s="148"/>
      <c r="G278" s="148"/>
      <c r="H278" s="148"/>
      <c r="I278" s="148"/>
      <c r="J278" s="148"/>
      <c r="K278" s="165" t="s">
        <v>3661</v>
      </c>
      <c r="L278" s="165" t="s">
        <v>3690</v>
      </c>
      <c r="M278" s="165"/>
      <c r="N278" s="65"/>
      <c r="O278" s="65" t="s">
        <v>3600</v>
      </c>
      <c r="P278" s="65" t="s">
        <v>3228</v>
      </c>
      <c r="Q278" s="54" t="s">
        <v>3229</v>
      </c>
      <c r="R278" s="41" t="s">
        <v>519</v>
      </c>
      <c r="S278" s="41"/>
      <c r="T278" s="41" t="s">
        <v>139</v>
      </c>
      <c r="U278" s="41" t="s">
        <v>520</v>
      </c>
      <c r="V278" s="41" t="s">
        <v>139</v>
      </c>
      <c r="W278" s="41" t="s">
        <v>139</v>
      </c>
      <c r="X278" s="41" t="s">
        <v>139</v>
      </c>
      <c r="Y278" s="41" t="s">
        <v>139</v>
      </c>
      <c r="Z278" s="53" t="s">
        <v>410</v>
      </c>
      <c r="AA278" s="54" t="s">
        <v>139</v>
      </c>
      <c r="AB278" s="54" t="s">
        <v>139</v>
      </c>
      <c r="AC278" s="54" t="s">
        <v>139</v>
      </c>
      <c r="AD278" s="54" t="s">
        <v>139</v>
      </c>
      <c r="AE278" s="55"/>
      <c r="AF278" s="56"/>
      <c r="AG278" s="56"/>
      <c r="AH278" s="57"/>
      <c r="AI278" s="56"/>
      <c r="AJ278" s="56"/>
      <c r="AK278" s="56"/>
      <c r="AL278" s="3" t="s">
        <v>1582</v>
      </c>
    </row>
    <row r="279" spans="2:38" hidden="1">
      <c r="B279" s="144">
        <f t="shared" si="4"/>
        <v>276</v>
      </c>
      <c r="C279" s="148" t="s">
        <v>3732</v>
      </c>
      <c r="D279" s="148"/>
      <c r="E279" s="148"/>
      <c r="F279" s="148"/>
      <c r="G279" s="148"/>
      <c r="H279" s="148"/>
      <c r="I279" s="148"/>
      <c r="J279" s="148"/>
      <c r="K279" s="165" t="s">
        <v>3661</v>
      </c>
      <c r="L279" s="165" t="s">
        <v>3690</v>
      </c>
      <c r="M279" s="165"/>
      <c r="N279" s="65"/>
      <c r="O279" s="65" t="s">
        <v>552</v>
      </c>
      <c r="P279" s="65" t="s">
        <v>552</v>
      </c>
      <c r="Q279" s="54" t="s">
        <v>139</v>
      </c>
      <c r="R279" s="41" t="s">
        <v>553</v>
      </c>
      <c r="S279" s="41"/>
      <c r="T279" s="41" t="s">
        <v>139</v>
      </c>
      <c r="U279" s="41" t="s">
        <v>554</v>
      </c>
      <c r="V279" s="41" t="s">
        <v>139</v>
      </c>
      <c r="W279" s="41" t="s">
        <v>139</v>
      </c>
      <c r="X279" s="41" t="s">
        <v>139</v>
      </c>
      <c r="Y279" s="41" t="s">
        <v>139</v>
      </c>
      <c r="Z279" s="53" t="s">
        <v>435</v>
      </c>
      <c r="AA279" s="54" t="s">
        <v>139</v>
      </c>
      <c r="AB279" s="54" t="s">
        <v>139</v>
      </c>
      <c r="AC279" s="54" t="s">
        <v>139</v>
      </c>
      <c r="AD279" s="54" t="s">
        <v>139</v>
      </c>
      <c r="AE279" s="55"/>
      <c r="AF279" s="56"/>
      <c r="AG279" s="56"/>
      <c r="AH279" s="57"/>
      <c r="AI279" s="56"/>
      <c r="AJ279" s="56"/>
      <c r="AK279" s="56"/>
      <c r="AL279" s="3" t="s">
        <v>1582</v>
      </c>
    </row>
    <row r="280" spans="2:38" hidden="1">
      <c r="B280" s="144">
        <f t="shared" si="4"/>
        <v>277</v>
      </c>
      <c r="C280" s="148" t="s">
        <v>3732</v>
      </c>
      <c r="D280" s="148"/>
      <c r="E280" s="148"/>
      <c r="F280" s="148"/>
      <c r="G280" s="148"/>
      <c r="H280" s="148"/>
      <c r="I280" s="148"/>
      <c r="J280" s="148"/>
      <c r="K280" s="165" t="s">
        <v>3661</v>
      </c>
      <c r="L280" s="165" t="s">
        <v>3683</v>
      </c>
      <c r="M280" s="165"/>
      <c r="N280" s="65"/>
      <c r="O280" s="65" t="s">
        <v>561</v>
      </c>
      <c r="P280" s="65" t="s">
        <v>561</v>
      </c>
      <c r="Q280" s="54" t="s">
        <v>139</v>
      </c>
      <c r="R280" s="41" t="s">
        <v>562</v>
      </c>
      <c r="S280" s="41"/>
      <c r="T280" s="41" t="s">
        <v>139</v>
      </c>
      <c r="U280" s="41" t="s">
        <v>563</v>
      </c>
      <c r="V280" s="41" t="s">
        <v>139</v>
      </c>
      <c r="W280" s="41" t="s">
        <v>139</v>
      </c>
      <c r="X280" s="41" t="s">
        <v>139</v>
      </c>
      <c r="Y280" s="41" t="s">
        <v>139</v>
      </c>
      <c r="Z280" s="53" t="s">
        <v>213</v>
      </c>
      <c r="AA280" s="54" t="s">
        <v>139</v>
      </c>
      <c r="AB280" s="54" t="s">
        <v>139</v>
      </c>
      <c r="AC280" s="54" t="s">
        <v>139</v>
      </c>
      <c r="AD280" s="54" t="s">
        <v>139</v>
      </c>
      <c r="AE280" s="55"/>
      <c r="AF280" s="56"/>
      <c r="AG280" s="56"/>
      <c r="AH280" s="57"/>
      <c r="AI280" s="56"/>
      <c r="AJ280" s="56"/>
      <c r="AK280" s="56"/>
      <c r="AL280" s="3" t="s">
        <v>1582</v>
      </c>
    </row>
    <row r="281" spans="2:38" ht="27">
      <c r="B281" s="144">
        <f t="shared" si="4"/>
        <v>278</v>
      </c>
      <c r="C281" s="148" t="s">
        <v>3731</v>
      </c>
      <c r="D281" s="148"/>
      <c r="E281" s="148"/>
      <c r="F281" s="148"/>
      <c r="G281" s="148"/>
      <c r="H281" s="148"/>
      <c r="I281" s="148"/>
      <c r="J281" s="148"/>
      <c r="K281" s="165" t="s">
        <v>3661</v>
      </c>
      <c r="L281" s="165" t="s">
        <v>3683</v>
      </c>
      <c r="M281" s="165"/>
      <c r="N281" s="165"/>
      <c r="O281" s="165" t="s">
        <v>605</v>
      </c>
      <c r="P281" s="165" t="s">
        <v>605</v>
      </c>
      <c r="Q281" s="126" t="s">
        <v>606</v>
      </c>
      <c r="R281" s="40" t="s">
        <v>607</v>
      </c>
      <c r="S281" s="40"/>
      <c r="T281" s="40" t="s">
        <v>139</v>
      </c>
      <c r="U281" s="41" t="s">
        <v>139</v>
      </c>
      <c r="V281" s="41" t="s">
        <v>139</v>
      </c>
      <c r="W281" s="41" t="s">
        <v>139</v>
      </c>
      <c r="X281" s="41" t="s">
        <v>608</v>
      </c>
      <c r="Y281" s="41" t="s">
        <v>139</v>
      </c>
      <c r="Z281" s="43" t="s">
        <v>139</v>
      </c>
      <c r="AA281" s="41" t="s">
        <v>139</v>
      </c>
      <c r="AB281" s="41" t="s">
        <v>139</v>
      </c>
      <c r="AC281" s="41" t="s">
        <v>532</v>
      </c>
      <c r="AD281" s="41" t="s">
        <v>139</v>
      </c>
      <c r="AE281" s="44"/>
      <c r="AF281" s="45"/>
      <c r="AG281" s="45"/>
      <c r="AH281" s="46"/>
      <c r="AI281" s="45"/>
      <c r="AJ281" s="45"/>
      <c r="AK281" s="45"/>
      <c r="AL281" s="3" t="s">
        <v>1582</v>
      </c>
    </row>
    <row r="282" spans="2:38" ht="40.5" hidden="1">
      <c r="B282" s="144">
        <f t="shared" si="4"/>
        <v>279</v>
      </c>
      <c r="C282" s="148" t="s">
        <v>3732</v>
      </c>
      <c r="D282" s="148"/>
      <c r="E282" s="148"/>
      <c r="F282" s="148"/>
      <c r="G282" s="148"/>
      <c r="H282" s="148"/>
      <c r="I282" s="148"/>
      <c r="J282" s="148"/>
      <c r="K282" s="165" t="s">
        <v>3661</v>
      </c>
      <c r="L282" s="165" t="s">
        <v>3683</v>
      </c>
      <c r="M282" s="165"/>
      <c r="N282" s="165"/>
      <c r="O282" s="165" t="s">
        <v>609</v>
      </c>
      <c r="P282" s="165" t="s">
        <v>609</v>
      </c>
      <c r="Q282" s="126" t="s">
        <v>139</v>
      </c>
      <c r="R282" s="40" t="s">
        <v>1598</v>
      </c>
      <c r="S282" s="40"/>
      <c r="T282" s="40" t="s">
        <v>139</v>
      </c>
      <c r="U282" s="41" t="s">
        <v>139</v>
      </c>
      <c r="V282" s="41" t="s">
        <v>610</v>
      </c>
      <c r="W282" s="41" t="s">
        <v>139</v>
      </c>
      <c r="X282" s="41" t="s">
        <v>611</v>
      </c>
      <c r="Y282" s="41" t="s">
        <v>612</v>
      </c>
      <c r="Z282" s="43" t="s">
        <v>139</v>
      </c>
      <c r="AA282" s="41" t="s">
        <v>613</v>
      </c>
      <c r="AB282" s="41" t="s">
        <v>139</v>
      </c>
      <c r="AC282" s="41" t="s">
        <v>532</v>
      </c>
      <c r="AD282" s="41" t="s">
        <v>614</v>
      </c>
      <c r="AE282" s="44"/>
      <c r="AF282" s="45"/>
      <c r="AG282" s="45"/>
      <c r="AH282" s="46"/>
      <c r="AI282" s="45"/>
      <c r="AJ282" s="45"/>
      <c r="AK282" s="45"/>
      <c r="AL282" s="3" t="s">
        <v>1582</v>
      </c>
    </row>
    <row r="283" spans="2:38" ht="40.5" hidden="1">
      <c r="B283" s="144">
        <f t="shared" si="4"/>
        <v>280</v>
      </c>
      <c r="C283" s="148" t="s">
        <v>3732</v>
      </c>
      <c r="D283" s="148"/>
      <c r="E283" s="148"/>
      <c r="F283" s="148"/>
      <c r="G283" s="148"/>
      <c r="H283" s="148"/>
      <c r="I283" s="148"/>
      <c r="J283" s="148"/>
      <c r="K283" s="165" t="s">
        <v>3661</v>
      </c>
      <c r="L283" s="165" t="s">
        <v>3683</v>
      </c>
      <c r="M283" s="165"/>
      <c r="N283" s="165"/>
      <c r="O283" s="165" t="s">
        <v>3597</v>
      </c>
      <c r="P283" s="165" t="s">
        <v>3224</v>
      </c>
      <c r="Q283" s="126" t="s">
        <v>976</v>
      </c>
      <c r="R283" s="40" t="s">
        <v>977</v>
      </c>
      <c r="S283" s="40"/>
      <c r="T283" s="40" t="s">
        <v>139</v>
      </c>
      <c r="U283" s="41" t="s">
        <v>139</v>
      </c>
      <c r="V283" s="41" t="s">
        <v>139</v>
      </c>
      <c r="W283" s="41" t="s">
        <v>139</v>
      </c>
      <c r="X283" s="41" t="s">
        <v>978</v>
      </c>
      <c r="Y283" s="41" t="s">
        <v>139</v>
      </c>
      <c r="Z283" s="43" t="s">
        <v>139</v>
      </c>
      <c r="AA283" s="41" t="s">
        <v>139</v>
      </c>
      <c r="AB283" s="41" t="s">
        <v>139</v>
      </c>
      <c r="AC283" s="41" t="s">
        <v>979</v>
      </c>
      <c r="AD283" s="41" t="s">
        <v>139</v>
      </c>
      <c r="AE283" s="44"/>
      <c r="AF283" s="45"/>
      <c r="AG283" s="45"/>
      <c r="AH283" s="46"/>
      <c r="AI283" s="45"/>
      <c r="AJ283" s="45"/>
      <c r="AK283" s="45"/>
      <c r="AL283" s="3" t="s">
        <v>1582</v>
      </c>
    </row>
    <row r="284" spans="2:38" ht="27" hidden="1">
      <c r="B284" s="144">
        <f t="shared" si="4"/>
        <v>281</v>
      </c>
      <c r="C284" s="148" t="s">
        <v>3732</v>
      </c>
      <c r="D284" s="148"/>
      <c r="E284" s="148"/>
      <c r="F284" s="148"/>
      <c r="G284" s="148"/>
      <c r="H284" s="148"/>
      <c r="I284" s="148"/>
      <c r="J284" s="148"/>
      <c r="K284" s="163" t="s">
        <v>3661</v>
      </c>
      <c r="L284" s="163" t="s">
        <v>3683</v>
      </c>
      <c r="M284" s="165"/>
      <c r="N284" s="165"/>
      <c r="O284" s="165" t="s">
        <v>3598</v>
      </c>
      <c r="P284" s="165" t="s">
        <v>3222</v>
      </c>
      <c r="Q284" s="126" t="s">
        <v>3223</v>
      </c>
      <c r="R284" s="40" t="s">
        <v>600</v>
      </c>
      <c r="S284" s="40"/>
      <c r="T284" s="40" t="s">
        <v>139</v>
      </c>
      <c r="U284" s="41" t="s">
        <v>139</v>
      </c>
      <c r="V284" s="41" t="s">
        <v>139</v>
      </c>
      <c r="W284" s="41" t="s">
        <v>139</v>
      </c>
      <c r="X284" s="41" t="s">
        <v>601</v>
      </c>
      <c r="Y284" s="41" t="s">
        <v>139</v>
      </c>
      <c r="Z284" s="43" t="s">
        <v>139</v>
      </c>
      <c r="AA284" s="41" t="s">
        <v>139</v>
      </c>
      <c r="AB284" s="41" t="s">
        <v>139</v>
      </c>
      <c r="AC284" s="41" t="s">
        <v>532</v>
      </c>
      <c r="AD284" s="41" t="s">
        <v>139</v>
      </c>
      <c r="AE284" s="44"/>
      <c r="AF284" s="45"/>
      <c r="AG284" s="45"/>
      <c r="AH284" s="46"/>
      <c r="AI284" s="45"/>
      <c r="AJ284" s="45"/>
      <c r="AK284" s="45"/>
      <c r="AL284" s="3" t="s">
        <v>1582</v>
      </c>
    </row>
    <row r="285" spans="2:38" hidden="1">
      <c r="B285" s="144">
        <f t="shared" si="4"/>
        <v>282</v>
      </c>
      <c r="C285" s="148" t="s">
        <v>3732</v>
      </c>
      <c r="D285" s="148"/>
      <c r="E285" s="148"/>
      <c r="F285" s="148"/>
      <c r="G285" s="148"/>
      <c r="H285" s="148"/>
      <c r="I285" s="148"/>
      <c r="J285" s="148"/>
      <c r="K285" s="165" t="s">
        <v>3661</v>
      </c>
      <c r="L285" s="165" t="s">
        <v>3683</v>
      </c>
      <c r="M285" s="165"/>
      <c r="N285" s="65"/>
      <c r="O285" s="65" t="s">
        <v>535</v>
      </c>
      <c r="P285" s="65" t="s">
        <v>535</v>
      </c>
      <c r="Q285" s="54" t="s">
        <v>139</v>
      </c>
      <c r="R285" s="41" t="s">
        <v>536</v>
      </c>
      <c r="S285" s="41"/>
      <c r="T285" s="41" t="s">
        <v>139</v>
      </c>
      <c r="U285" s="41" t="s">
        <v>537</v>
      </c>
      <c r="V285" s="41" t="s">
        <v>139</v>
      </c>
      <c r="W285" s="41" t="s">
        <v>139</v>
      </c>
      <c r="X285" s="41" t="s">
        <v>139</v>
      </c>
      <c r="Y285" s="41" t="s">
        <v>139</v>
      </c>
      <c r="Z285" s="53" t="s">
        <v>133</v>
      </c>
      <c r="AA285" s="54" t="s">
        <v>139</v>
      </c>
      <c r="AB285" s="54" t="s">
        <v>139</v>
      </c>
      <c r="AC285" s="54" t="s">
        <v>139</v>
      </c>
      <c r="AD285" s="54" t="s">
        <v>139</v>
      </c>
      <c r="AE285" s="55"/>
      <c r="AF285" s="56"/>
      <c r="AG285" s="56"/>
      <c r="AH285" s="57"/>
      <c r="AI285" s="56"/>
      <c r="AJ285" s="56"/>
      <c r="AK285" s="56"/>
      <c r="AL285" s="3" t="s">
        <v>1582</v>
      </c>
    </row>
    <row r="286" spans="2:38" ht="40.5" hidden="1">
      <c r="B286" s="144">
        <f t="shared" si="4"/>
        <v>283</v>
      </c>
      <c r="C286" s="148" t="s">
        <v>3732</v>
      </c>
      <c r="D286" s="148"/>
      <c r="E286" s="148"/>
      <c r="F286" s="148"/>
      <c r="G286" s="148"/>
      <c r="H286" s="148"/>
      <c r="I286" s="148"/>
      <c r="J286" s="148"/>
      <c r="K286" s="165" t="s">
        <v>3661</v>
      </c>
      <c r="L286" s="165" t="s">
        <v>3683</v>
      </c>
      <c r="M286" s="165"/>
      <c r="N286" s="165"/>
      <c r="O286" s="165" t="s">
        <v>1383</v>
      </c>
      <c r="P286" s="165" t="s">
        <v>1383</v>
      </c>
      <c r="Q286" s="126" t="s">
        <v>1384</v>
      </c>
      <c r="R286" s="40" t="s">
        <v>1385</v>
      </c>
      <c r="S286" s="40"/>
      <c r="T286" s="40" t="s">
        <v>139</v>
      </c>
      <c r="U286" s="41" t="s">
        <v>139</v>
      </c>
      <c r="V286" s="41" t="s">
        <v>139</v>
      </c>
      <c r="W286" s="41" t="s">
        <v>139</v>
      </c>
      <c r="X286" s="41" t="s">
        <v>1386</v>
      </c>
      <c r="Y286" s="41" t="s">
        <v>139</v>
      </c>
      <c r="Z286" s="43" t="s">
        <v>139</v>
      </c>
      <c r="AA286" s="41" t="s">
        <v>139</v>
      </c>
      <c r="AB286" s="41" t="s">
        <v>139</v>
      </c>
      <c r="AC286" s="41" t="s">
        <v>806</v>
      </c>
      <c r="AD286" s="41" t="s">
        <v>139</v>
      </c>
      <c r="AE286" s="44"/>
      <c r="AF286" s="45"/>
      <c r="AG286" s="45"/>
      <c r="AH286" s="46"/>
      <c r="AI286" s="45"/>
      <c r="AJ286" s="45"/>
      <c r="AK286" s="45"/>
      <c r="AL286" s="3" t="s">
        <v>1582</v>
      </c>
    </row>
    <row r="287" spans="2:38" ht="27">
      <c r="B287" s="144">
        <f t="shared" si="4"/>
        <v>284</v>
      </c>
      <c r="C287" s="148" t="s">
        <v>3731</v>
      </c>
      <c r="D287" s="148"/>
      <c r="E287" s="148"/>
      <c r="F287" s="148"/>
      <c r="G287" s="148"/>
      <c r="H287" s="148"/>
      <c r="I287" s="148"/>
      <c r="J287" s="148"/>
      <c r="K287" s="163" t="s">
        <v>3661</v>
      </c>
      <c r="L287" s="163" t="s">
        <v>3683</v>
      </c>
      <c r="M287" s="165"/>
      <c r="N287" s="165"/>
      <c r="O287" s="165" t="s">
        <v>3599</v>
      </c>
      <c r="P287" s="165" t="s">
        <v>3219</v>
      </c>
      <c r="Q287" s="126" t="s">
        <v>3220</v>
      </c>
      <c r="R287" s="40" t="s">
        <v>1051</v>
      </c>
      <c r="S287" s="40"/>
      <c r="T287" s="40" t="s">
        <v>139</v>
      </c>
      <c r="U287" s="41" t="s">
        <v>139</v>
      </c>
      <c r="V287" s="41" t="s">
        <v>139</v>
      </c>
      <c r="W287" s="41" t="s">
        <v>139</v>
      </c>
      <c r="X287" s="41" t="s">
        <v>139</v>
      </c>
      <c r="Y287" s="41" t="s">
        <v>1052</v>
      </c>
      <c r="Z287" s="43" t="s">
        <v>139</v>
      </c>
      <c r="AA287" s="41" t="s">
        <v>139</v>
      </c>
      <c r="AB287" s="41" t="s">
        <v>139</v>
      </c>
      <c r="AC287" s="41" t="s">
        <v>139</v>
      </c>
      <c r="AD287" s="41" t="s">
        <v>614</v>
      </c>
      <c r="AE287" s="44"/>
      <c r="AF287" s="45"/>
      <c r="AG287" s="45"/>
      <c r="AH287" s="57">
        <v>1</v>
      </c>
      <c r="AI287" s="56" t="s">
        <v>3799</v>
      </c>
      <c r="AJ287" s="45"/>
      <c r="AK287" s="45"/>
      <c r="AL287" s="3" t="s">
        <v>1582</v>
      </c>
    </row>
    <row r="288" spans="2:38" ht="27" hidden="1">
      <c r="B288" s="144">
        <f t="shared" si="4"/>
        <v>285</v>
      </c>
      <c r="C288" s="148" t="s">
        <v>3732</v>
      </c>
      <c r="D288" s="148"/>
      <c r="E288" s="148"/>
      <c r="F288" s="148"/>
      <c r="G288" s="148"/>
      <c r="H288" s="148"/>
      <c r="I288" s="148"/>
      <c r="J288" s="148"/>
      <c r="K288" s="165" t="s">
        <v>3661</v>
      </c>
      <c r="L288" s="165" t="s">
        <v>3683</v>
      </c>
      <c r="M288" s="165"/>
      <c r="N288" s="165"/>
      <c r="O288" s="165" t="s">
        <v>1053</v>
      </c>
      <c r="P288" s="165" t="s">
        <v>1053</v>
      </c>
      <c r="Q288" s="126" t="s">
        <v>139</v>
      </c>
      <c r="R288" s="40" t="s">
        <v>1054</v>
      </c>
      <c r="S288" s="40"/>
      <c r="T288" s="40" t="s">
        <v>139</v>
      </c>
      <c r="U288" s="41" t="s">
        <v>139</v>
      </c>
      <c r="V288" s="41" t="s">
        <v>139</v>
      </c>
      <c r="W288" s="41" t="s">
        <v>139</v>
      </c>
      <c r="X288" s="41" t="s">
        <v>139</v>
      </c>
      <c r="Y288" s="42" t="s">
        <v>1055</v>
      </c>
      <c r="Z288" s="43" t="s">
        <v>139</v>
      </c>
      <c r="AA288" s="41" t="s">
        <v>139</v>
      </c>
      <c r="AB288" s="41" t="s">
        <v>139</v>
      </c>
      <c r="AC288" s="41" t="s">
        <v>139</v>
      </c>
      <c r="AD288" s="41" t="s">
        <v>614</v>
      </c>
      <c r="AE288" s="44"/>
      <c r="AF288" s="45"/>
      <c r="AG288" s="45"/>
      <c r="AH288" s="46"/>
      <c r="AI288" s="45"/>
      <c r="AJ288" s="45"/>
      <c r="AK288" s="45"/>
      <c r="AL288" s="3" t="s">
        <v>1582</v>
      </c>
    </row>
    <row r="289" spans="1:38" ht="40.5">
      <c r="B289" s="144">
        <f t="shared" si="4"/>
        <v>286</v>
      </c>
      <c r="C289" s="148" t="s">
        <v>3731</v>
      </c>
      <c r="D289" s="148"/>
      <c r="E289" s="148"/>
      <c r="F289" s="148"/>
      <c r="G289" s="148"/>
      <c r="H289" s="148"/>
      <c r="I289" s="148"/>
      <c r="J289" s="148"/>
      <c r="K289" s="165" t="s">
        <v>3661</v>
      </c>
      <c r="L289" s="165" t="s">
        <v>3683</v>
      </c>
      <c r="M289" s="165"/>
      <c r="N289" s="165"/>
      <c r="O289" s="165" t="s">
        <v>3601</v>
      </c>
      <c r="P289" s="165" t="s">
        <v>3225</v>
      </c>
      <c r="Q289" s="126" t="s">
        <v>3226</v>
      </c>
      <c r="R289" s="40" t="s">
        <v>624</v>
      </c>
      <c r="S289" s="40"/>
      <c r="T289" s="40" t="s">
        <v>139</v>
      </c>
      <c r="U289" s="41" t="s">
        <v>139</v>
      </c>
      <c r="V289" s="41" t="s">
        <v>139</v>
      </c>
      <c r="W289" s="41" t="s">
        <v>139</v>
      </c>
      <c r="X289" s="41" t="s">
        <v>625</v>
      </c>
      <c r="Y289" s="42" t="s">
        <v>139</v>
      </c>
      <c r="Z289" s="43" t="s">
        <v>139</v>
      </c>
      <c r="AA289" s="41" t="s">
        <v>139</v>
      </c>
      <c r="AB289" s="41" t="s">
        <v>139</v>
      </c>
      <c r="AC289" s="41" t="s">
        <v>532</v>
      </c>
      <c r="AD289" s="41" t="s">
        <v>139</v>
      </c>
      <c r="AE289" s="44"/>
      <c r="AF289" s="45"/>
      <c r="AG289" s="45"/>
      <c r="AH289" s="57">
        <v>1</v>
      </c>
      <c r="AI289" s="56" t="s">
        <v>3799</v>
      </c>
      <c r="AJ289" s="45"/>
      <c r="AK289" s="45"/>
      <c r="AL289" s="3" t="s">
        <v>1582</v>
      </c>
    </row>
    <row r="290" spans="1:38" ht="40.5" hidden="1">
      <c r="B290" s="144">
        <f t="shared" si="4"/>
        <v>287</v>
      </c>
      <c r="C290" s="148" t="s">
        <v>3732</v>
      </c>
      <c r="D290" s="148"/>
      <c r="E290" s="148"/>
      <c r="F290" s="148"/>
      <c r="G290" s="148"/>
      <c r="H290" s="148"/>
      <c r="I290" s="148"/>
      <c r="J290" s="148"/>
      <c r="K290" s="165" t="s">
        <v>3661</v>
      </c>
      <c r="L290" s="165" t="s">
        <v>3683</v>
      </c>
      <c r="M290" s="165"/>
      <c r="N290" s="165"/>
      <c r="O290" s="165" t="s">
        <v>602</v>
      </c>
      <c r="P290" s="165" t="s">
        <v>602</v>
      </c>
      <c r="Q290" s="126" t="s">
        <v>139</v>
      </c>
      <c r="R290" s="40" t="s">
        <v>603</v>
      </c>
      <c r="S290" s="40"/>
      <c r="T290" s="40" t="s">
        <v>139</v>
      </c>
      <c r="U290" s="41" t="s">
        <v>139</v>
      </c>
      <c r="V290" s="41" t="s">
        <v>139</v>
      </c>
      <c r="W290" s="41" t="s">
        <v>139</v>
      </c>
      <c r="X290" s="41" t="s">
        <v>604</v>
      </c>
      <c r="Y290" s="41" t="s">
        <v>139</v>
      </c>
      <c r="Z290" s="43" t="s">
        <v>139</v>
      </c>
      <c r="AA290" s="41" t="s">
        <v>139</v>
      </c>
      <c r="AB290" s="41" t="s">
        <v>139</v>
      </c>
      <c r="AC290" s="41" t="s">
        <v>532</v>
      </c>
      <c r="AD290" s="41" t="s">
        <v>139</v>
      </c>
      <c r="AE290" s="44"/>
      <c r="AF290" s="45"/>
      <c r="AG290" s="45"/>
      <c r="AH290" s="46"/>
      <c r="AI290" s="45"/>
      <c r="AJ290" s="45"/>
      <c r="AK290" s="45"/>
      <c r="AL290" s="3" t="s">
        <v>1582</v>
      </c>
    </row>
    <row r="291" spans="1:38" hidden="1">
      <c r="B291" s="144">
        <f t="shared" si="4"/>
        <v>288</v>
      </c>
      <c r="C291" s="148" t="s">
        <v>3732</v>
      </c>
      <c r="D291" s="148"/>
      <c r="E291" s="148"/>
      <c r="F291" s="148"/>
      <c r="G291" s="148"/>
      <c r="H291" s="148"/>
      <c r="I291" s="148"/>
      <c r="J291" s="148"/>
      <c r="K291" s="163" t="s">
        <v>3661</v>
      </c>
      <c r="L291" s="163" t="s">
        <v>3683</v>
      </c>
      <c r="M291" s="165"/>
      <c r="N291" s="65"/>
      <c r="O291" s="65" t="s">
        <v>541</v>
      </c>
      <c r="P291" s="65" t="s">
        <v>541</v>
      </c>
      <c r="Q291" s="54" t="s">
        <v>542</v>
      </c>
      <c r="R291" s="41" t="s">
        <v>543</v>
      </c>
      <c r="S291" s="41"/>
      <c r="T291" s="41" t="s">
        <v>139</v>
      </c>
      <c r="U291" s="41" t="s">
        <v>544</v>
      </c>
      <c r="V291" s="41" t="s">
        <v>139</v>
      </c>
      <c r="W291" s="41" t="s">
        <v>139</v>
      </c>
      <c r="X291" s="41" t="s">
        <v>139</v>
      </c>
      <c r="Y291" s="41" t="s">
        <v>139</v>
      </c>
      <c r="Z291" s="53" t="s">
        <v>410</v>
      </c>
      <c r="AA291" s="54" t="s">
        <v>139</v>
      </c>
      <c r="AB291" s="54" t="s">
        <v>139</v>
      </c>
      <c r="AC291" s="54" t="s">
        <v>139</v>
      </c>
      <c r="AD291" s="54" t="s">
        <v>139</v>
      </c>
      <c r="AE291" s="55"/>
      <c r="AF291" s="56"/>
      <c r="AG291" s="56"/>
      <c r="AH291" s="57"/>
      <c r="AI291" s="56"/>
      <c r="AJ291" s="56"/>
      <c r="AK291" s="56"/>
      <c r="AL291" s="3" t="s">
        <v>1582</v>
      </c>
    </row>
    <row r="292" spans="1:38" ht="54" hidden="1">
      <c r="B292" s="144">
        <f t="shared" si="4"/>
        <v>289</v>
      </c>
      <c r="C292" s="148" t="s">
        <v>3732</v>
      </c>
      <c r="D292" s="148"/>
      <c r="E292" s="149"/>
      <c r="F292" s="149"/>
      <c r="G292" s="149"/>
      <c r="H292" s="149"/>
      <c r="I292" s="149"/>
      <c r="J292" s="149"/>
      <c r="K292" s="163" t="s">
        <v>3661</v>
      </c>
      <c r="L292" s="163" t="s">
        <v>3683</v>
      </c>
      <c r="M292" s="163"/>
      <c r="N292" s="163"/>
      <c r="O292" s="163" t="s">
        <v>3610</v>
      </c>
      <c r="P292" s="163" t="s">
        <v>3244</v>
      </c>
      <c r="Q292" s="130" t="s">
        <v>1397</v>
      </c>
      <c r="R292" s="90" t="s">
        <v>1398</v>
      </c>
      <c r="S292" s="90"/>
      <c r="T292" s="90" t="s">
        <v>139</v>
      </c>
      <c r="U292" s="87" t="s">
        <v>139</v>
      </c>
      <c r="V292" s="87" t="s">
        <v>139</v>
      </c>
      <c r="W292" s="87" t="s">
        <v>139</v>
      </c>
      <c r="X292" s="87" t="s">
        <v>139</v>
      </c>
      <c r="Y292" s="41" t="s">
        <v>1399</v>
      </c>
      <c r="Z292" s="43" t="s">
        <v>139</v>
      </c>
      <c r="AA292" s="87" t="s">
        <v>139</v>
      </c>
      <c r="AB292" s="87" t="s">
        <v>139</v>
      </c>
      <c r="AC292" s="87" t="s">
        <v>139</v>
      </c>
      <c r="AD292" s="87" t="s">
        <v>302</v>
      </c>
      <c r="AE292" s="91"/>
      <c r="AF292" s="45"/>
      <c r="AG292" s="45"/>
      <c r="AH292" s="46"/>
      <c r="AI292" s="45"/>
      <c r="AJ292" s="45"/>
      <c r="AK292" s="45"/>
      <c r="AL292" s="3" t="s">
        <v>1582</v>
      </c>
    </row>
    <row r="293" spans="1:38" ht="27" hidden="1">
      <c r="B293" s="144">
        <f t="shared" si="4"/>
        <v>290</v>
      </c>
      <c r="C293" s="148" t="s">
        <v>3732</v>
      </c>
      <c r="D293" s="148"/>
      <c r="E293" s="149"/>
      <c r="F293" s="149"/>
      <c r="G293" s="149"/>
      <c r="H293" s="149"/>
      <c r="I293" s="149"/>
      <c r="J293" s="149"/>
      <c r="K293" s="163" t="s">
        <v>3661</v>
      </c>
      <c r="L293" s="163" t="s">
        <v>3683</v>
      </c>
      <c r="M293" s="163"/>
      <c r="N293" s="163"/>
      <c r="O293" s="163" t="s">
        <v>1056</v>
      </c>
      <c r="P293" s="163" t="s">
        <v>1056</v>
      </c>
      <c r="Q293" s="130" t="s">
        <v>1057</v>
      </c>
      <c r="R293" s="90" t="s">
        <v>1058</v>
      </c>
      <c r="S293" s="90"/>
      <c r="T293" s="90" t="s">
        <v>139</v>
      </c>
      <c r="U293" s="87" t="s">
        <v>139</v>
      </c>
      <c r="V293" s="87" t="s">
        <v>139</v>
      </c>
      <c r="W293" s="87" t="s">
        <v>139</v>
      </c>
      <c r="X293" s="87" t="s">
        <v>139</v>
      </c>
      <c r="Y293" s="41" t="s">
        <v>1059</v>
      </c>
      <c r="Z293" s="43" t="s">
        <v>139</v>
      </c>
      <c r="AA293" s="87" t="s">
        <v>139</v>
      </c>
      <c r="AB293" s="87" t="s">
        <v>139</v>
      </c>
      <c r="AC293" s="87" t="s">
        <v>139</v>
      </c>
      <c r="AD293" s="87" t="s">
        <v>1060</v>
      </c>
      <c r="AE293" s="91"/>
      <c r="AF293" s="45"/>
      <c r="AG293" s="45"/>
      <c r="AH293" s="46"/>
      <c r="AI293" s="45"/>
      <c r="AJ293" s="45"/>
      <c r="AK293" s="45"/>
      <c r="AL293" s="3" t="s">
        <v>1582</v>
      </c>
    </row>
    <row r="294" spans="1:38" hidden="1">
      <c r="B294" s="144">
        <f t="shared" si="4"/>
        <v>291</v>
      </c>
      <c r="C294" s="148" t="s">
        <v>3732</v>
      </c>
      <c r="D294" s="148"/>
      <c r="E294" s="149"/>
      <c r="F294" s="149"/>
      <c r="G294" s="149"/>
      <c r="H294" s="149"/>
      <c r="I294" s="149"/>
      <c r="J294" s="149"/>
      <c r="K294" s="163" t="s">
        <v>3661</v>
      </c>
      <c r="L294" s="163" t="s">
        <v>3683</v>
      </c>
      <c r="M294" s="168"/>
      <c r="N294" s="168"/>
      <c r="O294" s="168" t="s">
        <v>576</v>
      </c>
      <c r="P294" s="168" t="s">
        <v>576</v>
      </c>
      <c r="Q294" s="88" t="s">
        <v>139</v>
      </c>
      <c r="R294" s="87" t="s">
        <v>577</v>
      </c>
      <c r="S294" s="87"/>
      <c r="T294" s="87" t="s">
        <v>139</v>
      </c>
      <c r="U294" s="87" t="s">
        <v>578</v>
      </c>
      <c r="V294" s="87" t="s">
        <v>139</v>
      </c>
      <c r="W294" s="87" t="s">
        <v>139</v>
      </c>
      <c r="X294" s="87" t="s">
        <v>139</v>
      </c>
      <c r="Y294" s="41" t="s">
        <v>139</v>
      </c>
      <c r="Z294" s="53" t="s">
        <v>133</v>
      </c>
      <c r="AA294" s="88" t="s">
        <v>139</v>
      </c>
      <c r="AB294" s="88" t="s">
        <v>139</v>
      </c>
      <c r="AC294" s="88" t="s">
        <v>139</v>
      </c>
      <c r="AD294" s="88" t="s">
        <v>139</v>
      </c>
      <c r="AE294" s="89"/>
      <c r="AF294" s="56"/>
      <c r="AG294" s="56"/>
      <c r="AH294" s="57"/>
      <c r="AI294" s="56"/>
      <c r="AJ294" s="56"/>
      <c r="AK294" s="56"/>
      <c r="AL294" s="3" t="s">
        <v>1582</v>
      </c>
    </row>
    <row r="295" spans="1:38" hidden="1">
      <c r="B295" s="144">
        <f t="shared" si="4"/>
        <v>292</v>
      </c>
      <c r="C295" s="148" t="s">
        <v>3732</v>
      </c>
      <c r="D295" s="148"/>
      <c r="E295" s="149"/>
      <c r="F295" s="149"/>
      <c r="G295" s="149"/>
      <c r="H295" s="149"/>
      <c r="I295" s="149"/>
      <c r="J295" s="149"/>
      <c r="K295" s="163" t="s">
        <v>3661</v>
      </c>
      <c r="L295" s="163" t="s">
        <v>3683</v>
      </c>
      <c r="M295" s="163"/>
      <c r="N295" s="163"/>
      <c r="O295" s="163" t="s">
        <v>564</v>
      </c>
      <c r="P295" s="163" t="s">
        <v>564</v>
      </c>
      <c r="Q295" s="130" t="s">
        <v>139</v>
      </c>
      <c r="R295" s="90" t="s">
        <v>565</v>
      </c>
      <c r="S295" s="90"/>
      <c r="T295" s="87" t="s">
        <v>139</v>
      </c>
      <c r="U295" s="87" t="s">
        <v>566</v>
      </c>
      <c r="V295" s="87" t="s">
        <v>139</v>
      </c>
      <c r="W295" s="87" t="s">
        <v>139</v>
      </c>
      <c r="X295" s="87" t="s">
        <v>139</v>
      </c>
      <c r="Y295" s="41" t="s">
        <v>139</v>
      </c>
      <c r="Z295" s="43" t="s">
        <v>133</v>
      </c>
      <c r="AA295" s="87" t="s">
        <v>139</v>
      </c>
      <c r="AB295" s="87" t="s">
        <v>139</v>
      </c>
      <c r="AC295" s="87" t="s">
        <v>139</v>
      </c>
      <c r="AD295" s="45" t="s">
        <v>139</v>
      </c>
      <c r="AE295" s="91"/>
      <c r="AF295" s="45"/>
      <c r="AG295" s="45"/>
      <c r="AH295" s="46"/>
      <c r="AI295" s="45"/>
      <c r="AJ295" s="45"/>
      <c r="AK295" s="45"/>
      <c r="AL295" s="3" t="s">
        <v>1582</v>
      </c>
    </row>
    <row r="296" spans="1:38" ht="27" hidden="1">
      <c r="B296" s="144">
        <f t="shared" si="4"/>
        <v>293</v>
      </c>
      <c r="C296" s="148" t="s">
        <v>3732</v>
      </c>
      <c r="D296" s="148"/>
      <c r="E296" s="149"/>
      <c r="F296" s="149"/>
      <c r="G296" s="149"/>
      <c r="H296" s="149"/>
      <c r="I296" s="149"/>
      <c r="J296" s="149"/>
      <c r="K296" s="163" t="s">
        <v>3661</v>
      </c>
      <c r="L296" s="163" t="s">
        <v>3683</v>
      </c>
      <c r="M296" s="163"/>
      <c r="N296" s="163"/>
      <c r="O296" s="163" t="s">
        <v>1064</v>
      </c>
      <c r="P296" s="163" t="s">
        <v>1064</v>
      </c>
      <c r="Q296" s="130" t="s">
        <v>139</v>
      </c>
      <c r="R296" s="90" t="s">
        <v>1065</v>
      </c>
      <c r="S296" s="90"/>
      <c r="T296" s="90" t="s">
        <v>139</v>
      </c>
      <c r="U296" s="87" t="s">
        <v>139</v>
      </c>
      <c r="V296" s="87" t="s">
        <v>139</v>
      </c>
      <c r="W296" s="87" t="s">
        <v>139</v>
      </c>
      <c r="X296" s="87" t="s">
        <v>139</v>
      </c>
      <c r="Y296" s="41" t="s">
        <v>1066</v>
      </c>
      <c r="Z296" s="43" t="s">
        <v>139</v>
      </c>
      <c r="AA296" s="87" t="s">
        <v>139</v>
      </c>
      <c r="AB296" s="87" t="s">
        <v>139</v>
      </c>
      <c r="AC296" s="87" t="s">
        <v>139</v>
      </c>
      <c r="AD296" s="87" t="s">
        <v>1596</v>
      </c>
      <c r="AE296" s="91"/>
      <c r="AF296" s="45"/>
      <c r="AG296" s="45"/>
      <c r="AH296" s="46"/>
      <c r="AI296" s="45"/>
      <c r="AJ296" s="45"/>
      <c r="AK296" s="45"/>
      <c r="AL296" s="3" t="s">
        <v>1582</v>
      </c>
    </row>
    <row r="297" spans="1:38" hidden="1">
      <c r="B297" s="144">
        <f t="shared" si="4"/>
        <v>294</v>
      </c>
      <c r="C297" s="148" t="s">
        <v>3732</v>
      </c>
      <c r="D297" s="148"/>
      <c r="E297" s="149"/>
      <c r="F297" s="149"/>
      <c r="G297" s="149"/>
      <c r="H297" s="149"/>
      <c r="I297" s="149"/>
      <c r="J297" s="149"/>
      <c r="K297" s="163" t="s">
        <v>3661</v>
      </c>
      <c r="L297" s="163" t="s">
        <v>3683</v>
      </c>
      <c r="M297" s="163"/>
      <c r="N297" s="168"/>
      <c r="O297" s="168" t="s">
        <v>311</v>
      </c>
      <c r="P297" s="168" t="s">
        <v>311</v>
      </c>
      <c r="Q297" s="88" t="s">
        <v>139</v>
      </c>
      <c r="R297" s="87" t="s">
        <v>574</v>
      </c>
      <c r="S297" s="87"/>
      <c r="T297" s="87" t="s">
        <v>139</v>
      </c>
      <c r="U297" s="87" t="s">
        <v>575</v>
      </c>
      <c r="V297" s="87" t="s">
        <v>139</v>
      </c>
      <c r="W297" s="87" t="s">
        <v>139</v>
      </c>
      <c r="X297" s="87" t="s">
        <v>139</v>
      </c>
      <c r="Y297" s="41" t="s">
        <v>139</v>
      </c>
      <c r="Z297" s="53" t="s">
        <v>133</v>
      </c>
      <c r="AA297" s="88" t="s">
        <v>139</v>
      </c>
      <c r="AB297" s="88" t="s">
        <v>139</v>
      </c>
      <c r="AC297" s="88" t="s">
        <v>139</v>
      </c>
      <c r="AD297" s="88" t="s">
        <v>139</v>
      </c>
      <c r="AE297" s="89"/>
      <c r="AF297" s="56"/>
      <c r="AG297" s="56"/>
      <c r="AH297" s="57"/>
      <c r="AI297" s="56"/>
      <c r="AJ297" s="56"/>
      <c r="AK297" s="56"/>
      <c r="AL297" s="3" t="s">
        <v>1582</v>
      </c>
    </row>
    <row r="298" spans="1:38" ht="27" hidden="1">
      <c r="B298" s="144">
        <f t="shared" si="4"/>
        <v>295</v>
      </c>
      <c r="C298" s="148" t="s">
        <v>3732</v>
      </c>
      <c r="D298" s="148"/>
      <c r="E298" s="149"/>
      <c r="F298" s="149"/>
      <c r="G298" s="149"/>
      <c r="H298" s="149"/>
      <c r="I298" s="149"/>
      <c r="J298" s="149"/>
      <c r="K298" s="163" t="s">
        <v>3661</v>
      </c>
      <c r="L298" s="163" t="s">
        <v>3683</v>
      </c>
      <c r="M298" s="163"/>
      <c r="N298" s="163"/>
      <c r="O298" s="163" t="s">
        <v>1061</v>
      </c>
      <c r="P298" s="163" t="s">
        <v>1061</v>
      </c>
      <c r="Q298" s="130" t="s">
        <v>139</v>
      </c>
      <c r="R298" s="90" t="s">
        <v>1062</v>
      </c>
      <c r="S298" s="90"/>
      <c r="T298" s="90" t="s">
        <v>139</v>
      </c>
      <c r="U298" s="87" t="s">
        <v>139</v>
      </c>
      <c r="V298" s="87" t="s">
        <v>139</v>
      </c>
      <c r="W298" s="87" t="s">
        <v>139</v>
      </c>
      <c r="X298" s="87" t="s">
        <v>139</v>
      </c>
      <c r="Y298" s="41" t="s">
        <v>1063</v>
      </c>
      <c r="Z298" s="43" t="s">
        <v>139</v>
      </c>
      <c r="AA298" s="87" t="s">
        <v>139</v>
      </c>
      <c r="AB298" s="87" t="s">
        <v>139</v>
      </c>
      <c r="AC298" s="87" t="s">
        <v>139</v>
      </c>
      <c r="AD298" s="87" t="s">
        <v>1599</v>
      </c>
      <c r="AE298" s="91"/>
      <c r="AF298" s="45"/>
      <c r="AG298" s="45"/>
      <c r="AH298" s="46"/>
      <c r="AI298" s="45"/>
      <c r="AJ298" s="45"/>
      <c r="AK298" s="45"/>
      <c r="AL298" s="3" t="s">
        <v>1582</v>
      </c>
    </row>
    <row r="299" spans="1:38" ht="27" hidden="1">
      <c r="B299" s="144">
        <f t="shared" si="4"/>
        <v>296</v>
      </c>
      <c r="C299" s="148" t="s">
        <v>3732</v>
      </c>
      <c r="D299" s="148"/>
      <c r="E299" s="149"/>
      <c r="F299" s="149"/>
      <c r="G299" s="149"/>
      <c r="H299" s="149"/>
      <c r="I299" s="149"/>
      <c r="J299" s="149"/>
      <c r="K299" s="165" t="s">
        <v>3661</v>
      </c>
      <c r="L299" s="165" t="s">
        <v>3683</v>
      </c>
      <c r="M299" s="163"/>
      <c r="N299" s="163"/>
      <c r="O299" s="163" t="s">
        <v>3612</v>
      </c>
      <c r="P299" s="163" t="s">
        <v>3266</v>
      </c>
      <c r="Q299" s="130" t="s">
        <v>1395</v>
      </c>
      <c r="R299" s="90" t="s">
        <v>1396</v>
      </c>
      <c r="S299" s="90"/>
      <c r="T299" s="90" t="s">
        <v>139</v>
      </c>
      <c r="U299" s="87" t="s">
        <v>139</v>
      </c>
      <c r="V299" s="87" t="s">
        <v>139</v>
      </c>
      <c r="W299" s="87" t="s">
        <v>139</v>
      </c>
      <c r="X299" s="87" t="s">
        <v>139</v>
      </c>
      <c r="Y299" s="41" t="s">
        <v>1688</v>
      </c>
      <c r="Z299" s="43" t="s">
        <v>139</v>
      </c>
      <c r="AA299" s="87" t="s">
        <v>139</v>
      </c>
      <c r="AB299" s="87" t="s">
        <v>139</v>
      </c>
      <c r="AC299" s="87" t="s">
        <v>139</v>
      </c>
      <c r="AD299" s="87" t="s">
        <v>157</v>
      </c>
      <c r="AE299" s="91"/>
      <c r="AF299" s="45"/>
      <c r="AG299" s="45"/>
      <c r="AH299" s="46"/>
      <c r="AI299" s="45"/>
      <c r="AJ299" s="45"/>
      <c r="AK299" s="45"/>
      <c r="AL299" s="3" t="s">
        <v>1582</v>
      </c>
    </row>
    <row r="300" spans="1:38" ht="27" hidden="1">
      <c r="B300" s="144">
        <f t="shared" si="4"/>
        <v>297</v>
      </c>
      <c r="C300" s="148" t="s">
        <v>3732</v>
      </c>
      <c r="D300" s="148"/>
      <c r="E300" s="149"/>
      <c r="F300" s="149"/>
      <c r="G300" s="149"/>
      <c r="H300" s="149"/>
      <c r="I300" s="149"/>
      <c r="J300" s="149"/>
      <c r="K300" s="163" t="s">
        <v>3661</v>
      </c>
      <c r="L300" s="163" t="s">
        <v>3683</v>
      </c>
      <c r="M300" s="163"/>
      <c r="N300" s="163"/>
      <c r="O300" s="163" t="s">
        <v>1393</v>
      </c>
      <c r="P300" s="163" t="s">
        <v>1393</v>
      </c>
      <c r="Q300" s="130" t="s">
        <v>1394</v>
      </c>
      <c r="R300" s="90" t="s">
        <v>1595</v>
      </c>
      <c r="S300" s="90"/>
      <c r="T300" s="90" t="s">
        <v>139</v>
      </c>
      <c r="U300" s="87" t="s">
        <v>139</v>
      </c>
      <c r="V300" s="87" t="s">
        <v>139</v>
      </c>
      <c r="W300" s="87" t="s">
        <v>139</v>
      </c>
      <c r="X300" s="87" t="s">
        <v>139</v>
      </c>
      <c r="Y300" s="92" t="s">
        <v>1688</v>
      </c>
      <c r="Z300" s="93" t="s">
        <v>139</v>
      </c>
      <c r="AA300" s="87" t="s">
        <v>139</v>
      </c>
      <c r="AB300" s="87" t="s">
        <v>139</v>
      </c>
      <c r="AC300" s="87" t="s">
        <v>139</v>
      </c>
      <c r="AD300" s="87" t="s">
        <v>1392</v>
      </c>
      <c r="AE300" s="91"/>
      <c r="AF300" s="45"/>
      <c r="AG300" s="45"/>
      <c r="AH300" s="46"/>
      <c r="AI300" s="45"/>
      <c r="AJ300" s="45"/>
      <c r="AK300" s="45"/>
      <c r="AL300" s="3" t="s">
        <v>1582</v>
      </c>
    </row>
    <row r="301" spans="1:38" ht="27">
      <c r="B301" s="144">
        <f t="shared" si="4"/>
        <v>298</v>
      </c>
      <c r="C301" s="148" t="s">
        <v>3731</v>
      </c>
      <c r="D301" s="148"/>
      <c r="E301" s="149"/>
      <c r="F301" s="149"/>
      <c r="G301" s="149"/>
      <c r="H301" s="149"/>
      <c r="I301" s="149"/>
      <c r="J301" s="149"/>
      <c r="K301" s="163" t="s">
        <v>3661</v>
      </c>
      <c r="L301" s="163" t="s">
        <v>3683</v>
      </c>
      <c r="M301" s="163"/>
      <c r="N301" s="163"/>
      <c r="O301" s="163" t="s">
        <v>1025</v>
      </c>
      <c r="P301" s="163" t="s">
        <v>1025</v>
      </c>
      <c r="Q301" s="130" t="s">
        <v>139</v>
      </c>
      <c r="R301" s="90" t="s">
        <v>1026</v>
      </c>
      <c r="S301" s="90"/>
      <c r="T301" s="90" t="s">
        <v>192</v>
      </c>
      <c r="U301" s="87" t="s">
        <v>139</v>
      </c>
      <c r="V301" s="87" t="s">
        <v>139</v>
      </c>
      <c r="W301" s="87" t="s">
        <v>139</v>
      </c>
      <c r="X301" s="87" t="s">
        <v>139</v>
      </c>
      <c r="Y301" s="92" t="s">
        <v>1027</v>
      </c>
      <c r="Z301" s="93" t="s">
        <v>139</v>
      </c>
      <c r="AA301" s="87" t="s">
        <v>139</v>
      </c>
      <c r="AB301" s="87" t="s">
        <v>139</v>
      </c>
      <c r="AC301" s="87" t="s">
        <v>139</v>
      </c>
      <c r="AD301" s="87" t="s">
        <v>1597</v>
      </c>
      <c r="AE301" s="91"/>
      <c r="AF301" s="45"/>
      <c r="AG301" s="45"/>
      <c r="AH301" s="57">
        <v>1</v>
      </c>
      <c r="AI301" s="56" t="s">
        <v>3799</v>
      </c>
      <c r="AJ301" s="45"/>
      <c r="AK301" s="45"/>
      <c r="AL301" s="3" t="s">
        <v>1582</v>
      </c>
    </row>
    <row r="302" spans="1:38" ht="40.5" hidden="1">
      <c r="B302" s="144">
        <f t="shared" si="4"/>
        <v>299</v>
      </c>
      <c r="C302" s="148" t="s">
        <v>3732</v>
      </c>
      <c r="D302" s="148"/>
      <c r="E302" s="150"/>
      <c r="F302" s="150"/>
      <c r="G302" s="150"/>
      <c r="H302" s="150"/>
      <c r="I302" s="150"/>
      <c r="J302" s="150"/>
      <c r="K302" s="169" t="s">
        <v>3661</v>
      </c>
      <c r="L302" s="169" t="s">
        <v>3658</v>
      </c>
      <c r="M302" s="169"/>
      <c r="N302" s="169"/>
      <c r="O302" s="169" t="s">
        <v>1029</v>
      </c>
      <c r="P302" s="169" t="s">
        <v>1029</v>
      </c>
      <c r="Q302" s="151" t="s">
        <v>1030</v>
      </c>
      <c r="R302" s="152" t="s">
        <v>1921</v>
      </c>
      <c r="S302" s="152" t="s">
        <v>1031</v>
      </c>
      <c r="T302" s="152" t="s">
        <v>1032</v>
      </c>
      <c r="U302" s="94" t="s">
        <v>139</v>
      </c>
      <c r="V302" s="94" t="s">
        <v>139</v>
      </c>
      <c r="W302" s="95" t="s">
        <v>139</v>
      </c>
      <c r="X302" s="95" t="s">
        <v>139</v>
      </c>
      <c r="Y302" s="131" t="s">
        <v>1033</v>
      </c>
      <c r="Z302" s="153" t="s">
        <v>139</v>
      </c>
      <c r="AA302" s="94" t="s">
        <v>139</v>
      </c>
      <c r="AB302" s="94" t="s">
        <v>139</v>
      </c>
      <c r="AC302" s="94" t="s">
        <v>139</v>
      </c>
      <c r="AD302" s="94" t="s">
        <v>1017</v>
      </c>
      <c r="AE302" s="154" t="s">
        <v>1602</v>
      </c>
      <c r="AF302" s="154"/>
      <c r="AG302" s="155"/>
      <c r="AH302" s="154"/>
      <c r="AI302" s="154"/>
      <c r="AJ302" s="154"/>
      <c r="AK302" s="154"/>
      <c r="AL302" s="3" t="s">
        <v>1582</v>
      </c>
    </row>
    <row r="303" spans="1:38" hidden="1">
      <c r="A303" s="176" t="s">
        <v>1583</v>
      </c>
      <c r="B303" s="177" t="s">
        <v>1582</v>
      </c>
      <c r="C303" s="177" t="s">
        <v>1582</v>
      </c>
      <c r="D303" s="177" t="s">
        <v>1582</v>
      </c>
      <c r="E303" s="177" t="s">
        <v>1582</v>
      </c>
      <c r="F303" s="177" t="s">
        <v>1582</v>
      </c>
      <c r="G303" s="177" t="s">
        <v>1582</v>
      </c>
      <c r="H303" s="177" t="s">
        <v>1582</v>
      </c>
      <c r="I303" s="177" t="s">
        <v>1582</v>
      </c>
      <c r="J303" s="177" t="s">
        <v>1582</v>
      </c>
      <c r="K303" s="178" t="s">
        <v>1582</v>
      </c>
      <c r="L303" s="178" t="s">
        <v>1582</v>
      </c>
      <c r="M303" s="178" t="s">
        <v>1582</v>
      </c>
      <c r="N303" s="178" t="s">
        <v>1582</v>
      </c>
      <c r="O303" s="178" t="s">
        <v>1582</v>
      </c>
      <c r="P303" s="178" t="s">
        <v>1582</v>
      </c>
      <c r="Q303" s="177" t="s">
        <v>1582</v>
      </c>
      <c r="R303" s="176" t="s">
        <v>1582</v>
      </c>
      <c r="S303" s="176" t="s">
        <v>1582</v>
      </c>
      <c r="T303" s="176" t="s">
        <v>1582</v>
      </c>
      <c r="U303" s="176" t="s">
        <v>1582</v>
      </c>
      <c r="V303" s="176" t="s">
        <v>1582</v>
      </c>
      <c r="W303" s="176" t="s">
        <v>1582</v>
      </c>
      <c r="X303" s="176" t="s">
        <v>1582</v>
      </c>
      <c r="Y303" s="176" t="s">
        <v>1582</v>
      </c>
      <c r="Z303" s="176" t="s">
        <v>1582</v>
      </c>
      <c r="AA303" s="176" t="s">
        <v>1582</v>
      </c>
      <c r="AB303" s="176" t="s">
        <v>1582</v>
      </c>
      <c r="AC303" s="176" t="s">
        <v>1582</v>
      </c>
      <c r="AD303" s="176" t="s">
        <v>1582</v>
      </c>
      <c r="AE303" s="176" t="s">
        <v>1582</v>
      </c>
      <c r="AF303" s="176" t="s">
        <v>1582</v>
      </c>
      <c r="AG303" s="176" t="s">
        <v>1582</v>
      </c>
      <c r="AH303" s="176" t="s">
        <v>1582</v>
      </c>
      <c r="AI303" s="176" t="s">
        <v>1582</v>
      </c>
      <c r="AJ303" s="176" t="s">
        <v>1582</v>
      </c>
      <c r="AK303" s="176" t="s">
        <v>1582</v>
      </c>
      <c r="AL303" s="176" t="s">
        <v>1582</v>
      </c>
    </row>
  </sheetData>
  <autoFilter ref="B3:AL303" xr:uid="{00000000-0001-0000-0100-000000000000}">
    <filterColumn colId="1">
      <filters>
        <filter val="○"/>
      </filters>
    </filterColumn>
  </autoFilter>
  <phoneticPr fontId="7"/>
  <conditionalFormatting sqref="O4:O302">
    <cfRule type="expression" dxfId="3" priority="1">
      <formula>O4&lt;&gt;P4</formula>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40A4-C1DF-49F5-8DB9-DFBD880123D9}">
  <dimension ref="B1:I141"/>
  <sheetViews>
    <sheetView showGridLines="0" zoomScale="85" zoomScaleNormal="85" workbookViewId="0">
      <selection activeCell="H18" sqref="H18"/>
    </sheetView>
  </sheetViews>
  <sheetFormatPr defaultColWidth="4.0703125" defaultRowHeight="15"/>
  <cols>
    <col min="1" max="1" width="1.42578125" style="1" customWidth="1"/>
    <col min="2" max="2" width="15.35546875" style="1" customWidth="1"/>
    <col min="3" max="3" width="14.2109375" style="1" bestFit="1" customWidth="1"/>
    <col min="4" max="4" width="27.640625" style="1" customWidth="1"/>
    <col min="5" max="5" width="27.640625" style="1" bestFit="1" customWidth="1"/>
    <col min="6" max="6" width="15.35546875" style="1" customWidth="1"/>
    <col min="7" max="7" width="14.640625" style="1" customWidth="1"/>
    <col min="8" max="8" width="15.2109375" style="1" customWidth="1"/>
    <col min="9" max="16384" width="4.0703125" style="1"/>
  </cols>
  <sheetData>
    <row r="1" spans="2:9">
      <c r="I1" s="173" t="s">
        <v>1582</v>
      </c>
    </row>
    <row r="2" spans="2:9">
      <c r="I2" s="173" t="s">
        <v>1582</v>
      </c>
    </row>
    <row r="3" spans="2:9">
      <c r="B3" s="24" t="s">
        <v>2107</v>
      </c>
      <c r="C3" s="157" t="s">
        <v>3653</v>
      </c>
      <c r="D3" s="156" t="s">
        <v>3665</v>
      </c>
      <c r="E3" s="157" t="s">
        <v>3653</v>
      </c>
      <c r="F3" s="156" t="s">
        <v>3666</v>
      </c>
      <c r="G3" s="157" t="s">
        <v>3653</v>
      </c>
      <c r="H3" s="156" t="s">
        <v>3692</v>
      </c>
      <c r="I3" s="173" t="s">
        <v>1582</v>
      </c>
    </row>
    <row r="4" spans="2:9">
      <c r="B4" s="159" t="s">
        <v>3659</v>
      </c>
      <c r="D4" s="159" t="s">
        <v>3644</v>
      </c>
      <c r="E4" s="1" t="s">
        <v>3676</v>
      </c>
      <c r="F4" s="159" t="s">
        <v>3662</v>
      </c>
      <c r="H4" s="159" t="s">
        <v>3304</v>
      </c>
      <c r="I4" s="173" t="s">
        <v>1582</v>
      </c>
    </row>
    <row r="5" spans="2:9">
      <c r="B5" s="159" t="s">
        <v>3659</v>
      </c>
      <c r="D5" s="159" t="s">
        <v>3644</v>
      </c>
      <c r="F5" s="159" t="s">
        <v>3684</v>
      </c>
      <c r="H5" s="159" t="s">
        <v>3646</v>
      </c>
      <c r="I5" s="173" t="s">
        <v>1582</v>
      </c>
    </row>
    <row r="6" spans="2:9">
      <c r="B6" s="159" t="s">
        <v>3659</v>
      </c>
      <c r="D6" s="159" t="s">
        <v>3644</v>
      </c>
      <c r="F6" s="159" t="s">
        <v>3684</v>
      </c>
      <c r="H6" s="159" t="s">
        <v>3704</v>
      </c>
      <c r="I6" s="173" t="s">
        <v>1582</v>
      </c>
    </row>
    <row r="7" spans="2:9">
      <c r="B7" s="159" t="s">
        <v>3659</v>
      </c>
      <c r="D7" s="159" t="s">
        <v>3644</v>
      </c>
      <c r="F7" s="159" t="s">
        <v>3684</v>
      </c>
      <c r="H7" s="159" t="s">
        <v>3648</v>
      </c>
      <c r="I7" s="173" t="s">
        <v>1582</v>
      </c>
    </row>
    <row r="8" spans="2:9">
      <c r="B8" s="159" t="s">
        <v>3659</v>
      </c>
      <c r="D8" s="159" t="s">
        <v>3644</v>
      </c>
      <c r="F8" s="159" t="s">
        <v>3684</v>
      </c>
      <c r="H8" s="159" t="s">
        <v>3686</v>
      </c>
      <c r="I8" s="173" t="s">
        <v>1582</v>
      </c>
    </row>
    <row r="9" spans="2:9">
      <c r="B9" s="159" t="s">
        <v>3659</v>
      </c>
      <c r="D9" s="159" t="s">
        <v>3644</v>
      </c>
      <c r="F9" s="159" t="s">
        <v>3663</v>
      </c>
      <c r="H9" s="159" t="s">
        <v>3687</v>
      </c>
      <c r="I9" s="173" t="s">
        <v>1582</v>
      </c>
    </row>
    <row r="10" spans="2:9">
      <c r="B10" s="159" t="s">
        <v>3659</v>
      </c>
      <c r="D10" s="159" t="s">
        <v>3644</v>
      </c>
      <c r="F10" s="159" t="s">
        <v>3685</v>
      </c>
      <c r="H10" s="159" t="s">
        <v>3688</v>
      </c>
      <c r="I10" s="173" t="s">
        <v>1582</v>
      </c>
    </row>
    <row r="11" spans="2:9">
      <c r="B11" s="159" t="s">
        <v>3659</v>
      </c>
      <c r="D11" s="159" t="s">
        <v>3644</v>
      </c>
      <c r="F11" s="159" t="s">
        <v>3664</v>
      </c>
      <c r="G11" s="1" t="s">
        <v>3693</v>
      </c>
      <c r="H11" s="171"/>
      <c r="I11" s="173" t="s">
        <v>1582</v>
      </c>
    </row>
    <row r="12" spans="2:9">
      <c r="B12" s="159" t="s">
        <v>3659</v>
      </c>
      <c r="D12" s="160" t="s">
        <v>3672</v>
      </c>
      <c r="E12" s="158" t="s">
        <v>3670</v>
      </c>
      <c r="F12" s="160" t="s">
        <v>3673</v>
      </c>
      <c r="G12" s="158"/>
      <c r="H12" s="159" t="s">
        <v>3710</v>
      </c>
      <c r="I12" s="173" t="s">
        <v>1582</v>
      </c>
    </row>
    <row r="13" spans="2:9">
      <c r="B13" s="159" t="s">
        <v>3659</v>
      </c>
      <c r="D13" s="159" t="s">
        <v>3672</v>
      </c>
      <c r="F13" s="159" t="s">
        <v>3673</v>
      </c>
      <c r="H13" s="159" t="s">
        <v>3712</v>
      </c>
      <c r="I13" s="173" t="s">
        <v>1582</v>
      </c>
    </row>
    <row r="14" spans="2:9">
      <c r="B14" s="159" t="s">
        <v>3659</v>
      </c>
      <c r="D14" s="159" t="s">
        <v>3672</v>
      </c>
      <c r="F14" s="159" t="s">
        <v>3678</v>
      </c>
      <c r="H14" s="159" t="s">
        <v>2124</v>
      </c>
      <c r="I14" s="173" t="s">
        <v>1582</v>
      </c>
    </row>
    <row r="15" spans="2:9">
      <c r="B15" s="159" t="s">
        <v>3659</v>
      </c>
      <c r="D15" s="159" t="s">
        <v>3672</v>
      </c>
      <c r="F15" s="159" t="s">
        <v>3678</v>
      </c>
      <c r="H15" s="159" t="s">
        <v>2126</v>
      </c>
      <c r="I15" s="173" t="s">
        <v>1582</v>
      </c>
    </row>
    <row r="16" spans="2:9" ht="17.5">
      <c r="B16" s="159" t="s">
        <v>3659</v>
      </c>
      <c r="D16" s="159" t="s">
        <v>3672</v>
      </c>
      <c r="F16" s="159" t="s">
        <v>3678</v>
      </c>
      <c r="H16" s="159" t="s">
        <v>1658</v>
      </c>
      <c r="I16" s="174" t="s">
        <v>1582</v>
      </c>
    </row>
    <row r="17" spans="2:9" ht="17.5">
      <c r="B17" s="159" t="s">
        <v>3659</v>
      </c>
      <c r="D17" s="159" t="s">
        <v>3672</v>
      </c>
      <c r="F17" s="159" t="s">
        <v>3674</v>
      </c>
      <c r="H17" s="170" t="s">
        <v>3720</v>
      </c>
      <c r="I17" s="174" t="s">
        <v>1582</v>
      </c>
    </row>
    <row r="18" spans="2:9" ht="17.5">
      <c r="B18" s="159" t="s">
        <v>3659</v>
      </c>
      <c r="D18" s="159" t="s">
        <v>3672</v>
      </c>
      <c r="F18" s="159" t="s">
        <v>3674</v>
      </c>
      <c r="H18" s="170" t="s">
        <v>3721</v>
      </c>
      <c r="I18" s="174" t="s">
        <v>1582</v>
      </c>
    </row>
    <row r="19" spans="2:9" ht="17.5">
      <c r="B19" s="159" t="s">
        <v>3659</v>
      </c>
      <c r="D19" s="159" t="s">
        <v>3672</v>
      </c>
      <c r="F19" s="159" t="s">
        <v>3674</v>
      </c>
      <c r="H19" s="170" t="s">
        <v>3722</v>
      </c>
      <c r="I19" s="174" t="s">
        <v>1582</v>
      </c>
    </row>
    <row r="20" spans="2:9" ht="17.5">
      <c r="B20" s="159" t="s">
        <v>3659</v>
      </c>
      <c r="D20" s="159" t="s">
        <v>3672</v>
      </c>
      <c r="F20" s="159" t="s">
        <v>3674</v>
      </c>
      <c r="H20" s="170" t="s">
        <v>3723</v>
      </c>
      <c r="I20" s="174" t="s">
        <v>1582</v>
      </c>
    </row>
    <row r="21" spans="2:9" ht="17.5">
      <c r="B21" s="159" t="s">
        <v>3659</v>
      </c>
      <c r="D21" s="159" t="s">
        <v>3672</v>
      </c>
      <c r="F21" s="159" t="s">
        <v>3675</v>
      </c>
      <c r="H21" s="159" t="s">
        <v>3709</v>
      </c>
      <c r="I21" s="174" t="s">
        <v>1582</v>
      </c>
    </row>
    <row r="22" spans="2:9" ht="17.5">
      <c r="B22" s="159" t="s">
        <v>3659</v>
      </c>
      <c r="D22" s="159" t="s">
        <v>3672</v>
      </c>
      <c r="F22" s="159" t="s">
        <v>3675</v>
      </c>
      <c r="H22" s="159" t="s">
        <v>3715</v>
      </c>
      <c r="I22" s="174" t="s">
        <v>1582</v>
      </c>
    </row>
    <row r="23" spans="2:9" ht="17.5">
      <c r="B23" s="159" t="s">
        <v>3659</v>
      </c>
      <c r="D23" s="159" t="s">
        <v>3672</v>
      </c>
      <c r="F23" s="159" t="s">
        <v>3675</v>
      </c>
      <c r="H23" s="159" t="s">
        <v>3711</v>
      </c>
      <c r="I23" s="174" t="s">
        <v>1582</v>
      </c>
    </row>
    <row r="24" spans="2:9" ht="17.5">
      <c r="B24" s="159" t="s">
        <v>3659</v>
      </c>
      <c r="D24" s="159" t="s">
        <v>3672</v>
      </c>
      <c r="F24" s="159" t="s">
        <v>3675</v>
      </c>
      <c r="H24" s="159" t="s">
        <v>3716</v>
      </c>
      <c r="I24" s="174" t="s">
        <v>1582</v>
      </c>
    </row>
    <row r="25" spans="2:9" ht="17.5">
      <c r="B25" s="159" t="s">
        <v>3659</v>
      </c>
      <c r="D25" s="159" t="s">
        <v>3672</v>
      </c>
      <c r="F25" s="159" t="s">
        <v>3675</v>
      </c>
      <c r="H25" s="159" t="s">
        <v>3708</v>
      </c>
      <c r="I25" s="174" t="s">
        <v>1582</v>
      </c>
    </row>
    <row r="26" spans="2:9" ht="17.5">
      <c r="B26" s="159" t="s">
        <v>3659</v>
      </c>
      <c r="D26" s="159" t="s">
        <v>3672</v>
      </c>
      <c r="F26" s="159" t="s">
        <v>3675</v>
      </c>
      <c r="H26" s="159" t="s">
        <v>3710</v>
      </c>
      <c r="I26" s="174" t="s">
        <v>1582</v>
      </c>
    </row>
    <row r="27" spans="2:9" ht="17.5">
      <c r="B27" s="159" t="s">
        <v>3659</v>
      </c>
      <c r="D27" s="159" t="s">
        <v>3672</v>
      </c>
      <c r="F27" s="159" t="s">
        <v>3675</v>
      </c>
      <c r="H27" s="159" t="s">
        <v>3712</v>
      </c>
      <c r="I27" s="174" t="s">
        <v>1582</v>
      </c>
    </row>
    <row r="28" spans="2:9" ht="17.5">
      <c r="B28" s="159" t="s">
        <v>3659</v>
      </c>
      <c r="D28" s="159" t="s">
        <v>3672</v>
      </c>
      <c r="F28" s="159" t="s">
        <v>3677</v>
      </c>
      <c r="H28" s="159" t="s">
        <v>3726</v>
      </c>
      <c r="I28" s="174" t="s">
        <v>1582</v>
      </c>
    </row>
    <row r="29" spans="2:9" ht="17.5">
      <c r="B29" s="159" t="s">
        <v>3659</v>
      </c>
      <c r="D29" s="159" t="s">
        <v>3672</v>
      </c>
      <c r="F29" s="159" t="s">
        <v>3677</v>
      </c>
      <c r="H29" s="159" t="s">
        <v>3727</v>
      </c>
      <c r="I29" s="174" t="s">
        <v>1582</v>
      </c>
    </row>
    <row r="30" spans="2:9" ht="17.5">
      <c r="B30" s="159" t="s">
        <v>3659</v>
      </c>
      <c r="D30" s="159" t="s">
        <v>3672</v>
      </c>
      <c r="F30" s="159" t="s">
        <v>3677</v>
      </c>
      <c r="H30" s="159" t="s">
        <v>3724</v>
      </c>
      <c r="I30" s="174" t="s">
        <v>1582</v>
      </c>
    </row>
    <row r="31" spans="2:9" ht="17.5">
      <c r="B31" s="159" t="s">
        <v>3659</v>
      </c>
      <c r="D31" s="159" t="s">
        <v>3672</v>
      </c>
      <c r="F31" s="159" t="s">
        <v>3677</v>
      </c>
      <c r="H31" s="159" t="s">
        <v>3725</v>
      </c>
      <c r="I31" s="174" t="s">
        <v>1582</v>
      </c>
    </row>
    <row r="32" spans="2:9" ht="17.5">
      <c r="B32" s="159" t="s">
        <v>3659</v>
      </c>
      <c r="D32" s="159" t="s">
        <v>3672</v>
      </c>
      <c r="F32" s="159" t="s">
        <v>3683</v>
      </c>
      <c r="H32" s="159" t="s">
        <v>3699</v>
      </c>
      <c r="I32" s="174" t="s">
        <v>1582</v>
      </c>
    </row>
    <row r="33" spans="2:9" ht="17.5">
      <c r="B33" s="159" t="s">
        <v>3659</v>
      </c>
      <c r="D33" s="159" t="s">
        <v>3672</v>
      </c>
      <c r="F33" s="159" t="s">
        <v>3683</v>
      </c>
      <c r="H33" s="159" t="s">
        <v>3700</v>
      </c>
      <c r="I33" s="174" t="s">
        <v>1582</v>
      </c>
    </row>
    <row r="34" spans="2:9" ht="17.5">
      <c r="B34" s="159" t="s">
        <v>3659</v>
      </c>
      <c r="D34" s="159" t="s">
        <v>3672</v>
      </c>
      <c r="F34" s="159" t="s">
        <v>3683</v>
      </c>
      <c r="H34" s="159" t="s">
        <v>3701</v>
      </c>
      <c r="I34" s="174" t="s">
        <v>1582</v>
      </c>
    </row>
    <row r="35" spans="2:9">
      <c r="B35" s="159" t="s">
        <v>3659</v>
      </c>
      <c r="D35" s="159" t="s">
        <v>3672</v>
      </c>
      <c r="F35" s="159" t="s">
        <v>3683</v>
      </c>
      <c r="H35" s="159" t="s">
        <v>3702</v>
      </c>
      <c r="I35" s="173" t="s">
        <v>1582</v>
      </c>
    </row>
    <row r="36" spans="2:9">
      <c r="B36" s="159" t="s">
        <v>3659</v>
      </c>
      <c r="D36" s="159" t="s">
        <v>3672</v>
      </c>
      <c r="F36" s="159" t="s">
        <v>3658</v>
      </c>
      <c r="H36" s="171" t="s">
        <v>3703</v>
      </c>
      <c r="I36" s="173" t="s">
        <v>1582</v>
      </c>
    </row>
    <row r="37" spans="2:9">
      <c r="B37" s="159" t="s">
        <v>3659</v>
      </c>
      <c r="D37" s="160" t="s">
        <v>2104</v>
      </c>
      <c r="E37" s="158"/>
      <c r="F37" s="160" t="s">
        <v>2687</v>
      </c>
      <c r="G37" s="158"/>
      <c r="H37" s="172"/>
      <c r="I37" s="173" t="s">
        <v>1582</v>
      </c>
    </row>
    <row r="38" spans="2:9">
      <c r="B38" s="160" t="s">
        <v>3660</v>
      </c>
      <c r="C38" s="158"/>
      <c r="D38" s="160" t="s">
        <v>3650</v>
      </c>
      <c r="E38" s="158" t="s">
        <v>3668</v>
      </c>
      <c r="F38" s="160"/>
      <c r="G38" s="158"/>
      <c r="H38" s="159"/>
      <c r="I38" s="173" t="s">
        <v>1582</v>
      </c>
    </row>
    <row r="39" spans="2:9">
      <c r="B39" s="159" t="s">
        <v>3660</v>
      </c>
      <c r="D39" s="159" t="s">
        <v>3651</v>
      </c>
      <c r="E39" s="1" t="s">
        <v>3669</v>
      </c>
      <c r="F39" s="159"/>
      <c r="H39" s="159"/>
      <c r="I39" s="173" t="s">
        <v>1582</v>
      </c>
    </row>
    <row r="40" spans="2:9">
      <c r="B40" s="159" t="s">
        <v>3660</v>
      </c>
      <c r="D40" s="159" t="s">
        <v>3652</v>
      </c>
      <c r="F40" s="159"/>
      <c r="H40" s="159"/>
      <c r="I40" s="173" t="s">
        <v>1582</v>
      </c>
    </row>
    <row r="41" spans="2:9">
      <c r="B41" s="159" t="s">
        <v>3660</v>
      </c>
      <c r="D41" s="159" t="s">
        <v>3682</v>
      </c>
      <c r="F41" s="159"/>
      <c r="H41" s="159"/>
      <c r="I41" s="173" t="s">
        <v>1582</v>
      </c>
    </row>
    <row r="42" spans="2:9">
      <c r="B42" s="159" t="s">
        <v>3660</v>
      </c>
      <c r="D42" s="159" t="s">
        <v>3689</v>
      </c>
      <c r="F42" s="159"/>
      <c r="H42" s="159"/>
      <c r="I42" s="173" t="s">
        <v>1582</v>
      </c>
    </row>
    <row r="43" spans="2:9">
      <c r="B43" s="159" t="s">
        <v>3660</v>
      </c>
      <c r="D43" s="159" t="s">
        <v>3691</v>
      </c>
      <c r="F43" s="159"/>
      <c r="H43" s="171"/>
      <c r="I43" s="173" t="s">
        <v>1582</v>
      </c>
    </row>
    <row r="44" spans="2:9">
      <c r="B44" s="160" t="s">
        <v>3661</v>
      </c>
      <c r="C44" s="158" t="s">
        <v>3671</v>
      </c>
      <c r="D44" s="160" t="s">
        <v>3654</v>
      </c>
      <c r="E44" s="158"/>
      <c r="F44" s="160"/>
      <c r="G44" s="158"/>
      <c r="H44" s="159"/>
      <c r="I44" s="173" t="s">
        <v>1582</v>
      </c>
    </row>
    <row r="45" spans="2:9">
      <c r="B45" s="159" t="s">
        <v>3661</v>
      </c>
      <c r="D45" s="159" t="s">
        <v>3655</v>
      </c>
      <c r="F45" s="159"/>
      <c r="H45" s="159"/>
      <c r="I45" s="173" t="s">
        <v>1582</v>
      </c>
    </row>
    <row r="46" spans="2:9">
      <c r="B46" s="159" t="s">
        <v>3661</v>
      </c>
      <c r="D46" s="159" t="s">
        <v>3656</v>
      </c>
      <c r="F46" s="159"/>
      <c r="H46" s="159"/>
      <c r="I46" s="173" t="s">
        <v>1582</v>
      </c>
    </row>
    <row r="47" spans="2:9">
      <c r="B47" s="159" t="s">
        <v>3661</v>
      </c>
      <c r="D47" s="159" t="s">
        <v>3657</v>
      </c>
      <c r="F47" s="159"/>
      <c r="H47" s="159"/>
      <c r="I47" s="173" t="s">
        <v>1582</v>
      </c>
    </row>
    <row r="48" spans="2:9">
      <c r="B48" s="159" t="s">
        <v>3661</v>
      </c>
      <c r="D48" s="159" t="s">
        <v>3690</v>
      </c>
      <c r="F48" s="159"/>
      <c r="H48" s="159"/>
      <c r="I48" s="173" t="s">
        <v>1582</v>
      </c>
    </row>
    <row r="49" spans="2:9">
      <c r="B49" s="159" t="s">
        <v>3661</v>
      </c>
      <c r="D49" s="159" t="s">
        <v>3658</v>
      </c>
      <c r="F49" s="159"/>
      <c r="H49" s="159"/>
      <c r="I49" s="173" t="s">
        <v>1582</v>
      </c>
    </row>
    <row r="50" spans="2:9">
      <c r="B50" s="159" t="s">
        <v>3661</v>
      </c>
      <c r="D50" s="159" t="s">
        <v>3667</v>
      </c>
      <c r="F50" s="159"/>
      <c r="H50" s="171"/>
      <c r="I50" s="173" t="s">
        <v>1582</v>
      </c>
    </row>
    <row r="51" spans="2:9">
      <c r="B51" s="175" t="s">
        <v>1583</v>
      </c>
      <c r="C51" s="175" t="s">
        <v>1583</v>
      </c>
      <c r="D51" s="175" t="s">
        <v>1583</v>
      </c>
      <c r="E51" s="175" t="s">
        <v>1583</v>
      </c>
      <c r="F51" s="175" t="s">
        <v>1583</v>
      </c>
      <c r="G51" s="175" t="s">
        <v>1583</v>
      </c>
      <c r="H51" s="175" t="s">
        <v>1583</v>
      </c>
      <c r="I51" s="173" t="s">
        <v>1582</v>
      </c>
    </row>
    <row r="67" spans="4:7" ht="17.5">
      <c r="D67" s="161"/>
      <c r="E67" s="161"/>
      <c r="F67" s="161"/>
      <c r="G67" s="161"/>
    </row>
    <row r="68" spans="4:7" ht="17.5">
      <c r="D68" s="162"/>
      <c r="E68" s="162"/>
      <c r="F68" s="162"/>
      <c r="G68" s="162"/>
    </row>
    <row r="69" spans="4:7" ht="17.5">
      <c r="D69" s="162"/>
      <c r="E69" s="162"/>
      <c r="F69" s="162"/>
      <c r="G69" s="162"/>
    </row>
    <row r="70" spans="4:7" ht="17.5">
      <c r="D70" s="162"/>
      <c r="E70" s="162"/>
      <c r="F70" s="162"/>
      <c r="G70" s="162"/>
    </row>
    <row r="71" spans="4:7" ht="17.5">
      <c r="D71" s="162"/>
      <c r="E71" s="162"/>
      <c r="F71" s="162"/>
      <c r="G71" s="162"/>
    </row>
    <row r="72" spans="4:7" ht="17.5">
      <c r="D72" s="162"/>
      <c r="E72" s="162"/>
      <c r="F72" s="162"/>
      <c r="G72" s="162"/>
    </row>
    <row r="73" spans="4:7" ht="17.5">
      <c r="D73" s="162"/>
      <c r="E73" s="162"/>
      <c r="F73" s="162"/>
      <c r="G73" s="162"/>
    </row>
    <row r="74" spans="4:7" ht="17.5">
      <c r="D74" s="162"/>
      <c r="E74" s="162"/>
      <c r="F74" s="162"/>
      <c r="G74" s="162"/>
    </row>
    <row r="75" spans="4:7" ht="17.5">
      <c r="D75" s="162"/>
      <c r="E75" s="162"/>
      <c r="F75" s="162"/>
      <c r="G75" s="162"/>
    </row>
    <row r="76" spans="4:7" ht="17.5">
      <c r="D76" s="162"/>
      <c r="E76" s="162"/>
      <c r="F76" s="162"/>
      <c r="G76" s="162"/>
    </row>
    <row r="77" spans="4:7" ht="17.5">
      <c r="D77" s="162"/>
      <c r="E77" s="162"/>
      <c r="F77" s="162"/>
      <c r="G77" s="162"/>
    </row>
    <row r="78" spans="4:7" ht="17.5">
      <c r="D78" s="162"/>
      <c r="E78" s="162"/>
      <c r="F78" s="162"/>
      <c r="G78" s="162"/>
    </row>
    <row r="79" spans="4:7" ht="17.5">
      <c r="D79" s="162"/>
      <c r="E79" s="162"/>
      <c r="F79" s="162"/>
      <c r="G79" s="162"/>
    </row>
    <row r="80" spans="4:7" ht="17.5">
      <c r="D80" s="162"/>
      <c r="E80" s="162"/>
      <c r="F80" s="162"/>
      <c r="G80" s="162"/>
    </row>
    <row r="81" spans="4:7" ht="17.5">
      <c r="D81" s="162"/>
      <c r="E81" s="162"/>
      <c r="F81" s="162"/>
      <c r="G81" s="162"/>
    </row>
    <row r="82" spans="4:7" ht="17.5">
      <c r="D82" s="162"/>
      <c r="E82" s="162"/>
      <c r="F82" s="162"/>
      <c r="G82" s="162"/>
    </row>
    <row r="83" spans="4:7" ht="17.5">
      <c r="D83" s="162"/>
      <c r="E83" s="162"/>
      <c r="F83" s="162"/>
      <c r="G83" s="162"/>
    </row>
    <row r="84" spans="4:7" ht="17.5">
      <c r="D84" s="162"/>
      <c r="E84" s="162"/>
      <c r="F84" s="162"/>
      <c r="G84" s="162"/>
    </row>
    <row r="85" spans="4:7" ht="17.5">
      <c r="D85" s="162"/>
      <c r="E85" s="162"/>
      <c r="F85" s="162"/>
      <c r="G85" s="162"/>
    </row>
    <row r="86" spans="4:7" ht="17.5">
      <c r="D86" s="162"/>
      <c r="E86" s="162"/>
      <c r="F86" s="162"/>
      <c r="G86" s="162"/>
    </row>
    <row r="87" spans="4:7" ht="17.5">
      <c r="D87" s="162"/>
      <c r="E87" s="162"/>
      <c r="F87" s="162"/>
      <c r="G87" s="162"/>
    </row>
    <row r="88" spans="4:7" ht="17.5">
      <c r="D88" s="162"/>
      <c r="E88" s="162"/>
      <c r="F88" s="162"/>
      <c r="G88" s="162"/>
    </row>
    <row r="89" spans="4:7" ht="17.5">
      <c r="D89" s="162"/>
      <c r="E89" s="162"/>
      <c r="F89" s="162"/>
      <c r="G89" s="162"/>
    </row>
    <row r="90" spans="4:7" ht="17.5">
      <c r="D90" s="162"/>
      <c r="E90" s="162"/>
      <c r="F90" s="162"/>
      <c r="G90" s="162"/>
    </row>
    <row r="91" spans="4:7" ht="17.5">
      <c r="D91" s="162"/>
      <c r="E91" s="162"/>
      <c r="F91" s="162"/>
      <c r="G91" s="162"/>
    </row>
    <row r="92" spans="4:7" ht="17.5">
      <c r="D92" s="162"/>
      <c r="E92" s="162"/>
      <c r="F92" s="162"/>
      <c r="G92" s="162"/>
    </row>
    <row r="93" spans="4:7" ht="17.5">
      <c r="D93" s="162"/>
      <c r="E93" s="162"/>
      <c r="F93" s="162"/>
      <c r="G93" s="162"/>
    </row>
    <row r="94" spans="4:7" ht="17.5">
      <c r="D94" s="162"/>
      <c r="E94" s="162"/>
      <c r="F94" s="162"/>
      <c r="G94" s="162"/>
    </row>
    <row r="95" spans="4:7" ht="17.5">
      <c r="D95" s="162"/>
      <c r="E95" s="162"/>
      <c r="F95" s="162"/>
      <c r="G95" s="162"/>
    </row>
    <row r="96" spans="4:7" ht="17.5">
      <c r="D96" s="162"/>
      <c r="E96" s="162"/>
      <c r="F96" s="162"/>
      <c r="G96" s="162"/>
    </row>
    <row r="97" spans="4:7" ht="17.5">
      <c r="D97" s="162"/>
      <c r="E97" s="162"/>
      <c r="F97" s="162"/>
      <c r="G97" s="162"/>
    </row>
    <row r="98" spans="4:7" ht="17.5">
      <c r="D98" s="162"/>
      <c r="E98" s="162"/>
      <c r="F98" s="162"/>
      <c r="G98" s="162"/>
    </row>
    <row r="99" spans="4:7" ht="17.5">
      <c r="D99" s="162"/>
      <c r="E99" s="162"/>
      <c r="F99" s="162"/>
      <c r="G99" s="162"/>
    </row>
    <row r="100" spans="4:7" ht="17.5">
      <c r="D100" s="162"/>
      <c r="E100" s="162"/>
      <c r="F100" s="162"/>
      <c r="G100" s="162"/>
    </row>
    <row r="101" spans="4:7" ht="17.5">
      <c r="D101" s="162"/>
      <c r="E101" s="162"/>
      <c r="F101" s="162"/>
      <c r="G101" s="162"/>
    </row>
    <row r="102" spans="4:7" ht="17.5">
      <c r="D102" s="162"/>
      <c r="E102" s="162"/>
      <c r="F102" s="162"/>
      <c r="G102" s="162"/>
    </row>
    <row r="103" spans="4:7" ht="17.5">
      <c r="D103" s="162"/>
      <c r="E103" s="162"/>
      <c r="F103" s="162"/>
      <c r="G103" s="162"/>
    </row>
    <row r="104" spans="4:7" ht="17.5">
      <c r="D104" s="162"/>
      <c r="E104" s="162"/>
      <c r="F104" s="162"/>
      <c r="G104" s="162"/>
    </row>
    <row r="105" spans="4:7" ht="17.5">
      <c r="D105" s="162"/>
      <c r="E105" s="162"/>
      <c r="F105" s="162"/>
      <c r="G105" s="162"/>
    </row>
    <row r="106" spans="4:7" ht="17.5">
      <c r="D106" s="162"/>
      <c r="E106" s="162"/>
      <c r="F106" s="162"/>
      <c r="G106" s="162"/>
    </row>
    <row r="107" spans="4:7" ht="17.5">
      <c r="D107" s="162"/>
      <c r="E107" s="162"/>
      <c r="F107" s="162"/>
      <c r="G107" s="162"/>
    </row>
    <row r="108" spans="4:7" ht="17.5">
      <c r="D108" s="162"/>
      <c r="E108" s="162"/>
    </row>
    <row r="109" spans="4:7" ht="17.5">
      <c r="D109" s="162"/>
      <c r="E109" s="162"/>
    </row>
    <row r="110" spans="4:7" ht="17.5">
      <c r="D110" s="162"/>
      <c r="E110" s="162"/>
    </row>
    <row r="111" spans="4:7" ht="17.5">
      <c r="D111" s="162"/>
      <c r="E111" s="162"/>
    </row>
    <row r="112" spans="4:7" ht="17.5">
      <c r="D112" s="162"/>
      <c r="E112" s="162"/>
    </row>
    <row r="113" spans="4:5" ht="17.5">
      <c r="D113" s="162"/>
      <c r="E113" s="162"/>
    </row>
    <row r="114" spans="4:5" ht="17.5">
      <c r="D114" s="162"/>
      <c r="E114" s="162"/>
    </row>
    <row r="115" spans="4:5" ht="17.5">
      <c r="D115" s="162"/>
      <c r="E115" s="162"/>
    </row>
    <row r="116" spans="4:5" ht="17.5">
      <c r="D116" s="162"/>
      <c r="E116" s="162"/>
    </row>
    <row r="117" spans="4:5" ht="17.5">
      <c r="D117" s="162"/>
      <c r="E117" s="162"/>
    </row>
    <row r="118" spans="4:5" ht="17.5">
      <c r="D118" s="162"/>
      <c r="E118" s="162"/>
    </row>
    <row r="119" spans="4:5" ht="17.5">
      <c r="D119" s="162"/>
      <c r="E119" s="162"/>
    </row>
    <row r="120" spans="4:5" ht="17.5">
      <c r="D120" s="162"/>
      <c r="E120" s="162"/>
    </row>
    <row r="121" spans="4:5" ht="17.5">
      <c r="D121" s="162"/>
      <c r="E121" s="162"/>
    </row>
    <row r="122" spans="4:5" ht="17.5">
      <c r="D122" s="162"/>
      <c r="E122" s="162"/>
    </row>
    <row r="123" spans="4:5" ht="17.5">
      <c r="D123" s="162"/>
      <c r="E123" s="162"/>
    </row>
    <row r="124" spans="4:5" ht="17.5">
      <c r="D124" s="162"/>
      <c r="E124" s="162"/>
    </row>
    <row r="125" spans="4:5" ht="17.5">
      <c r="D125" s="162"/>
      <c r="E125" s="162"/>
    </row>
    <row r="126" spans="4:5" ht="17.5">
      <c r="D126" s="162"/>
      <c r="E126" s="162"/>
    </row>
    <row r="127" spans="4:5" ht="17.5">
      <c r="D127" s="162"/>
      <c r="E127" s="162"/>
    </row>
    <row r="128" spans="4:5" ht="17.5">
      <c r="D128" s="162"/>
      <c r="E128" s="162"/>
    </row>
    <row r="129" spans="4:5" ht="17.5">
      <c r="D129" s="162"/>
      <c r="E129" s="162"/>
    </row>
    <row r="130" spans="4:5" ht="17.5">
      <c r="D130" s="162"/>
      <c r="E130" s="162"/>
    </row>
    <row r="131" spans="4:5" ht="17.5">
      <c r="D131" s="162"/>
      <c r="E131" s="162"/>
    </row>
    <row r="132" spans="4:5" ht="17.5">
      <c r="D132" s="162"/>
      <c r="E132" s="162"/>
    </row>
    <row r="133" spans="4:5" ht="17.5">
      <c r="D133" s="162"/>
      <c r="E133" s="162"/>
    </row>
    <row r="134" spans="4:5" ht="17.5">
      <c r="D134" s="162"/>
      <c r="E134" s="162"/>
    </row>
    <row r="135" spans="4:5" ht="17.5">
      <c r="D135" s="162"/>
      <c r="E135" s="162"/>
    </row>
    <row r="136" spans="4:5" ht="17.5">
      <c r="D136" s="162"/>
      <c r="E136" s="162"/>
    </row>
    <row r="137" spans="4:5" ht="17.5">
      <c r="D137" s="162"/>
      <c r="E137" s="162"/>
    </row>
    <row r="138" spans="4:5" ht="17.5">
      <c r="D138" s="162"/>
      <c r="E138" s="162"/>
    </row>
    <row r="139" spans="4:5" ht="17.5">
      <c r="D139" s="162"/>
      <c r="E139" s="162"/>
    </row>
    <row r="140" spans="4:5" ht="17.5">
      <c r="D140" s="162"/>
      <c r="E140" s="162"/>
    </row>
    <row r="141" spans="4:5" ht="17.5">
      <c r="D141" s="162"/>
      <c r="E141" s="162"/>
    </row>
  </sheetData>
  <phoneticPr fontId="7"/>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7"/>
  <sheetViews>
    <sheetView showGridLines="0" zoomScale="87" workbookViewId="0">
      <pane ySplit="3" topLeftCell="A4" activePane="bottomLeft" state="frozen"/>
      <selection pane="bottomLeft" sqref="A1:D1"/>
    </sheetView>
  </sheetViews>
  <sheetFormatPr defaultColWidth="9.2109375" defaultRowHeight="15"/>
  <cols>
    <col min="1" max="2" width="14" style="1" customWidth="1"/>
    <col min="3" max="3" width="52" style="1" customWidth="1"/>
    <col min="4" max="4" width="36" style="1" customWidth="1"/>
    <col min="5" max="5" width="12" style="1" customWidth="1"/>
    <col min="6" max="16384" width="9.2109375" style="1"/>
  </cols>
  <sheetData>
    <row r="1" spans="1:5" ht="24" customHeight="1">
      <c r="A1" s="198" t="s">
        <v>1400</v>
      </c>
      <c r="B1" s="199"/>
      <c r="C1" s="199"/>
      <c r="D1" s="199"/>
      <c r="E1" s="2" t="s">
        <v>1583</v>
      </c>
    </row>
    <row r="2" spans="1:5" ht="16" customHeight="1">
      <c r="A2" s="200" t="s">
        <v>1401</v>
      </c>
      <c r="B2" s="199"/>
      <c r="C2" s="199"/>
      <c r="D2" s="199"/>
      <c r="E2" s="2" t="s">
        <v>1582</v>
      </c>
    </row>
    <row r="3" spans="1:5" ht="20.149999999999999" customHeight="1">
      <c r="A3" s="15" t="s">
        <v>1402</v>
      </c>
      <c r="B3" s="16" t="s">
        <v>1403</v>
      </c>
      <c r="C3" s="16" t="s">
        <v>1404</v>
      </c>
      <c r="D3" s="17" t="s">
        <v>1405</v>
      </c>
      <c r="E3" s="2" t="s">
        <v>1582</v>
      </c>
    </row>
    <row r="4" spans="1:5" ht="18" customHeight="1">
      <c r="A4" s="18" t="s">
        <v>109</v>
      </c>
      <c r="B4" s="18" t="s">
        <v>532</v>
      </c>
      <c r="C4" s="18" t="s">
        <v>4</v>
      </c>
      <c r="D4" s="18" t="s">
        <v>1418</v>
      </c>
      <c r="E4" s="2" t="s">
        <v>1582</v>
      </c>
    </row>
    <row r="5" spans="1:5" ht="18" customHeight="1">
      <c r="A5" s="18" t="s">
        <v>109</v>
      </c>
      <c r="B5" s="18" t="s">
        <v>1419</v>
      </c>
      <c r="C5" s="18" t="s">
        <v>0</v>
      </c>
      <c r="D5" s="18" t="s">
        <v>1420</v>
      </c>
      <c r="E5" s="2" t="s">
        <v>1582</v>
      </c>
    </row>
    <row r="6" spans="1:5" ht="18" customHeight="1">
      <c r="A6" s="18" t="s">
        <v>109</v>
      </c>
      <c r="B6" s="18" t="s">
        <v>1374</v>
      </c>
      <c r="C6" s="18" t="s">
        <v>2726</v>
      </c>
      <c r="D6" s="18" t="s">
        <v>2727</v>
      </c>
      <c r="E6" s="2" t="s">
        <v>1582</v>
      </c>
    </row>
    <row r="7" spans="1:5" ht="18" customHeight="1">
      <c r="A7" s="18" t="s">
        <v>109</v>
      </c>
      <c r="B7" s="18" t="s">
        <v>1421</v>
      </c>
      <c r="C7" s="18" t="s">
        <v>1422</v>
      </c>
      <c r="D7" s="18" t="s">
        <v>1423</v>
      </c>
      <c r="E7" s="2" t="s">
        <v>1582</v>
      </c>
    </row>
    <row r="8" spans="1:5" ht="18" customHeight="1">
      <c r="A8" s="18" t="s">
        <v>109</v>
      </c>
      <c r="B8" s="18" t="s">
        <v>1424</v>
      </c>
      <c r="C8" s="18" t="s">
        <v>57</v>
      </c>
      <c r="D8" s="18" t="s">
        <v>1425</v>
      </c>
      <c r="E8" s="2" t="s">
        <v>1582</v>
      </c>
    </row>
    <row r="9" spans="1:5" ht="18" customHeight="1">
      <c r="A9" s="18" t="s">
        <v>109</v>
      </c>
      <c r="B9" s="18" t="s">
        <v>645</v>
      </c>
      <c r="C9" s="18" t="s">
        <v>31</v>
      </c>
      <c r="D9" s="18" t="s">
        <v>1426</v>
      </c>
      <c r="E9" s="2" t="s">
        <v>1582</v>
      </c>
    </row>
    <row r="10" spans="1:5" ht="18" customHeight="1">
      <c r="A10" s="18" t="s">
        <v>109</v>
      </c>
      <c r="B10" s="18" t="s">
        <v>324</v>
      </c>
      <c r="C10" s="18" t="s">
        <v>1427</v>
      </c>
      <c r="D10" s="18" t="s">
        <v>1428</v>
      </c>
      <c r="E10" s="2" t="s">
        <v>1582</v>
      </c>
    </row>
    <row r="11" spans="1:5" ht="18" customHeight="1">
      <c r="A11" s="18" t="s">
        <v>109</v>
      </c>
      <c r="B11" s="18" t="s">
        <v>1429</v>
      </c>
      <c r="C11" s="18" t="s">
        <v>1430</v>
      </c>
      <c r="D11" s="18" t="s">
        <v>1431</v>
      </c>
      <c r="E11" s="2" t="s">
        <v>1582</v>
      </c>
    </row>
    <row r="12" spans="1:5" ht="18" customHeight="1">
      <c r="A12" s="18" t="s">
        <v>109</v>
      </c>
      <c r="B12" s="18" t="s">
        <v>1432</v>
      </c>
      <c r="C12" s="18" t="s">
        <v>1433</v>
      </c>
      <c r="D12" s="18" t="s">
        <v>1434</v>
      </c>
      <c r="E12" s="2" t="s">
        <v>1582</v>
      </c>
    </row>
    <row r="13" spans="1:5" ht="18" customHeight="1">
      <c r="A13" s="18" t="s">
        <v>109</v>
      </c>
      <c r="B13" s="18" t="s">
        <v>1435</v>
      </c>
      <c r="C13" s="18" t="s">
        <v>1436</v>
      </c>
      <c r="D13" s="18" t="s">
        <v>1437</v>
      </c>
      <c r="E13" s="2" t="s">
        <v>1582</v>
      </c>
    </row>
    <row r="14" spans="1:5" ht="18" customHeight="1">
      <c r="A14" s="18" t="s">
        <v>109</v>
      </c>
      <c r="B14" s="18" t="s">
        <v>1438</v>
      </c>
      <c r="C14" s="18" t="s">
        <v>1439</v>
      </c>
      <c r="D14" s="18" t="s">
        <v>1440</v>
      </c>
      <c r="E14" s="2" t="s">
        <v>1582</v>
      </c>
    </row>
    <row r="15" spans="1:5">
      <c r="A15" s="18" t="s">
        <v>109</v>
      </c>
      <c r="B15" s="18" t="s">
        <v>1441</v>
      </c>
      <c r="C15" s="18" t="s">
        <v>1442</v>
      </c>
      <c r="D15" s="18" t="s">
        <v>1443</v>
      </c>
      <c r="E15" s="2" t="s">
        <v>1582</v>
      </c>
    </row>
    <row r="16" spans="1:5" ht="27">
      <c r="A16" s="18" t="s">
        <v>109</v>
      </c>
      <c r="B16" s="18" t="s">
        <v>1444</v>
      </c>
      <c r="C16" s="18" t="s">
        <v>32</v>
      </c>
      <c r="D16" s="18" t="s">
        <v>1445</v>
      </c>
      <c r="E16" s="3" t="s">
        <v>1582</v>
      </c>
    </row>
    <row r="17" spans="1:5" ht="16" customHeight="1">
      <c r="A17" s="18" t="s">
        <v>109</v>
      </c>
      <c r="B17" s="18" t="s">
        <v>685</v>
      </c>
      <c r="C17" s="18" t="s">
        <v>33</v>
      </c>
      <c r="D17" s="18" t="s">
        <v>1446</v>
      </c>
      <c r="E17" s="3" t="s">
        <v>1582</v>
      </c>
    </row>
    <row r="18" spans="1:5" ht="16" customHeight="1">
      <c r="A18" s="18" t="s">
        <v>109</v>
      </c>
      <c r="B18" s="18" t="s">
        <v>1447</v>
      </c>
      <c r="C18" s="18" t="s">
        <v>34</v>
      </c>
      <c r="D18" s="18" t="s">
        <v>1448</v>
      </c>
      <c r="E18" s="3" t="s">
        <v>1582</v>
      </c>
    </row>
    <row r="19" spans="1:5" ht="16" customHeight="1">
      <c r="A19" s="18" t="s">
        <v>109</v>
      </c>
      <c r="B19" s="18" t="s">
        <v>1449</v>
      </c>
      <c r="C19" s="18" t="s">
        <v>35</v>
      </c>
      <c r="D19" s="18" t="s">
        <v>1450</v>
      </c>
      <c r="E19" s="3" t="s">
        <v>1582</v>
      </c>
    </row>
    <row r="20" spans="1:5" ht="16" customHeight="1">
      <c r="A20" s="18" t="s">
        <v>109</v>
      </c>
      <c r="B20" s="18" t="s">
        <v>1451</v>
      </c>
      <c r="C20" s="18" t="s">
        <v>36</v>
      </c>
      <c r="D20" s="18" t="s">
        <v>1452</v>
      </c>
      <c r="E20" s="3" t="s">
        <v>1582</v>
      </c>
    </row>
    <row r="21" spans="1:5" ht="31" customHeight="1">
      <c r="A21" s="18" t="s">
        <v>109</v>
      </c>
      <c r="B21" s="18" t="s">
        <v>723</v>
      </c>
      <c r="C21" s="18" t="s">
        <v>2455</v>
      </c>
      <c r="D21" s="18" t="s">
        <v>1453</v>
      </c>
      <c r="E21" s="3" t="s">
        <v>1582</v>
      </c>
    </row>
    <row r="22" spans="1:5" ht="31" customHeight="1">
      <c r="A22" s="18" t="s">
        <v>109</v>
      </c>
      <c r="B22" s="18" t="s">
        <v>2456</v>
      </c>
      <c r="C22" s="18" t="s">
        <v>48</v>
      </c>
      <c r="D22" s="18"/>
      <c r="E22" s="3" t="s">
        <v>1582</v>
      </c>
    </row>
    <row r="23" spans="1:5" ht="31" customHeight="1">
      <c r="A23" s="18" t="s">
        <v>109</v>
      </c>
      <c r="B23" s="18" t="s">
        <v>2457</v>
      </c>
      <c r="C23" s="18" t="s">
        <v>49</v>
      </c>
      <c r="D23" s="18"/>
      <c r="E23" s="3" t="s">
        <v>1582</v>
      </c>
    </row>
    <row r="24" spans="1:5" ht="31" customHeight="1">
      <c r="A24" s="18" t="s">
        <v>109</v>
      </c>
      <c r="B24" s="18" t="s">
        <v>2459</v>
      </c>
      <c r="C24" s="18" t="s">
        <v>50</v>
      </c>
      <c r="D24" s="18"/>
      <c r="E24" s="3" t="s">
        <v>1582</v>
      </c>
    </row>
    <row r="25" spans="1:5" ht="31" customHeight="1">
      <c r="A25" s="18" t="s">
        <v>109</v>
      </c>
      <c r="B25" s="18" t="s">
        <v>2458</v>
      </c>
      <c r="C25" s="18" t="s">
        <v>51</v>
      </c>
      <c r="D25" s="18"/>
      <c r="E25" s="3" t="s">
        <v>1582</v>
      </c>
    </row>
    <row r="26" spans="1:5" ht="31" customHeight="1">
      <c r="A26" s="18" t="s">
        <v>109</v>
      </c>
      <c r="B26" s="18" t="s">
        <v>717</v>
      </c>
      <c r="C26" s="18" t="s">
        <v>52</v>
      </c>
      <c r="D26" s="18"/>
      <c r="E26" s="3" t="s">
        <v>1582</v>
      </c>
    </row>
    <row r="27" spans="1:5" ht="32.15" customHeight="1">
      <c r="A27" s="18" t="s">
        <v>109</v>
      </c>
      <c r="B27" s="18" t="s">
        <v>1454</v>
      </c>
      <c r="C27" s="18" t="s">
        <v>38</v>
      </c>
      <c r="D27" s="18" t="s">
        <v>1455</v>
      </c>
      <c r="E27" s="3" t="s">
        <v>1582</v>
      </c>
    </row>
    <row r="28" spans="1:5" ht="32.15" customHeight="1">
      <c r="A28" s="18" t="s">
        <v>109</v>
      </c>
      <c r="B28" s="18" t="s">
        <v>1456</v>
      </c>
      <c r="C28" s="18" t="s">
        <v>40</v>
      </c>
      <c r="D28" s="18" t="s">
        <v>1457</v>
      </c>
      <c r="E28" s="3" t="s">
        <v>1582</v>
      </c>
    </row>
    <row r="29" spans="1:5" ht="32.15" customHeight="1">
      <c r="A29" s="18" t="s">
        <v>109</v>
      </c>
      <c r="B29" s="18" t="s">
        <v>1458</v>
      </c>
      <c r="C29" s="18" t="s">
        <v>37</v>
      </c>
      <c r="D29" s="18" t="s">
        <v>1459</v>
      </c>
      <c r="E29" s="3" t="s">
        <v>1582</v>
      </c>
    </row>
    <row r="30" spans="1:5" ht="32.15" customHeight="1">
      <c r="A30" s="18" t="s">
        <v>109</v>
      </c>
      <c r="B30" s="18" t="s">
        <v>722</v>
      </c>
      <c r="C30" s="18" t="s">
        <v>42</v>
      </c>
      <c r="D30" s="18" t="s">
        <v>1460</v>
      </c>
      <c r="E30" s="3" t="s">
        <v>1582</v>
      </c>
    </row>
    <row r="31" spans="1:5" ht="32.15" customHeight="1">
      <c r="A31" s="18" t="s">
        <v>109</v>
      </c>
      <c r="B31" s="18" t="s">
        <v>1461</v>
      </c>
      <c r="C31" s="18" t="s">
        <v>41</v>
      </c>
      <c r="D31" s="18" t="s">
        <v>1462</v>
      </c>
      <c r="E31" s="3" t="s">
        <v>1582</v>
      </c>
    </row>
    <row r="32" spans="1:5" ht="32.15" customHeight="1">
      <c r="A32" s="18" t="s">
        <v>109</v>
      </c>
      <c r="B32" s="18" t="s">
        <v>1463</v>
      </c>
      <c r="C32" s="18" t="s">
        <v>45</v>
      </c>
      <c r="D32" s="18" t="s">
        <v>1464</v>
      </c>
      <c r="E32" s="3" t="s">
        <v>1582</v>
      </c>
    </row>
    <row r="33" spans="1:5">
      <c r="A33" s="18" t="s">
        <v>109</v>
      </c>
      <c r="B33" s="18" t="s">
        <v>708</v>
      </c>
      <c r="C33" s="18" t="s">
        <v>44</v>
      </c>
      <c r="D33" s="18" t="s">
        <v>1465</v>
      </c>
      <c r="E33" s="3" t="s">
        <v>1582</v>
      </c>
    </row>
    <row r="34" spans="1:5">
      <c r="A34" s="18" t="s">
        <v>109</v>
      </c>
      <c r="B34" s="18" t="s">
        <v>1466</v>
      </c>
      <c r="C34" s="18" t="s">
        <v>43</v>
      </c>
      <c r="D34" s="18" t="s">
        <v>1467</v>
      </c>
      <c r="E34" s="3" t="s">
        <v>1582</v>
      </c>
    </row>
    <row r="35" spans="1:5">
      <c r="A35" s="18" t="s">
        <v>109</v>
      </c>
      <c r="B35" s="18" t="s">
        <v>1468</v>
      </c>
      <c r="C35" s="18" t="s">
        <v>46</v>
      </c>
      <c r="D35" s="18" t="s">
        <v>1469</v>
      </c>
      <c r="E35" s="3" t="s">
        <v>1582</v>
      </c>
    </row>
    <row r="36" spans="1:5">
      <c r="A36" s="18" t="s">
        <v>109</v>
      </c>
      <c r="B36" s="18" t="s">
        <v>1470</v>
      </c>
      <c r="C36" s="18" t="s">
        <v>50</v>
      </c>
      <c r="D36" s="18" t="s">
        <v>1471</v>
      </c>
      <c r="E36" s="3" t="s">
        <v>1582</v>
      </c>
    </row>
    <row r="37" spans="1:5">
      <c r="A37" s="18" t="s">
        <v>109</v>
      </c>
      <c r="B37" s="18" t="s">
        <v>2357</v>
      </c>
      <c r="C37" s="18" t="s">
        <v>47</v>
      </c>
      <c r="D37" s="18"/>
      <c r="E37" s="3" t="s">
        <v>1582</v>
      </c>
    </row>
    <row r="38" spans="1:5" ht="27">
      <c r="A38" s="18" t="s">
        <v>109</v>
      </c>
      <c r="B38" s="18" t="s">
        <v>1473</v>
      </c>
      <c r="C38" s="18" t="s">
        <v>53</v>
      </c>
      <c r="D38" s="18" t="s">
        <v>1474</v>
      </c>
      <c r="E38" s="3" t="s">
        <v>1582</v>
      </c>
    </row>
    <row r="39" spans="1:5" ht="27">
      <c r="A39" s="18" t="s">
        <v>109</v>
      </c>
      <c r="B39" s="18" t="s">
        <v>742</v>
      </c>
      <c r="C39" s="18" t="s">
        <v>54</v>
      </c>
      <c r="D39" s="18" t="s">
        <v>1475</v>
      </c>
      <c r="E39" s="3" t="s">
        <v>1582</v>
      </c>
    </row>
    <row r="40" spans="1:5" ht="27">
      <c r="A40" s="18" t="s">
        <v>109</v>
      </c>
      <c r="B40" s="18" t="s">
        <v>1476</v>
      </c>
      <c r="C40" s="18" t="s">
        <v>56</v>
      </c>
      <c r="D40" s="18" t="s">
        <v>1477</v>
      </c>
      <c r="E40" s="3" t="s">
        <v>1582</v>
      </c>
    </row>
    <row r="41" spans="1:5" ht="27">
      <c r="A41" s="18" t="s">
        <v>109</v>
      </c>
      <c r="B41" s="18" t="s">
        <v>1478</v>
      </c>
      <c r="C41" s="18" t="s">
        <v>55</v>
      </c>
      <c r="D41" s="18" t="s">
        <v>1479</v>
      </c>
      <c r="E41" s="3" t="s">
        <v>1582</v>
      </c>
    </row>
    <row r="42" spans="1:5" ht="27">
      <c r="A42" s="18" t="s">
        <v>109</v>
      </c>
      <c r="B42" s="18" t="s">
        <v>880</v>
      </c>
      <c r="C42" s="18" t="s">
        <v>2743</v>
      </c>
      <c r="D42" s="18" t="s">
        <v>1480</v>
      </c>
      <c r="E42" s="3" t="s">
        <v>1582</v>
      </c>
    </row>
    <row r="43" spans="1:5" ht="27.5">
      <c r="A43" s="18" t="s">
        <v>109</v>
      </c>
      <c r="B43" s="19" t="s">
        <v>1494</v>
      </c>
      <c r="C43" s="19" t="s">
        <v>1</v>
      </c>
      <c r="D43" s="19" t="s">
        <v>1495</v>
      </c>
      <c r="E43" s="3" t="s">
        <v>1582</v>
      </c>
    </row>
    <row r="44" spans="1:5" ht="32.15" customHeight="1">
      <c r="A44" s="18" t="s">
        <v>109</v>
      </c>
      <c r="B44" s="18" t="s">
        <v>1496</v>
      </c>
      <c r="C44" s="19" t="s">
        <v>2</v>
      </c>
      <c r="D44" s="19" t="s">
        <v>1497</v>
      </c>
      <c r="E44" s="3" t="s">
        <v>1582</v>
      </c>
    </row>
    <row r="45" spans="1:5" ht="32.15" customHeight="1">
      <c r="A45" s="18" t="s">
        <v>109</v>
      </c>
      <c r="B45" s="18" t="s">
        <v>1498</v>
      </c>
      <c r="C45" s="19" t="s">
        <v>3</v>
      </c>
      <c r="D45" s="19" t="s">
        <v>1499</v>
      </c>
      <c r="E45" s="3" t="s">
        <v>1582</v>
      </c>
    </row>
    <row r="46" spans="1:5" ht="32.15" customHeight="1">
      <c r="A46" s="18" t="s">
        <v>109</v>
      </c>
      <c r="B46" s="18" t="s">
        <v>1501</v>
      </c>
      <c r="C46" s="20"/>
      <c r="D46" s="20"/>
      <c r="E46" s="3" t="s">
        <v>1582</v>
      </c>
    </row>
    <row r="47" spans="1:5" ht="32.15" customHeight="1">
      <c r="A47" s="18" t="s">
        <v>109</v>
      </c>
      <c r="B47" s="18" t="s">
        <v>806</v>
      </c>
      <c r="C47" s="18" t="s">
        <v>12</v>
      </c>
      <c r="D47" s="18" t="s">
        <v>1503</v>
      </c>
      <c r="E47" s="3" t="s">
        <v>1582</v>
      </c>
    </row>
    <row r="48" spans="1:5" ht="32.15" customHeight="1">
      <c r="A48" s="18" t="s">
        <v>109</v>
      </c>
      <c r="B48" s="18" t="s">
        <v>1504</v>
      </c>
      <c r="C48" s="18" t="s">
        <v>13</v>
      </c>
      <c r="D48" s="18" t="s">
        <v>1505</v>
      </c>
      <c r="E48" s="3" t="s">
        <v>1582</v>
      </c>
    </row>
    <row r="49" spans="1:5" ht="32.15" customHeight="1">
      <c r="A49" s="18" t="s">
        <v>109</v>
      </c>
      <c r="B49" s="18" t="s">
        <v>1506</v>
      </c>
      <c r="C49" s="18" t="s">
        <v>14</v>
      </c>
      <c r="D49" s="18" t="s">
        <v>1507</v>
      </c>
      <c r="E49" s="3" t="s">
        <v>1582</v>
      </c>
    </row>
    <row r="50" spans="1:5" ht="32.15" customHeight="1">
      <c r="A50" s="18" t="s">
        <v>109</v>
      </c>
      <c r="B50" s="18" t="s">
        <v>828</v>
      </c>
      <c r="C50" s="18" t="s">
        <v>20</v>
      </c>
      <c r="D50" s="18" t="s">
        <v>1508</v>
      </c>
      <c r="E50" s="3" t="s">
        <v>1582</v>
      </c>
    </row>
    <row r="51" spans="1:5" ht="32.15" customHeight="1">
      <c r="A51" s="18" t="s">
        <v>109</v>
      </c>
      <c r="B51" s="18" t="s">
        <v>830</v>
      </c>
      <c r="C51" s="18" t="s">
        <v>21</v>
      </c>
      <c r="D51" s="18" t="s">
        <v>1509</v>
      </c>
      <c r="E51" s="3" t="s">
        <v>1582</v>
      </c>
    </row>
    <row r="52" spans="1:5" ht="32.15" customHeight="1">
      <c r="A52" s="18" t="s">
        <v>109</v>
      </c>
      <c r="B52" s="18" t="s">
        <v>1510</v>
      </c>
      <c r="C52" s="18" t="s">
        <v>22</v>
      </c>
      <c r="D52" s="18" t="s">
        <v>1511</v>
      </c>
      <c r="E52" s="3" t="s">
        <v>1582</v>
      </c>
    </row>
    <row r="53" spans="1:5" ht="32.15" customHeight="1">
      <c r="A53" s="18" t="s">
        <v>109</v>
      </c>
      <c r="B53" s="18" t="s">
        <v>1512</v>
      </c>
      <c r="C53" s="18" t="s">
        <v>23</v>
      </c>
      <c r="D53" s="18"/>
      <c r="E53" s="3" t="s">
        <v>1582</v>
      </c>
    </row>
    <row r="54" spans="1:5" ht="32.15" customHeight="1">
      <c r="A54" s="18" t="s">
        <v>109</v>
      </c>
      <c r="B54" s="18" t="s">
        <v>1513</v>
      </c>
      <c r="C54" s="18" t="s">
        <v>24</v>
      </c>
      <c r="D54" s="18" t="s">
        <v>1514</v>
      </c>
      <c r="E54" s="3" t="s">
        <v>1582</v>
      </c>
    </row>
    <row r="55" spans="1:5" ht="27">
      <c r="A55" s="18" t="s">
        <v>109</v>
      </c>
      <c r="B55" s="18" t="s">
        <v>865</v>
      </c>
      <c r="C55" s="18" t="s">
        <v>25</v>
      </c>
      <c r="D55" s="18" t="s">
        <v>1515</v>
      </c>
      <c r="E55" s="3" t="s">
        <v>1582</v>
      </c>
    </row>
    <row r="56" spans="1:5" ht="32.15" customHeight="1">
      <c r="A56" s="18" t="s">
        <v>109</v>
      </c>
      <c r="B56" s="18" t="s">
        <v>1516</v>
      </c>
      <c r="C56" s="18" t="s">
        <v>26</v>
      </c>
      <c r="D56" s="18" t="s">
        <v>1517</v>
      </c>
      <c r="E56" s="3" t="s">
        <v>1582</v>
      </c>
    </row>
    <row r="57" spans="1:5" ht="32.15" customHeight="1">
      <c r="A57" s="18" t="s">
        <v>109</v>
      </c>
      <c r="B57" s="18" t="s">
        <v>1518</v>
      </c>
      <c r="C57" s="18" t="s">
        <v>19</v>
      </c>
      <c r="D57" s="18" t="s">
        <v>1519</v>
      </c>
      <c r="E57" s="3" t="s">
        <v>1582</v>
      </c>
    </row>
    <row r="58" spans="1:5" ht="27.5">
      <c r="A58" s="19" t="s">
        <v>109</v>
      </c>
      <c r="B58" s="19" t="s">
        <v>868</v>
      </c>
      <c r="C58" s="19" t="s">
        <v>1520</v>
      </c>
      <c r="D58" s="19" t="s">
        <v>1521</v>
      </c>
      <c r="E58" s="3" t="s">
        <v>1582</v>
      </c>
    </row>
    <row r="59" spans="1:5" ht="27">
      <c r="A59" s="18" t="s">
        <v>109</v>
      </c>
      <c r="B59" s="18" t="s">
        <v>1522</v>
      </c>
      <c r="C59" s="18" t="s">
        <v>27</v>
      </c>
      <c r="D59" s="18" t="s">
        <v>1523</v>
      </c>
      <c r="E59" s="3" t="s">
        <v>1582</v>
      </c>
    </row>
    <row r="60" spans="1:5" ht="27">
      <c r="A60" s="18" t="s">
        <v>109</v>
      </c>
      <c r="B60" s="18" t="s">
        <v>895</v>
      </c>
      <c r="C60" s="18" t="s">
        <v>29</v>
      </c>
      <c r="D60" s="18" t="s">
        <v>1524</v>
      </c>
      <c r="E60" s="3" t="s">
        <v>1582</v>
      </c>
    </row>
    <row r="61" spans="1:5" ht="40.5">
      <c r="A61" s="18" t="s">
        <v>109</v>
      </c>
      <c r="B61" s="18" t="s">
        <v>899</v>
      </c>
      <c r="C61" s="18" t="s">
        <v>28</v>
      </c>
      <c r="D61" s="18" t="s">
        <v>1525</v>
      </c>
      <c r="E61" s="3" t="s">
        <v>1582</v>
      </c>
    </row>
    <row r="62" spans="1:5" ht="40.5">
      <c r="A62" s="18" t="s">
        <v>109</v>
      </c>
      <c r="B62" s="18" t="s">
        <v>1256</v>
      </c>
      <c r="C62" s="18" t="s">
        <v>2955</v>
      </c>
      <c r="D62" s="18" t="s">
        <v>1526</v>
      </c>
      <c r="E62" s="3" t="s">
        <v>1582</v>
      </c>
    </row>
    <row r="63" spans="1:5" ht="27">
      <c r="A63" s="18" t="s">
        <v>109</v>
      </c>
      <c r="B63" s="18" t="s">
        <v>915</v>
      </c>
      <c r="C63" s="18" t="s">
        <v>30</v>
      </c>
      <c r="D63" s="18" t="s">
        <v>1527</v>
      </c>
      <c r="E63" s="3" t="s">
        <v>1582</v>
      </c>
    </row>
    <row r="64" spans="1:5" ht="27">
      <c r="A64" s="18" t="s">
        <v>109</v>
      </c>
      <c r="B64" s="18" t="s">
        <v>956</v>
      </c>
      <c r="C64" s="18" t="s">
        <v>2793</v>
      </c>
      <c r="D64" s="18" t="s">
        <v>1528</v>
      </c>
      <c r="E64" s="3" t="s">
        <v>1582</v>
      </c>
    </row>
    <row r="65" spans="1:5">
      <c r="A65" s="18" t="s">
        <v>109</v>
      </c>
      <c r="B65" s="18" t="s">
        <v>1529</v>
      </c>
      <c r="C65" s="18" t="s">
        <v>58</v>
      </c>
      <c r="D65" s="18" t="s">
        <v>1530</v>
      </c>
      <c r="E65" s="3" t="s">
        <v>1582</v>
      </c>
    </row>
    <row r="66" spans="1:5" ht="27">
      <c r="A66" s="18" t="s">
        <v>109</v>
      </c>
      <c r="B66" s="18" t="s">
        <v>1531</v>
      </c>
      <c r="C66" s="18" t="s">
        <v>59</v>
      </c>
      <c r="D66" s="18" t="s">
        <v>1532</v>
      </c>
      <c r="E66" s="3" t="s">
        <v>1582</v>
      </c>
    </row>
    <row r="67" spans="1:5">
      <c r="A67" s="18" t="s">
        <v>109</v>
      </c>
      <c r="B67" s="18" t="s">
        <v>964</v>
      </c>
      <c r="C67" s="18" t="s">
        <v>60</v>
      </c>
      <c r="D67" s="18" t="s">
        <v>1533</v>
      </c>
      <c r="E67" s="3" t="s">
        <v>1582</v>
      </c>
    </row>
    <row r="68" spans="1:5">
      <c r="A68" s="18" t="s">
        <v>109</v>
      </c>
      <c r="B68" s="18" t="s">
        <v>1534</v>
      </c>
      <c r="C68" s="18" t="s">
        <v>61</v>
      </c>
      <c r="D68" s="18" t="s">
        <v>1535</v>
      </c>
      <c r="E68" s="3" t="s">
        <v>1582</v>
      </c>
    </row>
    <row r="69" spans="1:5">
      <c r="A69" s="18" t="s">
        <v>109</v>
      </c>
      <c r="B69" s="18" t="s">
        <v>1536</v>
      </c>
      <c r="C69" s="18" t="s">
        <v>62</v>
      </c>
      <c r="D69" s="18" t="s">
        <v>1537</v>
      </c>
      <c r="E69" s="3" t="s">
        <v>1582</v>
      </c>
    </row>
    <row r="70" spans="1:5">
      <c r="A70" s="18" t="s">
        <v>109</v>
      </c>
      <c r="B70" s="18" t="s">
        <v>971</v>
      </c>
      <c r="C70" s="18" t="s">
        <v>63</v>
      </c>
      <c r="D70" s="18" t="s">
        <v>1538</v>
      </c>
      <c r="E70" s="3" t="s">
        <v>1582</v>
      </c>
    </row>
    <row r="71" spans="1:5" ht="27">
      <c r="A71" s="18" t="s">
        <v>109</v>
      </c>
      <c r="B71" s="18" t="s">
        <v>2192</v>
      </c>
      <c r="C71" s="18" t="s">
        <v>64</v>
      </c>
      <c r="D71" s="18" t="s">
        <v>1539</v>
      </c>
      <c r="E71" s="3" t="s">
        <v>1582</v>
      </c>
    </row>
    <row r="72" spans="1:5" ht="27">
      <c r="A72" s="18" t="s">
        <v>109</v>
      </c>
      <c r="B72" s="18" t="s">
        <v>1540</v>
      </c>
      <c r="C72" s="18" t="s">
        <v>65</v>
      </c>
      <c r="D72" s="18" t="s">
        <v>1541</v>
      </c>
      <c r="E72" s="3" t="s">
        <v>1582</v>
      </c>
    </row>
    <row r="73" spans="1:5" ht="27">
      <c r="A73" s="18" t="s">
        <v>109</v>
      </c>
      <c r="B73" s="18" t="s">
        <v>1542</v>
      </c>
      <c r="C73" s="18" t="s">
        <v>66</v>
      </c>
      <c r="D73" s="18" t="s">
        <v>1543</v>
      </c>
      <c r="E73" s="3" t="s">
        <v>1582</v>
      </c>
    </row>
    <row r="74" spans="1:5" ht="27">
      <c r="A74" s="18" t="s">
        <v>109</v>
      </c>
      <c r="B74" s="18" t="s">
        <v>988</v>
      </c>
      <c r="C74" s="18" t="s">
        <v>67</v>
      </c>
      <c r="D74" s="18" t="s">
        <v>1544</v>
      </c>
      <c r="E74" s="3" t="s">
        <v>1582</v>
      </c>
    </row>
    <row r="75" spans="1:5" ht="27">
      <c r="A75" s="18" t="s">
        <v>109</v>
      </c>
      <c r="B75" s="18" t="s">
        <v>998</v>
      </c>
      <c r="C75" s="18" t="s">
        <v>1545</v>
      </c>
      <c r="D75" s="18" t="s">
        <v>1546</v>
      </c>
      <c r="E75" s="3" t="s">
        <v>1582</v>
      </c>
    </row>
    <row r="76" spans="1:5" ht="27">
      <c r="A76" s="18" t="s">
        <v>109</v>
      </c>
      <c r="B76" s="18" t="s">
        <v>1000</v>
      </c>
      <c r="C76" s="18" t="s">
        <v>68</v>
      </c>
      <c r="D76" s="18" t="s">
        <v>1547</v>
      </c>
      <c r="E76" s="3" t="s">
        <v>1582</v>
      </c>
    </row>
    <row r="77" spans="1:5">
      <c r="A77" s="18" t="s">
        <v>109</v>
      </c>
      <c r="B77" s="18" t="s">
        <v>2232</v>
      </c>
      <c r="C77" s="18" t="s">
        <v>5</v>
      </c>
      <c r="D77" s="18"/>
      <c r="E77" s="3" t="s">
        <v>1582</v>
      </c>
    </row>
    <row r="78" spans="1:5">
      <c r="A78" s="18" t="s">
        <v>109</v>
      </c>
      <c r="B78" s="18" t="s">
        <v>2233</v>
      </c>
      <c r="C78" s="18" t="s">
        <v>6</v>
      </c>
      <c r="D78" s="18"/>
      <c r="E78" s="3" t="s">
        <v>1582</v>
      </c>
    </row>
    <row r="79" spans="1:5" ht="27">
      <c r="A79" s="18" t="s">
        <v>109</v>
      </c>
      <c r="B79" s="18" t="s">
        <v>2234</v>
      </c>
      <c r="C79" s="18" t="s">
        <v>7</v>
      </c>
      <c r="D79" s="18"/>
      <c r="E79" s="3" t="s">
        <v>1582</v>
      </c>
    </row>
    <row r="80" spans="1:5" ht="40.5">
      <c r="A80" s="18" t="s">
        <v>109</v>
      </c>
      <c r="B80" s="18" t="s">
        <v>2244</v>
      </c>
      <c r="C80" s="18" t="s">
        <v>8</v>
      </c>
      <c r="D80" s="18"/>
      <c r="E80" s="3" t="s">
        <v>1582</v>
      </c>
    </row>
    <row r="81" spans="1:5" ht="27">
      <c r="A81" s="18" t="s">
        <v>109</v>
      </c>
      <c r="B81" s="18" t="s">
        <v>2245</v>
      </c>
      <c r="C81" s="18" t="s">
        <v>9</v>
      </c>
      <c r="D81" s="18"/>
      <c r="E81" s="3" t="s">
        <v>1582</v>
      </c>
    </row>
    <row r="82" spans="1:5">
      <c r="A82" s="18" t="s">
        <v>109</v>
      </c>
      <c r="B82" s="18" t="s">
        <v>2246</v>
      </c>
      <c r="C82" s="18" t="s">
        <v>10</v>
      </c>
      <c r="D82" s="18"/>
      <c r="E82" s="3" t="s">
        <v>1582</v>
      </c>
    </row>
    <row r="83" spans="1:5">
      <c r="A83" s="18" t="s">
        <v>109</v>
      </c>
      <c r="B83" s="18" t="s">
        <v>2247</v>
      </c>
      <c r="C83" s="18" t="s">
        <v>11</v>
      </c>
      <c r="D83" s="18"/>
      <c r="E83" s="3" t="s">
        <v>1582</v>
      </c>
    </row>
    <row r="84" spans="1:5">
      <c r="A84" s="18" t="s">
        <v>109</v>
      </c>
      <c r="B84" s="18" t="s">
        <v>2753</v>
      </c>
      <c r="C84" s="18" t="s">
        <v>2752</v>
      </c>
      <c r="D84" s="18"/>
      <c r="E84" s="3" t="s">
        <v>1582</v>
      </c>
    </row>
    <row r="85" spans="1:5" ht="27">
      <c r="A85" s="18" t="s">
        <v>107</v>
      </c>
      <c r="B85" s="18" t="s">
        <v>613</v>
      </c>
      <c r="C85" s="18" t="s">
        <v>74</v>
      </c>
      <c r="D85" s="18" t="s">
        <v>1481</v>
      </c>
      <c r="E85" s="3" t="s">
        <v>1582</v>
      </c>
    </row>
    <row r="86" spans="1:5" ht="27">
      <c r="A86" s="18" t="s">
        <v>107</v>
      </c>
      <c r="B86" s="18" t="s">
        <v>1482</v>
      </c>
      <c r="C86" s="18" t="s">
        <v>75</v>
      </c>
      <c r="D86" s="18" t="s">
        <v>1483</v>
      </c>
      <c r="E86" s="3" t="s">
        <v>1582</v>
      </c>
    </row>
    <row r="87" spans="1:5">
      <c r="A87" s="18" t="s">
        <v>107</v>
      </c>
      <c r="B87" s="18" t="s">
        <v>758</v>
      </c>
      <c r="C87" s="18" t="s">
        <v>69</v>
      </c>
      <c r="D87" s="18" t="s">
        <v>1484</v>
      </c>
      <c r="E87" s="3" t="s">
        <v>1582</v>
      </c>
    </row>
    <row r="88" spans="1:5" ht="27">
      <c r="A88" s="18" t="s">
        <v>107</v>
      </c>
      <c r="B88" s="18" t="s">
        <v>765</v>
      </c>
      <c r="C88" s="18" t="s">
        <v>73</v>
      </c>
      <c r="D88" s="18" t="s">
        <v>1485</v>
      </c>
      <c r="E88" s="3" t="s">
        <v>1582</v>
      </c>
    </row>
    <row r="89" spans="1:5" ht="27">
      <c r="A89" s="18" t="s">
        <v>107</v>
      </c>
      <c r="B89" s="18" t="s">
        <v>1486</v>
      </c>
      <c r="C89" s="18" t="s">
        <v>70</v>
      </c>
      <c r="D89" s="18" t="s">
        <v>1487</v>
      </c>
      <c r="E89" s="3" t="s">
        <v>1582</v>
      </c>
    </row>
    <row r="90" spans="1:5">
      <c r="A90" s="18" t="s">
        <v>107</v>
      </c>
      <c r="B90" s="18" t="s">
        <v>1261</v>
      </c>
      <c r="C90" s="18" t="s">
        <v>1488</v>
      </c>
      <c r="D90" s="18" t="s">
        <v>1489</v>
      </c>
      <c r="E90" s="3" t="s">
        <v>1582</v>
      </c>
    </row>
    <row r="91" spans="1:5">
      <c r="A91" s="18" t="s">
        <v>107</v>
      </c>
      <c r="B91" s="18" t="s">
        <v>1490</v>
      </c>
      <c r="C91" s="18" t="s">
        <v>71</v>
      </c>
      <c r="D91" s="18" t="s">
        <v>1491</v>
      </c>
      <c r="E91" s="3" t="s">
        <v>1582</v>
      </c>
    </row>
    <row r="92" spans="1:5" ht="27">
      <c r="A92" s="18" t="s">
        <v>107</v>
      </c>
      <c r="B92" s="18" t="s">
        <v>1492</v>
      </c>
      <c r="C92" s="18" t="s">
        <v>76</v>
      </c>
      <c r="D92" s="18" t="s">
        <v>1493</v>
      </c>
      <c r="E92" s="3" t="s">
        <v>1582</v>
      </c>
    </row>
    <row r="93" spans="1:5">
      <c r="A93" s="18" t="s">
        <v>107</v>
      </c>
      <c r="B93" s="18" t="s">
        <v>2728</v>
      </c>
      <c r="C93" s="18" t="s">
        <v>72</v>
      </c>
      <c r="D93" s="18"/>
      <c r="E93" s="3" t="s">
        <v>1582</v>
      </c>
    </row>
    <row r="94" spans="1:5">
      <c r="A94" s="18" t="s">
        <v>106</v>
      </c>
      <c r="B94" s="18" t="s">
        <v>163</v>
      </c>
      <c r="C94" s="18" t="s">
        <v>1406</v>
      </c>
      <c r="D94" s="18" t="s">
        <v>1407</v>
      </c>
      <c r="E94" s="3" t="s">
        <v>1582</v>
      </c>
    </row>
    <row r="95" spans="1:5">
      <c r="A95" s="18" t="s">
        <v>106</v>
      </c>
      <c r="B95" s="18" t="s">
        <v>117</v>
      </c>
      <c r="C95" s="18" t="s">
        <v>1408</v>
      </c>
      <c r="D95" s="18" t="s">
        <v>1409</v>
      </c>
      <c r="E95" s="3" t="s">
        <v>1582</v>
      </c>
    </row>
    <row r="96" spans="1:5">
      <c r="A96" s="18" t="s">
        <v>106</v>
      </c>
      <c r="B96" s="18" t="s">
        <v>133</v>
      </c>
      <c r="C96" s="18" t="s">
        <v>1410</v>
      </c>
      <c r="D96" s="18" t="s">
        <v>1411</v>
      </c>
      <c r="E96" s="3" t="s">
        <v>1582</v>
      </c>
    </row>
    <row r="97" spans="1:5">
      <c r="A97" s="18" t="s">
        <v>106</v>
      </c>
      <c r="B97" s="18" t="s">
        <v>218</v>
      </c>
      <c r="C97" s="18" t="s">
        <v>1412</v>
      </c>
      <c r="D97" s="18" t="s">
        <v>1413</v>
      </c>
      <c r="E97" s="3" t="s">
        <v>1582</v>
      </c>
    </row>
    <row r="98" spans="1:5">
      <c r="A98" s="18" t="s">
        <v>106</v>
      </c>
      <c r="B98" s="18" t="s">
        <v>235</v>
      </c>
      <c r="C98" s="18" t="s">
        <v>1414</v>
      </c>
      <c r="D98" s="18" t="s">
        <v>1415</v>
      </c>
      <c r="E98" s="3" t="s">
        <v>1582</v>
      </c>
    </row>
    <row r="99" spans="1:5">
      <c r="A99" s="18" t="s">
        <v>106</v>
      </c>
      <c r="B99" s="18" t="s">
        <v>438</v>
      </c>
      <c r="C99" s="18" t="s">
        <v>1416</v>
      </c>
      <c r="D99" s="18" t="s">
        <v>1417</v>
      </c>
      <c r="E99" s="3" t="s">
        <v>1582</v>
      </c>
    </row>
    <row r="100" spans="1:5" ht="40.5">
      <c r="A100" s="18" t="s">
        <v>106</v>
      </c>
      <c r="B100" s="18" t="s">
        <v>1577</v>
      </c>
      <c r="C100" s="18" t="s">
        <v>77</v>
      </c>
      <c r="D100" s="18" t="s">
        <v>1578</v>
      </c>
      <c r="E100" s="3" t="s">
        <v>1582</v>
      </c>
    </row>
    <row r="101" spans="1:5" ht="27">
      <c r="A101" s="18" t="s">
        <v>1502</v>
      </c>
      <c r="B101" s="18" t="s">
        <v>85</v>
      </c>
      <c r="C101" s="20"/>
      <c r="D101" s="20"/>
      <c r="E101" s="3" t="s">
        <v>1582</v>
      </c>
    </row>
    <row r="102" spans="1:5" ht="27">
      <c r="A102" s="18" t="s">
        <v>1502</v>
      </c>
      <c r="B102" s="18" t="s">
        <v>1017</v>
      </c>
      <c r="C102" s="18" t="s">
        <v>92</v>
      </c>
      <c r="D102" s="18" t="s">
        <v>1548</v>
      </c>
      <c r="E102" s="3" t="s">
        <v>1582</v>
      </c>
    </row>
    <row r="103" spans="1:5" ht="27">
      <c r="A103" s="18" t="s">
        <v>1502</v>
      </c>
      <c r="B103" s="18" t="s">
        <v>1166</v>
      </c>
      <c r="C103" s="18" t="s">
        <v>1549</v>
      </c>
      <c r="D103" s="18" t="s">
        <v>1550</v>
      </c>
      <c r="E103" s="3" t="s">
        <v>1582</v>
      </c>
    </row>
    <row r="104" spans="1:5" ht="27">
      <c r="A104" s="18" t="s">
        <v>1502</v>
      </c>
      <c r="B104" s="18" t="s">
        <v>1551</v>
      </c>
      <c r="C104" s="18" t="s">
        <v>88</v>
      </c>
      <c r="D104" s="18" t="s">
        <v>1552</v>
      </c>
      <c r="E104" s="3" t="s">
        <v>1582</v>
      </c>
    </row>
    <row r="105" spans="1:5" ht="27">
      <c r="A105" s="18" t="s">
        <v>1502</v>
      </c>
      <c r="B105" s="18" t="s">
        <v>614</v>
      </c>
      <c r="C105" s="18" t="s">
        <v>89</v>
      </c>
      <c r="D105" s="18" t="s">
        <v>1553</v>
      </c>
      <c r="E105" s="3" t="s">
        <v>1582</v>
      </c>
    </row>
    <row r="106" spans="1:5" ht="27">
      <c r="A106" s="18" t="s">
        <v>1502</v>
      </c>
      <c r="B106" s="18" t="s">
        <v>1554</v>
      </c>
      <c r="C106" s="18" t="s">
        <v>90</v>
      </c>
      <c r="D106" s="18" t="s">
        <v>1555</v>
      </c>
      <c r="E106" s="3" t="s">
        <v>1582</v>
      </c>
    </row>
    <row r="107" spans="1:5">
      <c r="A107" s="18" t="s">
        <v>1502</v>
      </c>
      <c r="B107" s="18" t="s">
        <v>1556</v>
      </c>
      <c r="C107" s="18" t="s">
        <v>1557</v>
      </c>
      <c r="D107" s="18" t="s">
        <v>1558</v>
      </c>
      <c r="E107" s="3" t="s">
        <v>1582</v>
      </c>
    </row>
    <row r="108" spans="1:5">
      <c r="A108" s="18" t="s">
        <v>1502</v>
      </c>
      <c r="B108" s="18" t="s">
        <v>1559</v>
      </c>
      <c r="C108" s="18" t="s">
        <v>91</v>
      </c>
      <c r="D108" s="18" t="s">
        <v>1560</v>
      </c>
      <c r="E108" s="3" t="s">
        <v>1582</v>
      </c>
    </row>
    <row r="109" spans="1:5" ht="27">
      <c r="A109" s="18" t="s">
        <v>1502</v>
      </c>
      <c r="B109" s="18" t="s">
        <v>1111</v>
      </c>
      <c r="C109" s="18" t="s">
        <v>95</v>
      </c>
      <c r="D109" s="18" t="s">
        <v>1561</v>
      </c>
      <c r="E109" s="3" t="s">
        <v>1582</v>
      </c>
    </row>
    <row r="110" spans="1:5" ht="27">
      <c r="A110" s="18" t="s">
        <v>1502</v>
      </c>
      <c r="B110" s="18" t="s">
        <v>1562</v>
      </c>
      <c r="C110" s="18" t="s">
        <v>94</v>
      </c>
      <c r="D110" s="18" t="s">
        <v>1563</v>
      </c>
      <c r="E110" s="3" t="s">
        <v>1582</v>
      </c>
    </row>
    <row r="111" spans="1:5" ht="27">
      <c r="A111" s="18" t="s">
        <v>1502</v>
      </c>
      <c r="B111" s="18" t="s">
        <v>302</v>
      </c>
      <c r="C111" s="18" t="s">
        <v>86</v>
      </c>
      <c r="D111" s="18" t="s">
        <v>1579</v>
      </c>
      <c r="E111" s="3" t="s">
        <v>1582</v>
      </c>
    </row>
    <row r="112" spans="1:5" ht="27">
      <c r="A112" s="18" t="s">
        <v>1502</v>
      </c>
      <c r="B112" s="18" t="s">
        <v>157</v>
      </c>
      <c r="C112" s="18" t="s">
        <v>87</v>
      </c>
      <c r="D112" s="18" t="s">
        <v>1580</v>
      </c>
      <c r="E112" s="3" t="s">
        <v>1582</v>
      </c>
    </row>
    <row r="113" spans="1:5" ht="27">
      <c r="A113" s="18" t="s">
        <v>108</v>
      </c>
      <c r="B113" s="18" t="s">
        <v>711</v>
      </c>
      <c r="C113" s="18" t="s">
        <v>39</v>
      </c>
      <c r="D113" s="18" t="s">
        <v>1472</v>
      </c>
      <c r="E113" s="3" t="s">
        <v>1582</v>
      </c>
    </row>
    <row r="114" spans="1:5" ht="27">
      <c r="A114" s="18" t="s">
        <v>108</v>
      </c>
      <c r="B114" s="18" t="s">
        <v>1500</v>
      </c>
      <c r="C114" s="20"/>
      <c r="D114" s="20"/>
      <c r="E114" s="3" t="s">
        <v>1582</v>
      </c>
    </row>
    <row r="115" spans="1:5" ht="27">
      <c r="A115" s="18" t="s">
        <v>108</v>
      </c>
      <c r="B115" s="18" t="s">
        <v>1564</v>
      </c>
      <c r="C115" s="18" t="s">
        <v>93</v>
      </c>
      <c r="D115" s="18" t="s">
        <v>1565</v>
      </c>
      <c r="E115" s="3" t="s">
        <v>1582</v>
      </c>
    </row>
    <row r="116" spans="1:5" ht="27">
      <c r="A116" s="18" t="s">
        <v>108</v>
      </c>
      <c r="B116" s="18" t="s">
        <v>1566</v>
      </c>
      <c r="C116" s="18" t="s">
        <v>83</v>
      </c>
      <c r="D116" s="18" t="s">
        <v>1567</v>
      </c>
      <c r="E116" s="3" t="s">
        <v>1582</v>
      </c>
    </row>
    <row r="117" spans="1:5" ht="27">
      <c r="A117" s="18" t="s">
        <v>108</v>
      </c>
      <c r="B117" s="18" t="s">
        <v>1568</v>
      </c>
      <c r="C117" s="18" t="s">
        <v>82</v>
      </c>
      <c r="D117" s="18" t="s">
        <v>1569</v>
      </c>
      <c r="E117" s="3" t="s">
        <v>1582</v>
      </c>
    </row>
    <row r="118" spans="1:5" ht="27">
      <c r="A118" s="18" t="s">
        <v>108</v>
      </c>
      <c r="B118" s="18" t="s">
        <v>1570</v>
      </c>
      <c r="C118" s="18" t="s">
        <v>84</v>
      </c>
      <c r="D118" s="18" t="s">
        <v>1571</v>
      </c>
      <c r="E118" s="3" t="s">
        <v>1582</v>
      </c>
    </row>
    <row r="119" spans="1:5" ht="27">
      <c r="A119" s="18" t="s">
        <v>108</v>
      </c>
      <c r="B119" s="18" t="s">
        <v>1100</v>
      </c>
      <c r="C119" s="18" t="s">
        <v>78</v>
      </c>
      <c r="D119" s="18" t="s">
        <v>1572</v>
      </c>
      <c r="E119" s="3" t="s">
        <v>1582</v>
      </c>
    </row>
    <row r="120" spans="1:5" ht="27">
      <c r="A120" s="18" t="s">
        <v>108</v>
      </c>
      <c r="B120" s="18" t="s">
        <v>1573</v>
      </c>
      <c r="C120" s="18" t="s">
        <v>79</v>
      </c>
      <c r="D120" s="18" t="s">
        <v>1574</v>
      </c>
      <c r="E120" s="3" t="s">
        <v>1582</v>
      </c>
    </row>
    <row r="121" spans="1:5" ht="27">
      <c r="A121" s="18" t="s">
        <v>108</v>
      </c>
      <c r="B121" s="18" t="s">
        <v>1093</v>
      </c>
      <c r="C121" s="18" t="s">
        <v>81</v>
      </c>
      <c r="D121" s="18" t="s">
        <v>1575</v>
      </c>
      <c r="E121" s="3" t="s">
        <v>1582</v>
      </c>
    </row>
    <row r="122" spans="1:5" ht="27">
      <c r="A122" s="18" t="s">
        <v>108</v>
      </c>
      <c r="B122" s="18" t="s">
        <v>1125</v>
      </c>
      <c r="C122" s="18" t="s">
        <v>80</v>
      </c>
      <c r="D122" s="18" t="s">
        <v>1576</v>
      </c>
      <c r="E122" s="3" t="s">
        <v>1582</v>
      </c>
    </row>
    <row r="123" spans="1:5">
      <c r="A123" s="18" t="s">
        <v>2460</v>
      </c>
      <c r="B123" s="18" t="s">
        <v>2462</v>
      </c>
      <c r="C123" s="18" t="s">
        <v>15</v>
      </c>
      <c r="D123" s="18"/>
      <c r="E123" s="3" t="s">
        <v>1582</v>
      </c>
    </row>
    <row r="124" spans="1:5">
      <c r="A124" s="18" t="s">
        <v>2460</v>
      </c>
      <c r="B124" s="18" t="s">
        <v>2463</v>
      </c>
      <c r="C124" s="18" t="s">
        <v>16</v>
      </c>
      <c r="D124" s="18"/>
      <c r="E124" s="3" t="s">
        <v>1582</v>
      </c>
    </row>
    <row r="125" spans="1:5">
      <c r="A125" s="18" t="s">
        <v>2460</v>
      </c>
      <c r="B125" s="18" t="s">
        <v>2464</v>
      </c>
      <c r="C125" s="18" t="s">
        <v>17</v>
      </c>
      <c r="D125" s="18"/>
      <c r="E125" s="3" t="s">
        <v>1582</v>
      </c>
    </row>
    <row r="126" spans="1:5">
      <c r="A126" s="18" t="s">
        <v>2460</v>
      </c>
      <c r="B126" s="18" t="s">
        <v>2461</v>
      </c>
      <c r="C126" s="18" t="s">
        <v>18</v>
      </c>
      <c r="D126" s="18"/>
      <c r="E126" s="3" t="s">
        <v>1582</v>
      </c>
    </row>
    <row r="127" spans="1:5">
      <c r="A127" s="2" t="s">
        <v>1582</v>
      </c>
      <c r="B127" s="2" t="s">
        <v>1582</v>
      </c>
      <c r="C127" s="2" t="s">
        <v>1582</v>
      </c>
      <c r="D127" s="2" t="s">
        <v>1582</v>
      </c>
      <c r="E127" s="3" t="s">
        <v>1582</v>
      </c>
    </row>
  </sheetData>
  <autoFilter ref="A3:E127" xr:uid="{00000000-0001-0000-0200-000000000000}"/>
  <mergeCells count="2">
    <mergeCell ref="A1:D1"/>
    <mergeCell ref="A2:D2"/>
  </mergeCells>
  <phoneticPr fontId="7"/>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8E8-B81E-40FB-B918-73DB40BAE089}">
  <dimension ref="A1"/>
  <sheetViews>
    <sheetView workbookViewId="0">
      <selection activeCell="G19" sqref="G19"/>
    </sheetView>
  </sheetViews>
  <sheetFormatPr defaultRowHeight="17.5"/>
  <sheetData/>
  <phoneticPr fontId="7"/>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9484F-5388-43F5-B6B8-031341ECB1DF}">
  <dimension ref="A1:D47"/>
  <sheetViews>
    <sheetView showGridLines="0" workbookViewId="0">
      <selection activeCell="C19" sqref="C19"/>
    </sheetView>
  </sheetViews>
  <sheetFormatPr defaultRowHeight="17.5"/>
  <sheetData>
    <row r="1" spans="1:2">
      <c r="A1" s="14" t="s">
        <v>2085</v>
      </c>
    </row>
    <row r="3" spans="1:2">
      <c r="A3">
        <v>1</v>
      </c>
      <c r="B3" t="s">
        <v>2084</v>
      </c>
    </row>
    <row r="4" spans="1:2">
      <c r="A4">
        <v>2</v>
      </c>
      <c r="B4" t="s">
        <v>3120</v>
      </c>
    </row>
    <row r="5" spans="1:2">
      <c r="B5" s="13"/>
    </row>
    <row r="6" spans="1:2">
      <c r="B6" s="13" t="s">
        <v>3124</v>
      </c>
    </row>
    <row r="7" spans="1:2">
      <c r="B7" s="13" t="s">
        <v>3125</v>
      </c>
    </row>
    <row r="8" spans="1:2">
      <c r="B8" s="13" t="s">
        <v>3126</v>
      </c>
    </row>
    <row r="10" spans="1:2">
      <c r="A10">
        <v>3</v>
      </c>
      <c r="B10" t="s">
        <v>3334</v>
      </c>
    </row>
    <row r="11" spans="1:2">
      <c r="B11" s="13" t="s">
        <v>3335</v>
      </c>
    </row>
    <row r="12" spans="1:2">
      <c r="A12">
        <v>4</v>
      </c>
      <c r="B12" t="s">
        <v>3336</v>
      </c>
    </row>
    <row r="13" spans="1:2">
      <c r="B13" t="s">
        <v>3127</v>
      </c>
    </row>
    <row r="47" spans="4:4">
      <c r="D47" t="s">
        <v>2099</v>
      </c>
    </row>
  </sheetData>
  <phoneticPr fontId="7"/>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AI794"/>
  <sheetViews>
    <sheetView zoomScale="70" zoomScaleNormal="70" workbookViewId="0">
      <pane xSplit="13" ySplit="2" topLeftCell="N378" activePane="bottomRight" state="frozen"/>
      <selection pane="topRight" activeCell="F1" sqref="F1"/>
      <selection pane="bottomLeft" activeCell="A4" sqref="A4"/>
      <selection pane="bottomRight" activeCell="M385" sqref="M385"/>
    </sheetView>
  </sheetViews>
  <sheetFormatPr defaultColWidth="8.5703125" defaultRowHeight="13.5"/>
  <cols>
    <col min="1" max="1" width="5.42578125" style="124" customWidth="1"/>
    <col min="2" max="3" width="8.5703125" style="124" customWidth="1"/>
    <col min="4" max="9" width="6.42578125" style="124" customWidth="1"/>
    <col min="10" max="10" width="10.35546875" style="96" customWidth="1"/>
    <col min="11" max="12" width="14" style="96" customWidth="1"/>
    <col min="13" max="13" width="22" style="96" customWidth="1"/>
    <col min="14" max="14" width="18" style="124" customWidth="1"/>
    <col min="15" max="15" width="50" style="4" customWidth="1"/>
    <col min="16" max="16" width="30" style="4" customWidth="1"/>
    <col min="17" max="17" width="12" style="4" customWidth="1"/>
    <col min="18" max="22" width="13.640625" style="4" customWidth="1"/>
    <col min="23" max="23" width="13.640625" style="4" customWidth="1" collapsed="1"/>
    <col min="24" max="27" width="13.640625" style="4" customWidth="1"/>
    <col min="28" max="34" width="32" style="4" customWidth="1"/>
    <col min="35" max="35" width="8.5703125" style="4" customWidth="1"/>
    <col min="36" max="16384" width="8.5703125" style="4"/>
  </cols>
  <sheetData>
    <row r="1" spans="1:35" ht="27">
      <c r="A1" s="5" t="s">
        <v>96</v>
      </c>
      <c r="B1" s="5" t="s">
        <v>3337</v>
      </c>
      <c r="C1" s="5" t="s">
        <v>3338</v>
      </c>
      <c r="D1" s="5" t="s">
        <v>3339</v>
      </c>
      <c r="E1" s="5" t="s">
        <v>3340</v>
      </c>
      <c r="F1" s="5" t="s">
        <v>3341</v>
      </c>
      <c r="G1" s="5" t="s">
        <v>3342</v>
      </c>
      <c r="H1" s="5" t="s">
        <v>3343</v>
      </c>
      <c r="I1" s="5" t="s">
        <v>3344</v>
      </c>
      <c r="J1" s="5" t="s">
        <v>2107</v>
      </c>
      <c r="K1" s="5" t="s">
        <v>97</v>
      </c>
      <c r="L1" s="5" t="s">
        <v>98</v>
      </c>
      <c r="M1" s="5" t="s">
        <v>99</v>
      </c>
      <c r="N1" s="5" t="s">
        <v>100</v>
      </c>
      <c r="O1" s="5" t="s">
        <v>101</v>
      </c>
      <c r="P1" s="5" t="s">
        <v>102</v>
      </c>
      <c r="Q1" s="5" t="s">
        <v>103</v>
      </c>
      <c r="R1" s="6" t="s">
        <v>104</v>
      </c>
      <c r="S1" s="6"/>
      <c r="T1" s="6"/>
      <c r="U1" s="6"/>
      <c r="V1" s="7"/>
      <c r="W1" s="8" t="s">
        <v>105</v>
      </c>
      <c r="X1" s="6"/>
      <c r="Y1" s="6"/>
      <c r="Z1" s="6"/>
      <c r="AA1" s="6"/>
      <c r="AB1" s="24"/>
      <c r="AC1" s="31"/>
      <c r="AD1" s="29"/>
      <c r="AE1" s="26" t="s">
        <v>2975</v>
      </c>
      <c r="AF1" s="22" t="s">
        <v>2083</v>
      </c>
      <c r="AG1" s="22"/>
      <c r="AH1" s="23"/>
      <c r="AI1" s="3" t="s">
        <v>1583</v>
      </c>
    </row>
    <row r="2" spans="1:35" ht="27">
      <c r="A2" s="9"/>
      <c r="B2" s="9"/>
      <c r="C2" s="9"/>
      <c r="D2" s="9"/>
      <c r="E2" s="9"/>
      <c r="F2" s="9"/>
      <c r="G2" s="9"/>
      <c r="H2" s="9"/>
      <c r="I2" s="9"/>
      <c r="J2" s="9"/>
      <c r="K2" s="9"/>
      <c r="L2" s="9"/>
      <c r="M2" s="9" t="s">
        <v>2106</v>
      </c>
      <c r="N2" s="9"/>
      <c r="O2" s="9"/>
      <c r="P2" s="9"/>
      <c r="Q2" s="9"/>
      <c r="R2" s="10" t="s">
        <v>106</v>
      </c>
      <c r="S2" s="10" t="s">
        <v>107</v>
      </c>
      <c r="T2" s="10" t="s">
        <v>108</v>
      </c>
      <c r="U2" s="10" t="s">
        <v>2694</v>
      </c>
      <c r="V2" s="11" t="s">
        <v>110</v>
      </c>
      <c r="W2" s="12" t="s">
        <v>106</v>
      </c>
      <c r="X2" s="10" t="s">
        <v>107</v>
      </c>
      <c r="Y2" s="10" t="s">
        <v>108</v>
      </c>
      <c r="Z2" s="10" t="s">
        <v>109</v>
      </c>
      <c r="AA2" s="10" t="s">
        <v>110</v>
      </c>
      <c r="AB2" s="25" t="s">
        <v>1584</v>
      </c>
      <c r="AC2" s="32" t="s">
        <v>2978</v>
      </c>
      <c r="AD2" s="30" t="s">
        <v>2979</v>
      </c>
      <c r="AE2" s="27" t="s">
        <v>2976</v>
      </c>
      <c r="AF2" s="28" t="s">
        <v>2977</v>
      </c>
      <c r="AG2" s="28" t="s">
        <v>102</v>
      </c>
      <c r="AH2" s="28" t="s">
        <v>103</v>
      </c>
      <c r="AI2" s="3" t="s">
        <v>1583</v>
      </c>
    </row>
    <row r="3" spans="1:35" ht="40.5">
      <c r="A3" s="144">
        <f t="shared" ref="A3:A211" si="0">ROW()-2</f>
        <v>1</v>
      </c>
      <c r="B3" s="148"/>
      <c r="C3" s="148"/>
      <c r="D3" s="148"/>
      <c r="E3" s="148"/>
      <c r="F3" s="148"/>
      <c r="G3" s="148"/>
      <c r="H3" s="148"/>
      <c r="I3" s="148"/>
      <c r="J3" s="98" t="s">
        <v>2101</v>
      </c>
      <c r="K3" s="100" t="str">
        <f>_xlfn.XLOOKUP(L3,'99_マスタ'!$D$5:$D$18,'99_マスタ'!$C$5:$C$18,"")</f>
        <v>01_財務・業績指標</v>
      </c>
      <c r="L3" s="69" t="s">
        <v>2297</v>
      </c>
      <c r="M3" s="100" t="s">
        <v>1654</v>
      </c>
      <c r="N3" s="126" t="s">
        <v>2706</v>
      </c>
      <c r="O3" s="40" t="s">
        <v>2707</v>
      </c>
      <c r="P3" s="40" t="s">
        <v>2709</v>
      </c>
      <c r="Q3" s="40" t="s">
        <v>1895</v>
      </c>
      <c r="R3" s="41" t="s">
        <v>139</v>
      </c>
      <c r="S3" s="41" t="s">
        <v>2710</v>
      </c>
      <c r="T3" s="41" t="s">
        <v>139</v>
      </c>
      <c r="U3" s="41" t="s">
        <v>139</v>
      </c>
      <c r="V3" s="42" t="s">
        <v>139</v>
      </c>
      <c r="W3" s="43" t="s">
        <v>139</v>
      </c>
      <c r="X3" s="41" t="s">
        <v>2736</v>
      </c>
      <c r="Y3" s="41" t="s">
        <v>139</v>
      </c>
      <c r="Z3" s="41" t="s">
        <v>139</v>
      </c>
      <c r="AA3" s="41" t="s">
        <v>139</v>
      </c>
      <c r="AB3" s="44"/>
      <c r="AC3" s="45"/>
      <c r="AD3" s="45"/>
      <c r="AE3" s="46"/>
      <c r="AF3" s="45"/>
      <c r="AG3" s="45"/>
      <c r="AH3" s="45"/>
      <c r="AI3" s="3" t="s">
        <v>1583</v>
      </c>
    </row>
    <row r="4" spans="1:35">
      <c r="A4" s="144">
        <f t="shared" si="0"/>
        <v>2</v>
      </c>
      <c r="B4" s="148"/>
      <c r="C4" s="148"/>
      <c r="D4" s="148"/>
      <c r="E4" s="148"/>
      <c r="F4" s="148"/>
      <c r="G4" s="148"/>
      <c r="H4" s="148"/>
      <c r="I4" s="148"/>
      <c r="J4" s="98" t="s">
        <v>2101</v>
      </c>
      <c r="K4" s="69" t="str">
        <f>_xlfn.XLOOKUP(L4,'99_マスタ'!$D$5:$D$18,'99_マスタ'!$C$5:$C$18,"")</f>
        <v>01_財務・業績指標</v>
      </c>
      <c r="L4" s="69" t="s">
        <v>2297</v>
      </c>
      <c r="M4" s="100" t="s">
        <v>1654</v>
      </c>
      <c r="N4" s="126" t="s">
        <v>3304</v>
      </c>
      <c r="O4" s="40" t="s">
        <v>1653</v>
      </c>
      <c r="P4" s="62"/>
      <c r="Q4" s="40" t="s">
        <v>1645</v>
      </c>
      <c r="R4" s="41" t="s">
        <v>139</v>
      </c>
      <c r="S4" s="41" t="s">
        <v>139</v>
      </c>
      <c r="T4" s="41" t="s">
        <v>139</v>
      </c>
      <c r="U4" s="41" t="s">
        <v>139</v>
      </c>
      <c r="V4" s="42" t="s">
        <v>302</v>
      </c>
      <c r="W4" s="43" t="s">
        <v>139</v>
      </c>
      <c r="X4" s="41" t="s">
        <v>139</v>
      </c>
      <c r="Y4" s="41" t="s">
        <v>139</v>
      </c>
      <c r="Z4" s="41" t="s">
        <v>139</v>
      </c>
      <c r="AA4" s="41" t="s">
        <v>1600</v>
      </c>
      <c r="AB4" s="44"/>
      <c r="AC4" s="45"/>
      <c r="AD4" s="45"/>
      <c r="AE4" s="46"/>
      <c r="AF4" s="45"/>
      <c r="AG4" s="45"/>
      <c r="AH4" s="45"/>
      <c r="AI4" s="3" t="s">
        <v>1583</v>
      </c>
    </row>
    <row r="5" spans="1:35" ht="40.5">
      <c r="A5" s="144">
        <f t="shared" si="0"/>
        <v>3</v>
      </c>
      <c r="B5" s="148"/>
      <c r="C5" s="148"/>
      <c r="D5" s="148"/>
      <c r="E5" s="148"/>
      <c r="F5" s="148"/>
      <c r="G5" s="148"/>
      <c r="H5" s="148"/>
      <c r="I5" s="148"/>
      <c r="J5" s="98" t="s">
        <v>2101</v>
      </c>
      <c r="K5" s="101" t="str">
        <f>_xlfn.XLOOKUP(L5,'99_マスタ'!$D$5:$D$18,'99_マスタ'!$C$5:$C$18,"")</f>
        <v>01_財務・業績指標</v>
      </c>
      <c r="L5" s="69" t="s">
        <v>2297</v>
      </c>
      <c r="M5" s="71" t="s">
        <v>2960</v>
      </c>
      <c r="N5" s="54" t="s">
        <v>1637</v>
      </c>
      <c r="O5" s="41" t="s">
        <v>2961</v>
      </c>
      <c r="P5" s="41" t="s">
        <v>2962</v>
      </c>
      <c r="Q5" s="41" t="s">
        <v>1645</v>
      </c>
      <c r="R5" s="41" t="s">
        <v>2963</v>
      </c>
      <c r="S5" s="41" t="s">
        <v>139</v>
      </c>
      <c r="T5" s="41" t="s">
        <v>139</v>
      </c>
      <c r="U5" s="41" t="s">
        <v>139</v>
      </c>
      <c r="V5" s="42" t="s">
        <v>139</v>
      </c>
      <c r="W5" s="53" t="s">
        <v>2935</v>
      </c>
      <c r="X5" s="54" t="s">
        <v>139</v>
      </c>
      <c r="Y5" s="54" t="s">
        <v>139</v>
      </c>
      <c r="Z5" s="54" t="s">
        <v>139</v>
      </c>
      <c r="AA5" s="54" t="s">
        <v>139</v>
      </c>
      <c r="AB5" s="55"/>
      <c r="AC5" s="56"/>
      <c r="AD5" s="56"/>
      <c r="AE5" s="57"/>
      <c r="AF5" s="56"/>
      <c r="AG5" s="56"/>
      <c r="AH5" s="56"/>
      <c r="AI5" s="3" t="s">
        <v>1583</v>
      </c>
    </row>
    <row r="6" spans="1:35" ht="27">
      <c r="A6" s="144">
        <f t="shared" si="0"/>
        <v>4</v>
      </c>
      <c r="B6" s="148"/>
      <c r="C6" s="148"/>
      <c r="D6" s="148"/>
      <c r="E6" s="148"/>
      <c r="F6" s="148"/>
      <c r="G6" s="148"/>
      <c r="H6" s="148"/>
      <c r="I6" s="148"/>
      <c r="J6" s="98" t="s">
        <v>2101</v>
      </c>
      <c r="K6" s="100" t="str">
        <f>_xlfn.XLOOKUP(L6,'99_マスタ'!$D$5:$D$18,'99_マスタ'!$C$5:$C$18,"")</f>
        <v>01_財務・業績指標</v>
      </c>
      <c r="L6" s="100" t="s">
        <v>2297</v>
      </c>
      <c r="M6" s="100" t="s">
        <v>1011</v>
      </c>
      <c r="N6" s="126" t="s">
        <v>1012</v>
      </c>
      <c r="O6" s="40" t="s">
        <v>1013</v>
      </c>
      <c r="P6" s="40" t="s">
        <v>1014</v>
      </c>
      <c r="Q6" s="40" t="s">
        <v>1645</v>
      </c>
      <c r="R6" s="41" t="s">
        <v>139</v>
      </c>
      <c r="S6" s="41" t="s">
        <v>139</v>
      </c>
      <c r="T6" s="41" t="s">
        <v>139</v>
      </c>
      <c r="U6" s="41" t="s">
        <v>139</v>
      </c>
      <c r="V6" s="42" t="s">
        <v>1984</v>
      </c>
      <c r="W6" s="43" t="s">
        <v>139</v>
      </c>
      <c r="X6" s="41" t="s">
        <v>139</v>
      </c>
      <c r="Y6" s="41" t="s">
        <v>139</v>
      </c>
      <c r="Z6" s="41" t="s">
        <v>139</v>
      </c>
      <c r="AA6" s="41" t="s">
        <v>1655</v>
      </c>
      <c r="AB6" s="44"/>
      <c r="AC6" s="45"/>
      <c r="AD6" s="45"/>
      <c r="AE6" s="46"/>
      <c r="AF6" s="45"/>
      <c r="AG6" s="45"/>
      <c r="AH6" s="45"/>
      <c r="AI6" s="3" t="s">
        <v>1583</v>
      </c>
    </row>
    <row r="7" spans="1:35">
      <c r="A7" s="144">
        <f t="shared" si="0"/>
        <v>5</v>
      </c>
      <c r="B7" s="148"/>
      <c r="C7" s="148"/>
      <c r="D7" s="148"/>
      <c r="E7" s="148"/>
      <c r="F7" s="148"/>
      <c r="G7" s="148"/>
      <c r="H7" s="148"/>
      <c r="I7" s="148"/>
      <c r="J7" s="103" t="s">
        <v>2101</v>
      </c>
      <c r="K7" s="100" t="str">
        <f>_xlfn.XLOOKUP(L7,'99_マスタ'!$D$5:$D$18,'99_マスタ'!$C$5:$C$18,"")</f>
        <v>01_財務・業績指標</v>
      </c>
      <c r="L7" s="65" t="s">
        <v>2297</v>
      </c>
      <c r="M7" s="69" t="s">
        <v>1669</v>
      </c>
      <c r="N7" s="126" t="s">
        <v>139</v>
      </c>
      <c r="O7" s="40" t="s">
        <v>1671</v>
      </c>
      <c r="P7" s="63"/>
      <c r="Q7" s="40" t="s">
        <v>1645</v>
      </c>
      <c r="R7" s="41" t="s">
        <v>139</v>
      </c>
      <c r="S7" s="41" t="s">
        <v>139</v>
      </c>
      <c r="T7" s="41" t="s">
        <v>139</v>
      </c>
      <c r="U7" s="41" t="s">
        <v>139</v>
      </c>
      <c r="V7" s="42" t="s">
        <v>302</v>
      </c>
      <c r="W7" s="43" t="s">
        <v>139</v>
      </c>
      <c r="X7" s="41" t="s">
        <v>139</v>
      </c>
      <c r="Y7" s="41" t="s">
        <v>139</v>
      </c>
      <c r="Z7" s="41" t="s">
        <v>139</v>
      </c>
      <c r="AA7" s="41" t="s">
        <v>302</v>
      </c>
      <c r="AB7" s="44" t="s">
        <v>1668</v>
      </c>
      <c r="AC7" s="45"/>
      <c r="AD7" s="45"/>
      <c r="AE7" s="46"/>
      <c r="AF7" s="45"/>
      <c r="AG7" s="45"/>
      <c r="AH7" s="45"/>
      <c r="AI7" s="3" t="s">
        <v>1583</v>
      </c>
    </row>
    <row r="8" spans="1:35" ht="27">
      <c r="A8" s="144">
        <f t="shared" si="0"/>
        <v>6</v>
      </c>
      <c r="B8" s="148"/>
      <c r="C8" s="148"/>
      <c r="D8" s="148"/>
      <c r="E8" s="148"/>
      <c r="F8" s="148"/>
      <c r="G8" s="148"/>
      <c r="H8" s="148"/>
      <c r="I8" s="148"/>
      <c r="J8" s="98" t="s">
        <v>2101</v>
      </c>
      <c r="K8" s="100" t="str">
        <f>_xlfn.XLOOKUP(L8,'99_マスタ'!$D$5:$D$18,'99_マスタ'!$C$5:$C$18,"")</f>
        <v>01_財務・業績指標</v>
      </c>
      <c r="L8" s="100" t="s">
        <v>2297</v>
      </c>
      <c r="M8" s="100" t="s">
        <v>3305</v>
      </c>
      <c r="N8" s="126" t="s">
        <v>1039</v>
      </c>
      <c r="O8" s="40" t="s">
        <v>1603</v>
      </c>
      <c r="P8" s="40" t="s">
        <v>1040</v>
      </c>
      <c r="Q8" s="40" t="s">
        <v>192</v>
      </c>
      <c r="R8" s="41" t="s">
        <v>139</v>
      </c>
      <c r="S8" s="41" t="s">
        <v>139</v>
      </c>
      <c r="T8" s="41" t="s">
        <v>139</v>
      </c>
      <c r="U8" s="41" t="s">
        <v>139</v>
      </c>
      <c r="V8" s="42" t="s">
        <v>1041</v>
      </c>
      <c r="W8" s="43" t="s">
        <v>139</v>
      </c>
      <c r="X8" s="41" t="s">
        <v>139</v>
      </c>
      <c r="Y8" s="41" t="s">
        <v>139</v>
      </c>
      <c r="Z8" s="41" t="s">
        <v>139</v>
      </c>
      <c r="AA8" s="41" t="s">
        <v>1017</v>
      </c>
      <c r="AB8" s="44"/>
      <c r="AC8" s="45"/>
      <c r="AD8" s="45"/>
      <c r="AE8" s="46"/>
      <c r="AF8" s="45"/>
      <c r="AG8" s="45"/>
      <c r="AH8" s="45"/>
      <c r="AI8" s="3" t="s">
        <v>1583</v>
      </c>
    </row>
    <row r="9" spans="1:35" ht="40.5">
      <c r="A9" s="144">
        <f t="shared" si="0"/>
        <v>7</v>
      </c>
      <c r="B9" s="148"/>
      <c r="C9" s="148"/>
      <c r="D9" s="148"/>
      <c r="E9" s="148"/>
      <c r="F9" s="148"/>
      <c r="G9" s="148"/>
      <c r="H9" s="148"/>
      <c r="I9" s="148"/>
      <c r="J9" s="98" t="s">
        <v>2101</v>
      </c>
      <c r="K9" s="65" t="str">
        <f>_xlfn.XLOOKUP(L9,'99_マスタ'!$D$5:$D$18,'99_マスタ'!$C$5:$C$18,"")</f>
        <v>01_財務・業績指標</v>
      </c>
      <c r="L9" s="69" t="s">
        <v>2297</v>
      </c>
      <c r="M9" s="81" t="s">
        <v>2057</v>
      </c>
      <c r="N9" s="54" t="s">
        <v>1637</v>
      </c>
      <c r="O9" s="70" t="s">
        <v>2058</v>
      </c>
      <c r="P9" s="41"/>
      <c r="Q9" s="41" t="s">
        <v>1645</v>
      </c>
      <c r="R9" s="41" t="s">
        <v>139</v>
      </c>
      <c r="S9" s="41" t="s">
        <v>139</v>
      </c>
      <c r="T9" s="41" t="s">
        <v>139</v>
      </c>
      <c r="U9" s="41" t="s">
        <v>2059</v>
      </c>
      <c r="V9" s="42" t="s">
        <v>139</v>
      </c>
      <c r="W9" s="53" t="s">
        <v>139</v>
      </c>
      <c r="X9" s="54" t="s">
        <v>139</v>
      </c>
      <c r="Y9" s="54" t="s">
        <v>139</v>
      </c>
      <c r="Z9" s="54" t="s">
        <v>2063</v>
      </c>
      <c r="AA9" s="54" t="s">
        <v>139</v>
      </c>
      <c r="AB9" s="55" t="s">
        <v>2060</v>
      </c>
      <c r="AC9" s="56"/>
      <c r="AD9" s="56"/>
      <c r="AE9" s="57"/>
      <c r="AF9" s="56"/>
      <c r="AG9" s="56"/>
      <c r="AH9" s="56"/>
      <c r="AI9" s="3" t="s">
        <v>1583</v>
      </c>
    </row>
    <row r="10" spans="1:35" ht="67.5">
      <c r="A10" s="144">
        <f t="shared" si="0"/>
        <v>8</v>
      </c>
      <c r="B10" s="148"/>
      <c r="C10" s="148"/>
      <c r="D10" s="148"/>
      <c r="E10" s="148"/>
      <c r="F10" s="148"/>
      <c r="G10" s="148"/>
      <c r="H10" s="148"/>
      <c r="I10" s="148"/>
      <c r="J10" s="98" t="s">
        <v>2101</v>
      </c>
      <c r="K10" s="101" t="str">
        <f>_xlfn.XLOOKUP(L10,'99_マスタ'!$D$5:$D$18,'99_マスタ'!$C$5:$C$18,"")</f>
        <v>01_財務・業績指標</v>
      </c>
      <c r="L10" s="71" t="s">
        <v>2297</v>
      </c>
      <c r="M10" s="71" t="s">
        <v>2964</v>
      </c>
      <c r="N10" s="54" t="s">
        <v>1637</v>
      </c>
      <c r="O10" s="41" t="s">
        <v>2965</v>
      </c>
      <c r="P10" s="41" t="s">
        <v>2966</v>
      </c>
      <c r="Q10" s="41" t="s">
        <v>2967</v>
      </c>
      <c r="R10" s="41" t="s">
        <v>2968</v>
      </c>
      <c r="S10" s="41" t="s">
        <v>139</v>
      </c>
      <c r="T10" s="41" t="s">
        <v>139</v>
      </c>
      <c r="U10" s="41" t="s">
        <v>139</v>
      </c>
      <c r="V10" s="42" t="s">
        <v>139</v>
      </c>
      <c r="W10" s="53" t="s">
        <v>2935</v>
      </c>
      <c r="X10" s="54" t="s">
        <v>139</v>
      </c>
      <c r="Y10" s="54" t="s">
        <v>139</v>
      </c>
      <c r="Z10" s="54" t="s">
        <v>139</v>
      </c>
      <c r="AA10" s="54" t="s">
        <v>139</v>
      </c>
      <c r="AB10" s="55"/>
      <c r="AC10" s="56"/>
      <c r="AD10" s="56"/>
      <c r="AE10" s="57"/>
      <c r="AF10" s="56"/>
      <c r="AG10" s="56"/>
      <c r="AH10" s="56"/>
      <c r="AI10" s="3" t="s">
        <v>1583</v>
      </c>
    </row>
    <row r="11" spans="1:35" ht="27">
      <c r="A11" s="144">
        <f t="shared" si="0"/>
        <v>9</v>
      </c>
      <c r="B11" s="148"/>
      <c r="C11" s="148"/>
      <c r="D11" s="148"/>
      <c r="E11" s="148"/>
      <c r="F11" s="148"/>
      <c r="G11" s="148"/>
      <c r="H11" s="148"/>
      <c r="I11" s="148"/>
      <c r="J11" s="98" t="s">
        <v>2101</v>
      </c>
      <c r="K11" s="69" t="str">
        <f>_xlfn.XLOOKUP(L11,'99_マスタ'!$D$5:$D$18,'99_マスタ'!$C$5:$C$18,"")</f>
        <v>01_財務・業績指標</v>
      </c>
      <c r="L11" s="69" t="s">
        <v>2297</v>
      </c>
      <c r="M11" s="69" t="s">
        <v>2865</v>
      </c>
      <c r="N11" s="54" t="s">
        <v>1637</v>
      </c>
      <c r="O11" s="70" t="s">
        <v>2995</v>
      </c>
      <c r="P11" s="40"/>
      <c r="Q11" s="40" t="s">
        <v>1645</v>
      </c>
      <c r="R11" s="41" t="s">
        <v>139</v>
      </c>
      <c r="S11" s="41" t="s">
        <v>139</v>
      </c>
      <c r="T11" s="41" t="s">
        <v>139</v>
      </c>
      <c r="U11" s="41" t="s">
        <v>2875</v>
      </c>
      <c r="V11" s="42" t="s">
        <v>139</v>
      </c>
      <c r="W11" s="53" t="s">
        <v>139</v>
      </c>
      <c r="X11" s="54" t="s">
        <v>139</v>
      </c>
      <c r="Y11" s="54" t="s">
        <v>139</v>
      </c>
      <c r="Z11" s="54" t="s">
        <v>1635</v>
      </c>
      <c r="AA11" s="54" t="s">
        <v>139</v>
      </c>
      <c r="AB11" s="55"/>
      <c r="AC11" s="56"/>
      <c r="AD11" s="56"/>
      <c r="AE11" s="57"/>
      <c r="AF11" s="56"/>
      <c r="AG11" s="56"/>
      <c r="AH11" s="56"/>
      <c r="AI11" s="3" t="s">
        <v>1583</v>
      </c>
    </row>
    <row r="12" spans="1:35" ht="27">
      <c r="A12" s="144">
        <f t="shared" si="0"/>
        <v>10</v>
      </c>
      <c r="B12" s="148"/>
      <c r="C12" s="148"/>
      <c r="D12" s="148"/>
      <c r="E12" s="148"/>
      <c r="F12" s="148"/>
      <c r="G12" s="148"/>
      <c r="H12" s="148"/>
      <c r="I12" s="148"/>
      <c r="J12" s="98" t="s">
        <v>2101</v>
      </c>
      <c r="K12" s="69" t="str">
        <f>_xlfn.XLOOKUP(L12,'99_マスタ'!$D$5:$D$18,'99_マスタ'!$C$5:$C$18,"")</f>
        <v>01_財務・業績指標</v>
      </c>
      <c r="L12" s="69" t="s">
        <v>2297</v>
      </c>
      <c r="M12" s="69" t="s">
        <v>2866</v>
      </c>
      <c r="N12" s="54" t="s">
        <v>2677</v>
      </c>
      <c r="O12" s="70" t="s">
        <v>2995</v>
      </c>
      <c r="P12" s="40"/>
      <c r="Q12" s="40"/>
      <c r="R12" s="41" t="s">
        <v>139</v>
      </c>
      <c r="S12" s="41" t="s">
        <v>139</v>
      </c>
      <c r="T12" s="41" t="s">
        <v>139</v>
      </c>
      <c r="U12" s="41" t="s">
        <v>2875</v>
      </c>
      <c r="V12" s="42" t="s">
        <v>139</v>
      </c>
      <c r="W12" s="53" t="s">
        <v>139</v>
      </c>
      <c r="X12" s="54" t="s">
        <v>139</v>
      </c>
      <c r="Y12" s="54" t="s">
        <v>139</v>
      </c>
      <c r="Z12" s="54" t="s">
        <v>1635</v>
      </c>
      <c r="AA12" s="54" t="s">
        <v>139</v>
      </c>
      <c r="AB12" s="55"/>
      <c r="AC12" s="56"/>
      <c r="AD12" s="56"/>
      <c r="AE12" s="57"/>
      <c r="AF12" s="56"/>
      <c r="AG12" s="56"/>
      <c r="AH12" s="56"/>
      <c r="AI12" s="3" t="s">
        <v>1583</v>
      </c>
    </row>
    <row r="13" spans="1:35" ht="27">
      <c r="A13" s="144">
        <f t="shared" si="0"/>
        <v>11</v>
      </c>
      <c r="B13" s="148"/>
      <c r="C13" s="148"/>
      <c r="D13" s="148"/>
      <c r="E13" s="148"/>
      <c r="F13" s="148"/>
      <c r="G13" s="148"/>
      <c r="H13" s="148"/>
      <c r="I13" s="148"/>
      <c r="J13" s="98" t="s">
        <v>2101</v>
      </c>
      <c r="K13" s="69" t="str">
        <f>_xlfn.XLOOKUP(L13,'99_マスタ'!$D$5:$D$18,'99_マスタ'!$C$5:$C$18,"")</f>
        <v>01_財務・業績指標</v>
      </c>
      <c r="L13" s="69" t="s">
        <v>2297</v>
      </c>
      <c r="M13" s="69" t="s">
        <v>2874</v>
      </c>
      <c r="N13" s="54" t="s">
        <v>2677</v>
      </c>
      <c r="O13" s="70" t="s">
        <v>2995</v>
      </c>
      <c r="P13" s="40"/>
      <c r="Q13" s="40"/>
      <c r="R13" s="41" t="s">
        <v>139</v>
      </c>
      <c r="S13" s="41" t="s">
        <v>139</v>
      </c>
      <c r="T13" s="41" t="s">
        <v>139</v>
      </c>
      <c r="U13" s="41" t="s">
        <v>2875</v>
      </c>
      <c r="V13" s="42" t="s">
        <v>139</v>
      </c>
      <c r="W13" s="53" t="s">
        <v>139</v>
      </c>
      <c r="X13" s="54" t="s">
        <v>139</v>
      </c>
      <c r="Y13" s="54" t="s">
        <v>139</v>
      </c>
      <c r="Z13" s="54" t="s">
        <v>1635</v>
      </c>
      <c r="AA13" s="54" t="s">
        <v>139</v>
      </c>
      <c r="AB13" s="55"/>
      <c r="AC13" s="56"/>
      <c r="AD13" s="56"/>
      <c r="AE13" s="57"/>
      <c r="AF13" s="56"/>
      <c r="AG13" s="56"/>
      <c r="AH13" s="56"/>
      <c r="AI13" s="3" t="s">
        <v>1583</v>
      </c>
    </row>
    <row r="14" spans="1:35" ht="27">
      <c r="A14" s="144">
        <f t="shared" si="0"/>
        <v>12</v>
      </c>
      <c r="B14" s="148"/>
      <c r="C14" s="148"/>
      <c r="D14" s="148"/>
      <c r="E14" s="148"/>
      <c r="F14" s="148"/>
      <c r="G14" s="148"/>
      <c r="H14" s="148"/>
      <c r="I14" s="148"/>
      <c r="J14" s="98" t="s">
        <v>2101</v>
      </c>
      <c r="K14" s="69" t="str">
        <f>_xlfn.XLOOKUP(L14,'99_マスタ'!$D$5:$D$18,'99_マスタ'!$C$5:$C$18,"")</f>
        <v>01_財務・業績指標</v>
      </c>
      <c r="L14" s="69" t="s">
        <v>2297</v>
      </c>
      <c r="M14" s="69" t="s">
        <v>2873</v>
      </c>
      <c r="N14" s="54" t="s">
        <v>2677</v>
      </c>
      <c r="O14" s="70" t="s">
        <v>2995</v>
      </c>
      <c r="P14" s="40"/>
      <c r="Q14" s="41" t="s">
        <v>1637</v>
      </c>
      <c r="R14" s="41" t="s">
        <v>139</v>
      </c>
      <c r="S14" s="41" t="s">
        <v>139</v>
      </c>
      <c r="T14" s="41" t="s">
        <v>139</v>
      </c>
      <c r="U14" s="41" t="s">
        <v>2875</v>
      </c>
      <c r="V14" s="42" t="s">
        <v>139</v>
      </c>
      <c r="W14" s="53" t="s">
        <v>139</v>
      </c>
      <c r="X14" s="54" t="s">
        <v>139</v>
      </c>
      <c r="Y14" s="54" t="s">
        <v>139</v>
      </c>
      <c r="Z14" s="54" t="s">
        <v>1635</v>
      </c>
      <c r="AA14" s="54" t="s">
        <v>139</v>
      </c>
      <c r="AB14" s="55"/>
      <c r="AC14" s="56"/>
      <c r="AD14" s="56"/>
      <c r="AE14" s="57"/>
      <c r="AF14" s="56"/>
      <c r="AG14" s="56"/>
      <c r="AH14" s="56"/>
      <c r="AI14" s="3" t="s">
        <v>1583</v>
      </c>
    </row>
    <row r="15" spans="1:35" ht="27">
      <c r="A15" s="144">
        <f t="shared" si="0"/>
        <v>13</v>
      </c>
      <c r="B15" s="148"/>
      <c r="C15" s="148"/>
      <c r="D15" s="148"/>
      <c r="E15" s="148"/>
      <c r="F15" s="148"/>
      <c r="G15" s="148"/>
      <c r="H15" s="148"/>
      <c r="I15" s="148"/>
      <c r="J15" s="98" t="s">
        <v>2101</v>
      </c>
      <c r="K15" s="69" t="str">
        <f>_xlfn.XLOOKUP(L15,'99_マスタ'!$D$5:$D$18,'99_マスタ'!$C$5:$C$18,"")</f>
        <v>01_財務・業績指標</v>
      </c>
      <c r="L15" s="69" t="s">
        <v>2297</v>
      </c>
      <c r="M15" s="69" t="s">
        <v>2870</v>
      </c>
      <c r="N15" s="54" t="s">
        <v>2677</v>
      </c>
      <c r="O15" s="70" t="s">
        <v>2995</v>
      </c>
      <c r="P15" s="40"/>
      <c r="Q15" s="41" t="s">
        <v>1637</v>
      </c>
      <c r="R15" s="41" t="s">
        <v>139</v>
      </c>
      <c r="S15" s="41" t="s">
        <v>139</v>
      </c>
      <c r="T15" s="41" t="s">
        <v>139</v>
      </c>
      <c r="U15" s="41" t="s">
        <v>2875</v>
      </c>
      <c r="V15" s="42" t="s">
        <v>139</v>
      </c>
      <c r="W15" s="53" t="s">
        <v>139</v>
      </c>
      <c r="X15" s="54" t="s">
        <v>139</v>
      </c>
      <c r="Y15" s="54" t="s">
        <v>139</v>
      </c>
      <c r="Z15" s="54" t="s">
        <v>1635</v>
      </c>
      <c r="AA15" s="54" t="s">
        <v>139</v>
      </c>
      <c r="AB15" s="55"/>
      <c r="AC15" s="56"/>
      <c r="AD15" s="56"/>
      <c r="AE15" s="57"/>
      <c r="AF15" s="56"/>
      <c r="AG15" s="56"/>
      <c r="AH15" s="56"/>
      <c r="AI15" s="3" t="s">
        <v>1583</v>
      </c>
    </row>
    <row r="16" spans="1:35" ht="27">
      <c r="A16" s="144">
        <f t="shared" si="0"/>
        <v>14</v>
      </c>
      <c r="B16" s="148"/>
      <c r="C16" s="148"/>
      <c r="D16" s="148"/>
      <c r="E16" s="148"/>
      <c r="F16" s="148"/>
      <c r="G16" s="148"/>
      <c r="H16" s="148"/>
      <c r="I16" s="148"/>
      <c r="J16" s="98" t="s">
        <v>2101</v>
      </c>
      <c r="K16" s="69" t="str">
        <f>_xlfn.XLOOKUP(L16,'99_マスタ'!$D$5:$D$18,'99_マスタ'!$C$5:$C$18,"")</f>
        <v>01_財務・業績指標</v>
      </c>
      <c r="L16" s="69" t="s">
        <v>2297</v>
      </c>
      <c r="M16" s="69" t="s">
        <v>2869</v>
      </c>
      <c r="N16" s="54" t="s">
        <v>2677</v>
      </c>
      <c r="O16" s="70" t="s">
        <v>2995</v>
      </c>
      <c r="P16" s="40"/>
      <c r="Q16" s="41" t="s">
        <v>1637</v>
      </c>
      <c r="R16" s="41" t="s">
        <v>139</v>
      </c>
      <c r="S16" s="41" t="s">
        <v>139</v>
      </c>
      <c r="T16" s="41" t="s">
        <v>139</v>
      </c>
      <c r="U16" s="41" t="s">
        <v>2875</v>
      </c>
      <c r="V16" s="42" t="s">
        <v>139</v>
      </c>
      <c r="W16" s="53" t="s">
        <v>139</v>
      </c>
      <c r="X16" s="54" t="s">
        <v>139</v>
      </c>
      <c r="Y16" s="54" t="s">
        <v>139</v>
      </c>
      <c r="Z16" s="54" t="s">
        <v>1635</v>
      </c>
      <c r="AA16" s="54" t="s">
        <v>139</v>
      </c>
      <c r="AB16" s="55"/>
      <c r="AC16" s="56"/>
      <c r="AD16" s="56"/>
      <c r="AE16" s="57"/>
      <c r="AF16" s="56"/>
      <c r="AG16" s="56"/>
      <c r="AH16" s="56"/>
      <c r="AI16" s="3" t="s">
        <v>1583</v>
      </c>
    </row>
    <row r="17" spans="1:35" ht="27">
      <c r="A17" s="144">
        <f t="shared" si="0"/>
        <v>15</v>
      </c>
      <c r="B17" s="148"/>
      <c r="C17" s="148"/>
      <c r="D17" s="148"/>
      <c r="E17" s="148"/>
      <c r="F17" s="148"/>
      <c r="G17" s="148"/>
      <c r="H17" s="148"/>
      <c r="I17" s="148"/>
      <c r="J17" s="98" t="s">
        <v>2101</v>
      </c>
      <c r="K17" s="69" t="str">
        <f>_xlfn.XLOOKUP(L17,'99_マスタ'!$D$5:$D$18,'99_マスタ'!$C$5:$C$18,"")</f>
        <v>01_財務・業績指標</v>
      </c>
      <c r="L17" s="69" t="s">
        <v>2297</v>
      </c>
      <c r="M17" s="69" t="s">
        <v>2868</v>
      </c>
      <c r="N17" s="54" t="s">
        <v>2677</v>
      </c>
      <c r="O17" s="70" t="s">
        <v>2995</v>
      </c>
      <c r="P17" s="40"/>
      <c r="Q17" s="41" t="s">
        <v>1637</v>
      </c>
      <c r="R17" s="41" t="s">
        <v>139</v>
      </c>
      <c r="S17" s="41" t="s">
        <v>139</v>
      </c>
      <c r="T17" s="41" t="s">
        <v>139</v>
      </c>
      <c r="U17" s="41" t="s">
        <v>2875</v>
      </c>
      <c r="V17" s="42" t="s">
        <v>139</v>
      </c>
      <c r="W17" s="53" t="s">
        <v>139</v>
      </c>
      <c r="X17" s="54" t="s">
        <v>139</v>
      </c>
      <c r="Y17" s="54" t="s">
        <v>139</v>
      </c>
      <c r="Z17" s="54" t="s">
        <v>1635</v>
      </c>
      <c r="AA17" s="54" t="s">
        <v>139</v>
      </c>
      <c r="AB17" s="55"/>
      <c r="AC17" s="56"/>
      <c r="AD17" s="56"/>
      <c r="AE17" s="57"/>
      <c r="AF17" s="56"/>
      <c r="AG17" s="56"/>
      <c r="AH17" s="56"/>
      <c r="AI17" s="3" t="s">
        <v>1583</v>
      </c>
    </row>
    <row r="18" spans="1:35" ht="27">
      <c r="A18" s="144">
        <f t="shared" si="0"/>
        <v>16</v>
      </c>
      <c r="B18" s="148"/>
      <c r="C18" s="148"/>
      <c r="D18" s="148"/>
      <c r="E18" s="148"/>
      <c r="F18" s="148"/>
      <c r="G18" s="148"/>
      <c r="H18" s="148"/>
      <c r="I18" s="148"/>
      <c r="J18" s="98" t="s">
        <v>2101</v>
      </c>
      <c r="K18" s="69" t="str">
        <f>_xlfn.XLOOKUP(L18,'99_マスタ'!$D$5:$D$18,'99_マスタ'!$C$5:$C$18,"")</f>
        <v>01_財務・業績指標</v>
      </c>
      <c r="L18" s="69" t="s">
        <v>2297</v>
      </c>
      <c r="M18" s="69" t="s">
        <v>2867</v>
      </c>
      <c r="N18" s="54" t="s">
        <v>2677</v>
      </c>
      <c r="O18" s="70" t="s">
        <v>2995</v>
      </c>
      <c r="P18" s="40"/>
      <c r="Q18" s="41" t="s">
        <v>1637</v>
      </c>
      <c r="R18" s="41" t="s">
        <v>139</v>
      </c>
      <c r="S18" s="41" t="s">
        <v>139</v>
      </c>
      <c r="T18" s="41" t="s">
        <v>139</v>
      </c>
      <c r="U18" s="41" t="s">
        <v>2875</v>
      </c>
      <c r="V18" s="42" t="s">
        <v>139</v>
      </c>
      <c r="W18" s="53" t="s">
        <v>139</v>
      </c>
      <c r="X18" s="54" t="s">
        <v>139</v>
      </c>
      <c r="Y18" s="54" t="s">
        <v>139</v>
      </c>
      <c r="Z18" s="54" t="s">
        <v>1635</v>
      </c>
      <c r="AA18" s="54" t="s">
        <v>139</v>
      </c>
      <c r="AB18" s="55"/>
      <c r="AC18" s="56"/>
      <c r="AD18" s="56"/>
      <c r="AE18" s="57"/>
      <c r="AF18" s="56"/>
      <c r="AG18" s="56"/>
      <c r="AH18" s="56"/>
      <c r="AI18" s="3" t="s">
        <v>1583</v>
      </c>
    </row>
    <row r="19" spans="1:35" ht="27">
      <c r="A19" s="144">
        <f t="shared" si="0"/>
        <v>17</v>
      </c>
      <c r="B19" s="148"/>
      <c r="C19" s="148"/>
      <c r="D19" s="148"/>
      <c r="E19" s="148"/>
      <c r="F19" s="148"/>
      <c r="G19" s="148"/>
      <c r="H19" s="148"/>
      <c r="I19" s="148"/>
      <c r="J19" s="98" t="s">
        <v>2101</v>
      </c>
      <c r="K19" s="69" t="str">
        <f>_xlfn.XLOOKUP(L19,'99_マスタ'!$D$5:$D$18,'99_マスタ'!$C$5:$C$18,"")</f>
        <v>01_財務・業績指標</v>
      </c>
      <c r="L19" s="69" t="s">
        <v>2297</v>
      </c>
      <c r="M19" s="69" t="s">
        <v>2872</v>
      </c>
      <c r="N19" s="54" t="s">
        <v>2677</v>
      </c>
      <c r="O19" s="70" t="s">
        <v>2995</v>
      </c>
      <c r="P19" s="40"/>
      <c r="Q19" s="41" t="s">
        <v>1637</v>
      </c>
      <c r="R19" s="41" t="s">
        <v>139</v>
      </c>
      <c r="S19" s="41" t="s">
        <v>139</v>
      </c>
      <c r="T19" s="41" t="s">
        <v>139</v>
      </c>
      <c r="U19" s="41" t="s">
        <v>2875</v>
      </c>
      <c r="V19" s="42" t="s">
        <v>139</v>
      </c>
      <c r="W19" s="53" t="s">
        <v>139</v>
      </c>
      <c r="X19" s="54" t="s">
        <v>139</v>
      </c>
      <c r="Y19" s="54" t="s">
        <v>139</v>
      </c>
      <c r="Z19" s="54" t="s">
        <v>1635</v>
      </c>
      <c r="AA19" s="54" t="s">
        <v>139</v>
      </c>
      <c r="AB19" s="55"/>
      <c r="AC19" s="56"/>
      <c r="AD19" s="56"/>
      <c r="AE19" s="57"/>
      <c r="AF19" s="56"/>
      <c r="AG19" s="56"/>
      <c r="AH19" s="56"/>
      <c r="AI19" s="3" t="s">
        <v>1583</v>
      </c>
    </row>
    <row r="20" spans="1:35" ht="27">
      <c r="A20" s="144">
        <f t="shared" si="0"/>
        <v>18</v>
      </c>
      <c r="B20" s="148"/>
      <c r="C20" s="148"/>
      <c r="D20" s="148"/>
      <c r="E20" s="148"/>
      <c r="F20" s="148"/>
      <c r="G20" s="148"/>
      <c r="H20" s="148"/>
      <c r="I20" s="148"/>
      <c r="J20" s="98" t="s">
        <v>2101</v>
      </c>
      <c r="K20" s="69" t="str">
        <f>_xlfn.XLOOKUP(L20,'99_マスタ'!$D$5:$D$18,'99_マスタ'!$C$5:$C$18,"")</f>
        <v>01_財務・業績指標</v>
      </c>
      <c r="L20" s="69" t="s">
        <v>2297</v>
      </c>
      <c r="M20" s="69" t="s">
        <v>2871</v>
      </c>
      <c r="N20" s="54" t="s">
        <v>2677</v>
      </c>
      <c r="O20" s="70" t="s">
        <v>2995</v>
      </c>
      <c r="P20" s="40"/>
      <c r="Q20" s="41" t="s">
        <v>1637</v>
      </c>
      <c r="R20" s="41" t="s">
        <v>139</v>
      </c>
      <c r="S20" s="41" t="s">
        <v>139</v>
      </c>
      <c r="T20" s="41" t="s">
        <v>139</v>
      </c>
      <c r="U20" s="41" t="s">
        <v>2875</v>
      </c>
      <c r="V20" s="42" t="s">
        <v>139</v>
      </c>
      <c r="W20" s="53" t="s">
        <v>139</v>
      </c>
      <c r="X20" s="54" t="s">
        <v>139</v>
      </c>
      <c r="Y20" s="54" t="s">
        <v>139</v>
      </c>
      <c r="Z20" s="54" t="s">
        <v>1635</v>
      </c>
      <c r="AA20" s="54" t="s">
        <v>139</v>
      </c>
      <c r="AB20" s="55"/>
      <c r="AC20" s="56"/>
      <c r="AD20" s="56"/>
      <c r="AE20" s="57"/>
      <c r="AF20" s="56"/>
      <c r="AG20" s="56"/>
      <c r="AH20" s="56"/>
      <c r="AI20" s="3" t="s">
        <v>1583</v>
      </c>
    </row>
    <row r="21" spans="1:35" ht="40.5">
      <c r="A21" s="144">
        <f t="shared" si="0"/>
        <v>19</v>
      </c>
      <c r="B21" s="148"/>
      <c r="C21" s="148"/>
      <c r="D21" s="148"/>
      <c r="E21" s="148"/>
      <c r="F21" s="148"/>
      <c r="G21" s="148"/>
      <c r="H21" s="148"/>
      <c r="I21" s="148"/>
      <c r="J21" s="98" t="s">
        <v>2101</v>
      </c>
      <c r="K21" s="101" t="str">
        <f>_xlfn.XLOOKUP(L21,'99_マスタ'!$D$5:$D$18,'99_マスタ'!$C$5:$C$18,"")</f>
        <v>01_財務・業績指標</v>
      </c>
      <c r="L21" s="113" t="s">
        <v>2297</v>
      </c>
      <c r="M21" s="113" t="s">
        <v>3306</v>
      </c>
      <c r="N21" s="126" t="s">
        <v>1278</v>
      </c>
      <c r="O21" s="40" t="s">
        <v>1279</v>
      </c>
      <c r="P21" s="40" t="s">
        <v>1280</v>
      </c>
      <c r="Q21" s="40" t="s">
        <v>161</v>
      </c>
      <c r="R21" s="41" t="s">
        <v>1281</v>
      </c>
      <c r="S21" s="41" t="s">
        <v>139</v>
      </c>
      <c r="T21" s="41" t="s">
        <v>139</v>
      </c>
      <c r="U21" s="41" t="s">
        <v>139</v>
      </c>
      <c r="V21" s="42" t="s">
        <v>139</v>
      </c>
      <c r="W21" s="43" t="s">
        <v>1277</v>
      </c>
      <c r="X21" s="41" t="s">
        <v>139</v>
      </c>
      <c r="Y21" s="41" t="s">
        <v>139</v>
      </c>
      <c r="Z21" s="41" t="s">
        <v>139</v>
      </c>
      <c r="AA21" s="41" t="s">
        <v>139</v>
      </c>
      <c r="AB21" s="44"/>
      <c r="AC21" s="45"/>
      <c r="AD21" s="45"/>
      <c r="AE21" s="46"/>
      <c r="AF21" s="45"/>
      <c r="AG21" s="45"/>
      <c r="AH21" s="45"/>
      <c r="AI21" s="3" t="s">
        <v>1583</v>
      </c>
    </row>
    <row r="22" spans="1:35" ht="40.5">
      <c r="A22" s="144">
        <f t="shared" si="0"/>
        <v>20</v>
      </c>
      <c r="B22" s="148"/>
      <c r="C22" s="148"/>
      <c r="D22" s="148"/>
      <c r="E22" s="148"/>
      <c r="F22" s="148"/>
      <c r="G22" s="148"/>
      <c r="H22" s="148"/>
      <c r="I22" s="148"/>
      <c r="J22" s="98" t="s">
        <v>2101</v>
      </c>
      <c r="K22" s="100" t="str">
        <f>_xlfn.XLOOKUP(L22,'99_マスタ'!$D$5:$D$18,'99_マスタ'!$C$5:$C$18,"")</f>
        <v>01_財務・業績指標</v>
      </c>
      <c r="L22" s="69" t="s">
        <v>2297</v>
      </c>
      <c r="M22" s="100" t="s">
        <v>2711</v>
      </c>
      <c r="N22" s="126" t="s">
        <v>1637</v>
      </c>
      <c r="O22" s="40" t="s">
        <v>2712</v>
      </c>
      <c r="P22" s="40"/>
      <c r="Q22" s="40" t="s">
        <v>1895</v>
      </c>
      <c r="R22" s="41" t="s">
        <v>139</v>
      </c>
      <c r="S22" s="41" t="s">
        <v>2710</v>
      </c>
      <c r="T22" s="41" t="s">
        <v>139</v>
      </c>
      <c r="U22" s="41" t="s">
        <v>139</v>
      </c>
      <c r="V22" s="42" t="s">
        <v>139</v>
      </c>
      <c r="W22" s="43" t="s">
        <v>139</v>
      </c>
      <c r="X22" s="41" t="s">
        <v>758</v>
      </c>
      <c r="Y22" s="41" t="s">
        <v>139</v>
      </c>
      <c r="Z22" s="41" t="s">
        <v>139</v>
      </c>
      <c r="AA22" s="41" t="s">
        <v>139</v>
      </c>
      <c r="AB22" s="44" t="s">
        <v>2713</v>
      </c>
      <c r="AC22" s="45"/>
      <c r="AD22" s="45"/>
      <c r="AE22" s="46"/>
      <c r="AF22" s="45"/>
      <c r="AG22" s="45"/>
      <c r="AH22" s="45"/>
      <c r="AI22" s="3" t="s">
        <v>1583</v>
      </c>
    </row>
    <row r="23" spans="1:35" ht="27">
      <c r="A23" s="144">
        <f t="shared" si="0"/>
        <v>21</v>
      </c>
      <c r="B23" s="148"/>
      <c r="C23" s="148"/>
      <c r="D23" s="148"/>
      <c r="E23" s="148"/>
      <c r="F23" s="148"/>
      <c r="G23" s="148"/>
      <c r="H23" s="148"/>
      <c r="I23" s="148"/>
      <c r="J23" s="98" t="s">
        <v>2101</v>
      </c>
      <c r="K23" s="100" t="str">
        <f>_xlfn.XLOOKUP(L23,'99_マスタ'!$D$5:$D$18,'99_マスタ'!$C$5:$C$18,"")</f>
        <v>01_財務・業績指標</v>
      </c>
      <c r="L23" s="100" t="s">
        <v>2297</v>
      </c>
      <c r="M23" s="100" t="s">
        <v>1046</v>
      </c>
      <c r="N23" s="126" t="s">
        <v>1047</v>
      </c>
      <c r="O23" s="40" t="s">
        <v>1048</v>
      </c>
      <c r="P23" s="40"/>
      <c r="Q23" s="40" t="s">
        <v>192</v>
      </c>
      <c r="R23" s="41" t="s">
        <v>139</v>
      </c>
      <c r="S23" s="41" t="s">
        <v>139</v>
      </c>
      <c r="T23" s="41" t="s">
        <v>139</v>
      </c>
      <c r="U23" s="41" t="s">
        <v>1049</v>
      </c>
      <c r="V23" s="42" t="s">
        <v>1050</v>
      </c>
      <c r="W23" s="43" t="s">
        <v>139</v>
      </c>
      <c r="X23" s="41" t="s">
        <v>139</v>
      </c>
      <c r="Y23" s="41" t="s">
        <v>139</v>
      </c>
      <c r="Z23" s="41" t="s">
        <v>806</v>
      </c>
      <c r="AA23" s="41" t="s">
        <v>614</v>
      </c>
      <c r="AB23" s="44"/>
      <c r="AC23" s="45"/>
      <c r="AD23" s="45"/>
      <c r="AE23" s="46"/>
      <c r="AF23" s="45"/>
      <c r="AG23" s="45"/>
      <c r="AH23" s="45"/>
      <c r="AI23" s="3" t="s">
        <v>1583</v>
      </c>
    </row>
    <row r="24" spans="1:35" ht="27">
      <c r="A24" s="144">
        <f t="shared" si="0"/>
        <v>22</v>
      </c>
      <c r="B24" s="148"/>
      <c r="C24" s="148"/>
      <c r="D24" s="148"/>
      <c r="E24" s="148"/>
      <c r="F24" s="148"/>
      <c r="G24" s="148"/>
      <c r="H24" s="148"/>
      <c r="I24" s="148"/>
      <c r="J24" s="98" t="s">
        <v>2101</v>
      </c>
      <c r="K24" s="99" t="str">
        <f>_xlfn.XLOOKUP(L24,'99_マスタ'!$D$5:$D$18,'99_マスタ'!$C$5:$C$18,"")</f>
        <v>01_財務・業績指標</v>
      </c>
      <c r="L24" s="99" t="s">
        <v>2297</v>
      </c>
      <c r="M24" s="99" t="s">
        <v>2126</v>
      </c>
      <c r="N24" s="126" t="s">
        <v>1637</v>
      </c>
      <c r="O24" s="40" t="s">
        <v>2127</v>
      </c>
      <c r="P24" s="61"/>
      <c r="Q24" s="40" t="s">
        <v>284</v>
      </c>
      <c r="R24" s="41" t="s">
        <v>139</v>
      </c>
      <c r="S24" s="41" t="s">
        <v>139</v>
      </c>
      <c r="T24" s="41" t="s">
        <v>139</v>
      </c>
      <c r="U24" s="41" t="s">
        <v>2123</v>
      </c>
      <c r="V24" s="42" t="s">
        <v>139</v>
      </c>
      <c r="W24" s="43" t="s">
        <v>139</v>
      </c>
      <c r="X24" s="41" t="s">
        <v>139</v>
      </c>
      <c r="Y24" s="41" t="s">
        <v>139</v>
      </c>
      <c r="Z24" s="41" t="s">
        <v>2131</v>
      </c>
      <c r="AA24" s="41" t="s">
        <v>139</v>
      </c>
      <c r="AB24" s="44" t="s">
        <v>2128</v>
      </c>
      <c r="AC24" s="45"/>
      <c r="AD24" s="45"/>
      <c r="AE24" s="46"/>
      <c r="AF24" s="45"/>
      <c r="AG24" s="45"/>
      <c r="AH24" s="45"/>
      <c r="AI24" s="3" t="s">
        <v>1583</v>
      </c>
    </row>
    <row r="25" spans="1:35" ht="40.5">
      <c r="A25" s="144">
        <f t="shared" si="0"/>
        <v>23</v>
      </c>
      <c r="B25" s="148"/>
      <c r="C25" s="148"/>
      <c r="D25" s="148"/>
      <c r="E25" s="148"/>
      <c r="F25" s="148"/>
      <c r="G25" s="148"/>
      <c r="H25" s="148"/>
      <c r="I25" s="148"/>
      <c r="J25" s="98" t="s">
        <v>2101</v>
      </c>
      <c r="K25" s="69" t="str">
        <f>_xlfn.XLOOKUP(L25,'99_マスタ'!$D$5:$D$18,'99_マスタ'!$C$5:$C$18,"")</f>
        <v>01_財務・業績指標</v>
      </c>
      <c r="L25" s="69" t="s">
        <v>2297</v>
      </c>
      <c r="M25" s="69" t="s">
        <v>2230</v>
      </c>
      <c r="N25" s="54" t="s">
        <v>2229</v>
      </c>
      <c r="O25" s="41" t="s">
        <v>2200</v>
      </c>
      <c r="P25" s="41" t="s">
        <v>115</v>
      </c>
      <c r="Q25" s="41" t="s">
        <v>192</v>
      </c>
      <c r="R25" s="41" t="s">
        <v>116</v>
      </c>
      <c r="S25" s="41" t="s">
        <v>2723</v>
      </c>
      <c r="T25" s="41" t="s">
        <v>139</v>
      </c>
      <c r="U25" s="41" t="s">
        <v>139</v>
      </c>
      <c r="V25" s="42" t="s">
        <v>1914</v>
      </c>
      <c r="W25" s="53" t="s">
        <v>117</v>
      </c>
      <c r="X25" s="54" t="s">
        <v>1261</v>
      </c>
      <c r="Y25" s="54" t="s">
        <v>139</v>
      </c>
      <c r="Z25" s="54" t="s">
        <v>139</v>
      </c>
      <c r="AA25" s="54" t="s">
        <v>2014</v>
      </c>
      <c r="AB25" s="55"/>
      <c r="AC25" s="56"/>
      <c r="AD25" s="56"/>
      <c r="AE25" s="57"/>
      <c r="AF25" s="56"/>
      <c r="AG25" s="56"/>
      <c r="AH25" s="56"/>
      <c r="AI25" s="3" t="s">
        <v>1583</v>
      </c>
    </row>
    <row r="26" spans="1:35">
      <c r="A26" s="144">
        <f t="shared" si="0"/>
        <v>24</v>
      </c>
      <c r="B26" s="148"/>
      <c r="C26" s="148"/>
      <c r="D26" s="148"/>
      <c r="E26" s="148"/>
      <c r="F26" s="148"/>
      <c r="G26" s="148"/>
      <c r="H26" s="148"/>
      <c r="I26" s="148"/>
      <c r="J26" s="103" t="s">
        <v>2101</v>
      </c>
      <c r="K26" s="100" t="str">
        <f>_xlfn.XLOOKUP(L26,'99_マスタ'!$D$5:$D$18,'99_マスタ'!$C$5:$C$18,"")</f>
        <v>01_財務・業績指標</v>
      </c>
      <c r="L26" s="100" t="s">
        <v>2297</v>
      </c>
      <c r="M26" s="100" t="s">
        <v>1951</v>
      </c>
      <c r="N26" s="126" t="s">
        <v>1637</v>
      </c>
      <c r="O26" s="40" t="s">
        <v>2032</v>
      </c>
      <c r="P26" s="63"/>
      <c r="Q26" s="40" t="s">
        <v>1645</v>
      </c>
      <c r="R26" s="41" t="s">
        <v>139</v>
      </c>
      <c r="S26" s="41" t="s">
        <v>139</v>
      </c>
      <c r="T26" s="41" t="s">
        <v>139</v>
      </c>
      <c r="U26" s="41" t="s">
        <v>139</v>
      </c>
      <c r="V26" s="42" t="s">
        <v>1891</v>
      </c>
      <c r="W26" s="43" t="s">
        <v>139</v>
      </c>
      <c r="X26" s="41" t="s">
        <v>139</v>
      </c>
      <c r="Y26" s="41" t="s">
        <v>139</v>
      </c>
      <c r="Z26" s="41" t="s">
        <v>139</v>
      </c>
      <c r="AA26" s="41" t="s">
        <v>1596</v>
      </c>
      <c r="AB26" s="44" t="s">
        <v>2033</v>
      </c>
      <c r="AC26" s="45"/>
      <c r="AD26" s="45"/>
      <c r="AE26" s="46"/>
      <c r="AF26" s="45"/>
      <c r="AG26" s="45"/>
      <c r="AH26" s="45"/>
      <c r="AI26" s="3" t="s">
        <v>1583</v>
      </c>
    </row>
    <row r="27" spans="1:35" ht="27">
      <c r="A27" s="144">
        <f t="shared" si="0"/>
        <v>25</v>
      </c>
      <c r="B27" s="148"/>
      <c r="C27" s="148"/>
      <c r="D27" s="148"/>
      <c r="E27" s="148"/>
      <c r="F27" s="148"/>
      <c r="G27" s="148"/>
      <c r="H27" s="148"/>
      <c r="I27" s="148"/>
      <c r="J27" s="98" t="s">
        <v>2101</v>
      </c>
      <c r="K27" s="69" t="str">
        <f>_xlfn.XLOOKUP(L27,'99_マスタ'!$D$5:$D$18,'99_マスタ'!$C$5:$C$18,"")</f>
        <v>01_財務・業績指標</v>
      </c>
      <c r="L27" s="69" t="s">
        <v>2297</v>
      </c>
      <c r="M27" s="69" t="s">
        <v>111</v>
      </c>
      <c r="N27" s="54" t="s">
        <v>112</v>
      </c>
      <c r="O27" s="41" t="s">
        <v>2196</v>
      </c>
      <c r="P27" s="41" t="s">
        <v>2197</v>
      </c>
      <c r="Q27" s="41" t="s">
        <v>192</v>
      </c>
      <c r="R27" s="41" t="s">
        <v>113</v>
      </c>
      <c r="S27" s="41" t="s">
        <v>139</v>
      </c>
      <c r="T27" s="41" t="s">
        <v>139</v>
      </c>
      <c r="U27" s="41" t="s">
        <v>2198</v>
      </c>
      <c r="V27" s="42" t="s">
        <v>1914</v>
      </c>
      <c r="W27" s="53" t="s">
        <v>114</v>
      </c>
      <c r="X27" s="54" t="s">
        <v>139</v>
      </c>
      <c r="Y27" s="54" t="s">
        <v>139</v>
      </c>
      <c r="Z27" s="54" t="s">
        <v>2199</v>
      </c>
      <c r="AA27" s="54" t="s">
        <v>1912</v>
      </c>
      <c r="AB27" s="55"/>
      <c r="AC27" s="56"/>
      <c r="AD27" s="56"/>
      <c r="AE27" s="57"/>
      <c r="AF27" s="56"/>
      <c r="AG27" s="56"/>
      <c r="AH27" s="56"/>
      <c r="AI27" s="3" t="s">
        <v>1583</v>
      </c>
    </row>
    <row r="28" spans="1:35" ht="27">
      <c r="A28" s="144">
        <f t="shared" si="0"/>
        <v>26</v>
      </c>
      <c r="B28" s="148"/>
      <c r="C28" s="148"/>
      <c r="D28" s="148"/>
      <c r="E28" s="148"/>
      <c r="F28" s="148"/>
      <c r="G28" s="148"/>
      <c r="H28" s="148"/>
      <c r="I28" s="148"/>
      <c r="J28" s="98" t="s">
        <v>2101</v>
      </c>
      <c r="K28" s="101" t="str">
        <f>_xlfn.XLOOKUP(L28,'99_マスタ'!$D$5:$D$18,'99_マスタ'!$C$5:$C$18,"")</f>
        <v>01_財務・業績指標</v>
      </c>
      <c r="L28" s="71" t="s">
        <v>2297</v>
      </c>
      <c r="M28" s="71" t="s">
        <v>122</v>
      </c>
      <c r="N28" s="54" t="s">
        <v>123</v>
      </c>
      <c r="O28" s="41" t="s">
        <v>124</v>
      </c>
      <c r="P28" s="41" t="s">
        <v>125</v>
      </c>
      <c r="Q28" s="41" t="s">
        <v>2075</v>
      </c>
      <c r="R28" s="41" t="s">
        <v>126</v>
      </c>
      <c r="S28" s="41" t="s">
        <v>139</v>
      </c>
      <c r="T28" s="41" t="s">
        <v>139</v>
      </c>
      <c r="U28" s="41" t="s">
        <v>139</v>
      </c>
      <c r="V28" s="42" t="s">
        <v>139</v>
      </c>
      <c r="W28" s="53" t="s">
        <v>127</v>
      </c>
      <c r="X28" s="54" t="s">
        <v>139</v>
      </c>
      <c r="Y28" s="54" t="s">
        <v>139</v>
      </c>
      <c r="Z28" s="54" t="s">
        <v>139</v>
      </c>
      <c r="AA28" s="54" t="s">
        <v>139</v>
      </c>
      <c r="AB28" s="55"/>
      <c r="AC28" s="56"/>
      <c r="AD28" s="56"/>
      <c r="AE28" s="57"/>
      <c r="AF28" s="56"/>
      <c r="AG28" s="56"/>
      <c r="AH28" s="56"/>
      <c r="AI28" s="3" t="s">
        <v>1583</v>
      </c>
    </row>
    <row r="29" spans="1:35" ht="40.5">
      <c r="A29" s="144">
        <f t="shared" si="0"/>
        <v>27</v>
      </c>
      <c r="B29" s="148"/>
      <c r="C29" s="148"/>
      <c r="D29" s="148"/>
      <c r="E29" s="148"/>
      <c r="F29" s="148"/>
      <c r="G29" s="148"/>
      <c r="H29" s="148"/>
      <c r="I29" s="148"/>
      <c r="J29" s="98" t="s">
        <v>2101</v>
      </c>
      <c r="K29" s="101" t="str">
        <f>_xlfn.XLOOKUP(L29,'99_マスタ'!$D$5:$D$18,'99_マスタ'!$C$5:$C$18,"")</f>
        <v>01_財務・業績指標</v>
      </c>
      <c r="L29" s="64" t="s">
        <v>2297</v>
      </c>
      <c r="M29" s="64" t="s">
        <v>236</v>
      </c>
      <c r="N29" s="54" t="s">
        <v>139</v>
      </c>
      <c r="O29" s="41" t="s">
        <v>237</v>
      </c>
      <c r="P29" s="41" t="s">
        <v>238</v>
      </c>
      <c r="Q29" s="41" t="s">
        <v>192</v>
      </c>
      <c r="R29" s="41" t="s">
        <v>239</v>
      </c>
      <c r="S29" s="41" t="s">
        <v>139</v>
      </c>
      <c r="T29" s="41" t="s">
        <v>139</v>
      </c>
      <c r="U29" s="41" t="s">
        <v>240</v>
      </c>
      <c r="V29" s="42" t="s">
        <v>139</v>
      </c>
      <c r="W29" s="53" t="s">
        <v>114</v>
      </c>
      <c r="X29" s="54" t="s">
        <v>139</v>
      </c>
      <c r="Y29" s="54" t="s">
        <v>139</v>
      </c>
      <c r="Z29" s="54" t="s">
        <v>241</v>
      </c>
      <c r="AA29" s="54" t="s">
        <v>139</v>
      </c>
      <c r="AB29" s="55"/>
      <c r="AC29" s="56"/>
      <c r="AD29" s="56"/>
      <c r="AE29" s="57"/>
      <c r="AF29" s="56"/>
      <c r="AG29" s="56"/>
      <c r="AH29" s="56"/>
      <c r="AI29" s="3" t="s">
        <v>1583</v>
      </c>
    </row>
    <row r="30" spans="1:35" ht="40.5">
      <c r="A30" s="144">
        <f t="shared" si="0"/>
        <v>28</v>
      </c>
      <c r="B30" s="148"/>
      <c r="C30" s="148"/>
      <c r="D30" s="148"/>
      <c r="E30" s="148"/>
      <c r="F30" s="148"/>
      <c r="G30" s="148"/>
      <c r="H30" s="148"/>
      <c r="I30" s="148"/>
      <c r="J30" s="98" t="s">
        <v>2101</v>
      </c>
      <c r="K30" s="100" t="str">
        <f>_xlfn.XLOOKUP(L30,'99_マスタ'!$D$5:$D$18,'99_マスタ'!$C$5:$C$18,"")</f>
        <v>01_財務・業績指標</v>
      </c>
      <c r="L30" s="64" t="s">
        <v>2297</v>
      </c>
      <c r="M30" s="69" t="s">
        <v>242</v>
      </c>
      <c r="N30" s="54" t="s">
        <v>139</v>
      </c>
      <c r="O30" s="70" t="s">
        <v>2758</v>
      </c>
      <c r="P30" s="70" t="s">
        <v>243</v>
      </c>
      <c r="Q30" s="41" t="s">
        <v>161</v>
      </c>
      <c r="R30" s="41" t="s">
        <v>244</v>
      </c>
      <c r="S30" s="41" t="s">
        <v>2731</v>
      </c>
      <c r="T30" s="41" t="s">
        <v>139</v>
      </c>
      <c r="U30" s="41" t="s">
        <v>1635</v>
      </c>
      <c r="V30" s="42" t="s">
        <v>245</v>
      </c>
      <c r="W30" s="53" t="s">
        <v>114</v>
      </c>
      <c r="X30" s="54" t="s">
        <v>2730</v>
      </c>
      <c r="Y30" s="54" t="s">
        <v>139</v>
      </c>
      <c r="Z30" s="54" t="s">
        <v>2759</v>
      </c>
      <c r="AA30" s="54" t="s">
        <v>302</v>
      </c>
      <c r="AB30" s="55"/>
      <c r="AC30" s="56"/>
      <c r="AD30" s="56"/>
      <c r="AE30" s="57"/>
      <c r="AF30" s="56"/>
      <c r="AG30" s="56"/>
      <c r="AH30" s="56"/>
      <c r="AI30" s="3" t="s">
        <v>1583</v>
      </c>
    </row>
    <row r="31" spans="1:35" ht="67.5">
      <c r="A31" s="144">
        <f t="shared" si="0"/>
        <v>29</v>
      </c>
      <c r="B31" s="148"/>
      <c r="C31" s="148"/>
      <c r="D31" s="148"/>
      <c r="E31" s="148"/>
      <c r="F31" s="148"/>
      <c r="G31" s="148"/>
      <c r="H31" s="148"/>
      <c r="I31" s="148"/>
      <c r="J31" s="98" t="s">
        <v>2101</v>
      </c>
      <c r="K31" s="100" t="str">
        <f>_xlfn.XLOOKUP(L31,'99_マスタ'!$D$5:$D$18,'99_マスタ'!$C$5:$C$18,"")</f>
        <v>01_財務・業績指標</v>
      </c>
      <c r="L31" s="100" t="s">
        <v>2297</v>
      </c>
      <c r="M31" s="100" t="s">
        <v>1021</v>
      </c>
      <c r="N31" s="126" t="s">
        <v>1022</v>
      </c>
      <c r="O31" s="40" t="s">
        <v>1023</v>
      </c>
      <c r="P31" s="40" t="s">
        <v>1587</v>
      </c>
      <c r="Q31" s="40" t="s">
        <v>192</v>
      </c>
      <c r="R31" s="41" t="s">
        <v>139</v>
      </c>
      <c r="S31" s="41" t="s">
        <v>139</v>
      </c>
      <c r="T31" s="41" t="s">
        <v>139</v>
      </c>
      <c r="U31" s="41" t="s">
        <v>139</v>
      </c>
      <c r="V31" s="42" t="s">
        <v>1024</v>
      </c>
      <c r="W31" s="43" t="s">
        <v>139</v>
      </c>
      <c r="X31" s="41" t="s">
        <v>139</v>
      </c>
      <c r="Y31" s="41" t="s">
        <v>139</v>
      </c>
      <c r="Z31" s="41" t="s">
        <v>139</v>
      </c>
      <c r="AA31" s="41" t="s">
        <v>1600</v>
      </c>
      <c r="AB31" s="44"/>
      <c r="AC31" s="45"/>
      <c r="AD31" s="45"/>
      <c r="AE31" s="46"/>
      <c r="AF31" s="45"/>
      <c r="AG31" s="45"/>
      <c r="AH31" s="45"/>
      <c r="AI31" s="3" t="s">
        <v>1583</v>
      </c>
    </row>
    <row r="32" spans="1:35" ht="40.5">
      <c r="A32" s="144">
        <f>ROW()-2</f>
        <v>30</v>
      </c>
      <c r="B32" s="144"/>
      <c r="C32" s="144"/>
      <c r="D32" s="144"/>
      <c r="E32" s="144"/>
      <c r="F32" s="144"/>
      <c r="G32" s="144"/>
      <c r="H32" s="144"/>
      <c r="I32" s="144"/>
      <c r="J32" s="97" t="s">
        <v>2101</v>
      </c>
      <c r="K32" s="134" t="str">
        <f>_xlfn.XLOOKUP(L32,'99_マスタ'!$D$5:$D$18,'99_マスタ'!$C$5:$C$18,"")</f>
        <v>02_生販在</v>
      </c>
      <c r="L32" s="101" t="s">
        <v>2303</v>
      </c>
      <c r="M32" s="134" t="s">
        <v>651</v>
      </c>
      <c r="N32" s="125" t="s">
        <v>139</v>
      </c>
      <c r="O32" s="33" t="s">
        <v>652</v>
      </c>
      <c r="P32" s="33" t="s">
        <v>653</v>
      </c>
      <c r="Q32" s="33" t="s">
        <v>161</v>
      </c>
      <c r="R32" s="34" t="s">
        <v>139</v>
      </c>
      <c r="S32" s="34" t="s">
        <v>139</v>
      </c>
      <c r="T32" s="34" t="s">
        <v>139</v>
      </c>
      <c r="U32" s="34" t="s">
        <v>654</v>
      </c>
      <c r="V32" s="35" t="s">
        <v>139</v>
      </c>
      <c r="W32" s="36" t="s">
        <v>139</v>
      </c>
      <c r="X32" s="34" t="s">
        <v>139</v>
      </c>
      <c r="Y32" s="34" t="s">
        <v>139</v>
      </c>
      <c r="Z32" s="34" t="s">
        <v>655</v>
      </c>
      <c r="AA32" s="34" t="s">
        <v>139</v>
      </c>
      <c r="AB32" s="37"/>
      <c r="AC32" s="38"/>
      <c r="AD32" s="38"/>
      <c r="AE32" s="39"/>
      <c r="AF32" s="38"/>
      <c r="AG32" s="38"/>
      <c r="AH32" s="38"/>
      <c r="AI32" s="3" t="s">
        <v>1583</v>
      </c>
    </row>
    <row r="33" spans="1:35" ht="81">
      <c r="A33" s="144">
        <f t="shared" si="0"/>
        <v>31</v>
      </c>
      <c r="B33" s="148"/>
      <c r="C33" s="148"/>
      <c r="D33" s="148"/>
      <c r="E33" s="148"/>
      <c r="F33" s="148"/>
      <c r="G33" s="148"/>
      <c r="H33" s="148"/>
      <c r="I33" s="148"/>
      <c r="J33" s="98" t="s">
        <v>2101</v>
      </c>
      <c r="K33" s="101" t="str">
        <f>_xlfn.XLOOKUP(L33,'99_マスタ'!$D$5:$D$18,'99_マスタ'!$C$5:$C$18,"")</f>
        <v>02_生販在</v>
      </c>
      <c r="L33" s="101" t="s">
        <v>2303</v>
      </c>
      <c r="M33" s="101" t="s">
        <v>646</v>
      </c>
      <c r="N33" s="126" t="s">
        <v>647</v>
      </c>
      <c r="O33" s="40" t="s">
        <v>648</v>
      </c>
      <c r="P33" s="40"/>
      <c r="Q33" s="40" t="s">
        <v>3064</v>
      </c>
      <c r="R33" s="41" t="s">
        <v>139</v>
      </c>
      <c r="S33" s="41" t="s">
        <v>139</v>
      </c>
      <c r="T33" s="41" t="s">
        <v>139</v>
      </c>
      <c r="U33" s="41" t="s">
        <v>649</v>
      </c>
      <c r="V33" s="42" t="s">
        <v>139</v>
      </c>
      <c r="W33" s="43" t="s">
        <v>139</v>
      </c>
      <c r="X33" s="41" t="s">
        <v>139</v>
      </c>
      <c r="Y33" s="41" t="s">
        <v>139</v>
      </c>
      <c r="Z33" s="41" t="s">
        <v>2784</v>
      </c>
      <c r="AA33" s="41" t="s">
        <v>139</v>
      </c>
      <c r="AB33" s="44"/>
      <c r="AC33" s="45"/>
      <c r="AD33" s="45"/>
      <c r="AE33" s="46"/>
      <c r="AF33" s="45"/>
      <c r="AG33" s="45"/>
      <c r="AH33" s="45"/>
      <c r="AI33" s="3" t="s">
        <v>1583</v>
      </c>
    </row>
    <row r="34" spans="1:35" ht="27">
      <c r="A34" s="144">
        <f t="shared" si="0"/>
        <v>32</v>
      </c>
      <c r="B34" s="148"/>
      <c r="C34" s="148"/>
      <c r="D34" s="148"/>
      <c r="E34" s="148"/>
      <c r="F34" s="148"/>
      <c r="G34" s="148"/>
      <c r="H34" s="148"/>
      <c r="I34" s="148"/>
      <c r="J34" s="108" t="s">
        <v>2101</v>
      </c>
      <c r="K34" s="101" t="str">
        <f>_xlfn.XLOOKUP(L34,'99_マスタ'!$D$5:$D$18,'99_マスタ'!$C$5:$C$18,"")</f>
        <v>02_生販在</v>
      </c>
      <c r="L34" s="101" t="s">
        <v>2303</v>
      </c>
      <c r="M34" s="64" t="s">
        <v>214</v>
      </c>
      <c r="N34" s="54" t="s">
        <v>139</v>
      </c>
      <c r="O34" s="41" t="s">
        <v>215</v>
      </c>
      <c r="P34" s="41" t="s">
        <v>216</v>
      </c>
      <c r="Q34" s="41" t="s">
        <v>192</v>
      </c>
      <c r="R34" s="41" t="s">
        <v>217</v>
      </c>
      <c r="S34" s="41" t="s">
        <v>139</v>
      </c>
      <c r="T34" s="41" t="s">
        <v>139</v>
      </c>
      <c r="U34" s="41" t="s">
        <v>139</v>
      </c>
      <c r="V34" s="42" t="s">
        <v>139</v>
      </c>
      <c r="W34" s="53" t="s">
        <v>218</v>
      </c>
      <c r="X34" s="54" t="s">
        <v>139</v>
      </c>
      <c r="Y34" s="54" t="s">
        <v>139</v>
      </c>
      <c r="Z34" s="54" t="s">
        <v>139</v>
      </c>
      <c r="AA34" s="54" t="s">
        <v>139</v>
      </c>
      <c r="AB34" s="55"/>
      <c r="AC34" s="56"/>
      <c r="AD34" s="56"/>
      <c r="AE34" s="57"/>
      <c r="AF34" s="56"/>
      <c r="AG34" s="56"/>
      <c r="AH34" s="56"/>
      <c r="AI34" s="3" t="s">
        <v>1583</v>
      </c>
    </row>
    <row r="35" spans="1:35" ht="27">
      <c r="A35" s="144">
        <f t="shared" si="0"/>
        <v>33</v>
      </c>
      <c r="B35" s="148"/>
      <c r="C35" s="148"/>
      <c r="D35" s="148"/>
      <c r="E35" s="148"/>
      <c r="F35" s="148"/>
      <c r="G35" s="148"/>
      <c r="H35" s="148"/>
      <c r="I35" s="148"/>
      <c r="J35" s="100" t="s">
        <v>2101</v>
      </c>
      <c r="K35" s="101" t="str">
        <f>_xlfn.XLOOKUP(L35,'99_マスタ'!$D$5:$D$18,'99_マスタ'!$C$5:$C$18,"")</f>
        <v>02_生販在</v>
      </c>
      <c r="L35" s="101" t="s">
        <v>2303</v>
      </c>
      <c r="M35" s="64" t="s">
        <v>230</v>
      </c>
      <c r="N35" s="54" t="s">
        <v>231</v>
      </c>
      <c r="O35" s="41" t="s">
        <v>232</v>
      </c>
      <c r="P35" s="41" t="s">
        <v>233</v>
      </c>
      <c r="Q35" s="41" t="s">
        <v>192</v>
      </c>
      <c r="R35" s="41" t="s">
        <v>234</v>
      </c>
      <c r="S35" s="41" t="s">
        <v>139</v>
      </c>
      <c r="T35" s="41" t="s">
        <v>139</v>
      </c>
      <c r="U35" s="41" t="s">
        <v>139</v>
      </c>
      <c r="V35" s="42" t="s">
        <v>139</v>
      </c>
      <c r="W35" s="53" t="s">
        <v>235</v>
      </c>
      <c r="X35" s="54" t="s">
        <v>139</v>
      </c>
      <c r="Y35" s="54" t="s">
        <v>139</v>
      </c>
      <c r="Z35" s="54" t="s">
        <v>139</v>
      </c>
      <c r="AA35" s="54" t="s">
        <v>139</v>
      </c>
      <c r="AB35" s="55"/>
      <c r="AC35" s="56"/>
      <c r="AD35" s="56"/>
      <c r="AE35" s="57"/>
      <c r="AF35" s="56"/>
      <c r="AG35" s="56"/>
      <c r="AH35" s="56"/>
      <c r="AI35" s="3" t="s">
        <v>1583</v>
      </c>
    </row>
    <row r="36" spans="1:35" ht="27">
      <c r="A36" s="144">
        <f t="shared" si="0"/>
        <v>34</v>
      </c>
      <c r="B36" s="148"/>
      <c r="C36" s="148"/>
      <c r="D36" s="148"/>
      <c r="E36" s="148"/>
      <c r="F36" s="148"/>
      <c r="G36" s="148"/>
      <c r="H36" s="148"/>
      <c r="I36" s="148"/>
      <c r="J36" s="98" t="s">
        <v>2101</v>
      </c>
      <c r="K36" s="100" t="str">
        <f>_xlfn.XLOOKUP(L36,'99_マスタ'!$D$5:$D$18,'99_マスタ'!$C$5:$C$18,"")</f>
        <v>01_財務・業績指標</v>
      </c>
      <c r="L36" s="100" t="s">
        <v>2298</v>
      </c>
      <c r="M36" s="100" t="s">
        <v>1094</v>
      </c>
      <c r="N36" s="126" t="s">
        <v>1095</v>
      </c>
      <c r="O36" s="40" t="s">
        <v>1096</v>
      </c>
      <c r="P36" s="40"/>
      <c r="Q36" s="40" t="s">
        <v>192</v>
      </c>
      <c r="R36" s="41" t="s">
        <v>139</v>
      </c>
      <c r="S36" s="41" t="s">
        <v>139</v>
      </c>
      <c r="T36" s="41" t="s">
        <v>1083</v>
      </c>
      <c r="U36" s="41" t="s">
        <v>139</v>
      </c>
      <c r="V36" s="42" t="s">
        <v>1891</v>
      </c>
      <c r="W36" s="43" t="s">
        <v>139</v>
      </c>
      <c r="X36" s="41" t="s">
        <v>139</v>
      </c>
      <c r="Y36" s="41" t="s">
        <v>1606</v>
      </c>
      <c r="Z36" s="41" t="s">
        <v>139</v>
      </c>
      <c r="AA36" s="41" t="s">
        <v>614</v>
      </c>
      <c r="AB36" s="44"/>
      <c r="AC36" s="45"/>
      <c r="AD36" s="45"/>
      <c r="AE36" s="46"/>
      <c r="AF36" s="45"/>
      <c r="AG36" s="45"/>
      <c r="AH36" s="45"/>
      <c r="AI36" s="3" t="s">
        <v>1583</v>
      </c>
    </row>
    <row r="37" spans="1:35">
      <c r="A37" s="144">
        <f t="shared" si="0"/>
        <v>35</v>
      </c>
      <c r="B37" s="148"/>
      <c r="C37" s="148"/>
      <c r="D37" s="148"/>
      <c r="E37" s="148"/>
      <c r="F37" s="148"/>
      <c r="G37" s="148"/>
      <c r="H37" s="148"/>
      <c r="I37" s="148"/>
      <c r="J37" s="98" t="s">
        <v>2101</v>
      </c>
      <c r="K37" s="99" t="str">
        <f>_xlfn.XLOOKUP(L37,'99_マスタ'!$D$5:$D$18,'99_マスタ'!$C$5:$C$18,"")</f>
        <v>01_財務・業績指標</v>
      </c>
      <c r="L37" s="99" t="s">
        <v>2298</v>
      </c>
      <c r="M37" s="99" t="s">
        <v>1884</v>
      </c>
      <c r="N37" s="126" t="s">
        <v>139</v>
      </c>
      <c r="O37" s="40" t="s">
        <v>1885</v>
      </c>
      <c r="P37" s="40" t="s">
        <v>1886</v>
      </c>
      <c r="Q37" s="40" t="s">
        <v>1666</v>
      </c>
      <c r="R37" s="41" t="s">
        <v>139</v>
      </c>
      <c r="S37" s="41" t="s">
        <v>139</v>
      </c>
      <c r="T37" s="41" t="s">
        <v>1887</v>
      </c>
      <c r="U37" s="41" t="s">
        <v>139</v>
      </c>
      <c r="V37" s="42" t="s">
        <v>139</v>
      </c>
      <c r="W37" s="43" t="s">
        <v>139</v>
      </c>
      <c r="X37" s="41" t="s">
        <v>139</v>
      </c>
      <c r="Y37" s="41" t="s">
        <v>1125</v>
      </c>
      <c r="Z37" s="41" t="s">
        <v>139</v>
      </c>
      <c r="AA37" s="41" t="s">
        <v>139</v>
      </c>
      <c r="AB37" s="44"/>
      <c r="AC37" s="45"/>
      <c r="AD37" s="45"/>
      <c r="AE37" s="46"/>
      <c r="AF37" s="45"/>
      <c r="AG37" s="45"/>
      <c r="AH37" s="45"/>
      <c r="AI37" s="3" t="s">
        <v>1583</v>
      </c>
    </row>
    <row r="38" spans="1:35" ht="94.5">
      <c r="A38" s="144">
        <f t="shared" si="0"/>
        <v>36</v>
      </c>
      <c r="B38" s="148"/>
      <c r="C38" s="148"/>
      <c r="D38" s="148"/>
      <c r="E38" s="148"/>
      <c r="F38" s="148"/>
      <c r="G38" s="148"/>
      <c r="H38" s="148"/>
      <c r="I38" s="148"/>
      <c r="J38" s="98" t="s">
        <v>2101</v>
      </c>
      <c r="K38" s="99" t="str">
        <f>_xlfn.XLOOKUP(L38,'99_マスタ'!$D$5:$D$18,'99_マスタ'!$C$5:$C$18,"")</f>
        <v>01_財務・業績指標</v>
      </c>
      <c r="L38" s="99" t="s">
        <v>2298</v>
      </c>
      <c r="M38" s="99" t="s">
        <v>2789</v>
      </c>
      <c r="N38" s="126" t="s">
        <v>2790</v>
      </c>
      <c r="O38" s="40" t="s">
        <v>2792</v>
      </c>
      <c r="P38" s="40"/>
      <c r="Q38" s="40" t="s">
        <v>1895</v>
      </c>
      <c r="R38" s="41" t="s">
        <v>139</v>
      </c>
      <c r="S38" s="41" t="s">
        <v>139</v>
      </c>
      <c r="T38" s="41" t="s">
        <v>139</v>
      </c>
      <c r="U38" s="41" t="s">
        <v>3117</v>
      </c>
      <c r="V38" s="42" t="s">
        <v>139</v>
      </c>
      <c r="W38" s="43" t="s">
        <v>139</v>
      </c>
      <c r="X38" s="41" t="s">
        <v>139</v>
      </c>
      <c r="Y38" s="41" t="s">
        <v>139</v>
      </c>
      <c r="Z38" s="41" t="s">
        <v>2791</v>
      </c>
      <c r="AA38" s="41" t="s">
        <v>139</v>
      </c>
      <c r="AB38" s="44"/>
      <c r="AC38" s="45"/>
      <c r="AD38" s="45"/>
      <c r="AE38" s="46"/>
      <c r="AF38" s="45"/>
      <c r="AG38" s="45"/>
      <c r="AH38" s="45"/>
      <c r="AI38" s="3" t="s">
        <v>1583</v>
      </c>
    </row>
    <row r="39" spans="1:35" ht="27">
      <c r="A39" s="144">
        <f t="shared" si="0"/>
        <v>37</v>
      </c>
      <c r="B39" s="148"/>
      <c r="C39" s="148"/>
      <c r="D39" s="148"/>
      <c r="E39" s="148"/>
      <c r="F39" s="148"/>
      <c r="G39" s="148"/>
      <c r="H39" s="148"/>
      <c r="I39" s="148"/>
      <c r="J39" s="98" t="s">
        <v>2101</v>
      </c>
      <c r="K39" s="101" t="str">
        <f>_xlfn.XLOOKUP(L39,'99_マスタ'!$D$5:$D$18,'99_マスタ'!$C$5:$C$18,"")</f>
        <v>01_財務・業績指標</v>
      </c>
      <c r="L39" s="113" t="s">
        <v>2298</v>
      </c>
      <c r="M39" s="113" t="s">
        <v>1647</v>
      </c>
      <c r="N39" s="126" t="s">
        <v>2296</v>
      </c>
      <c r="O39" s="40" t="s">
        <v>1649</v>
      </c>
      <c r="P39" s="40" t="s">
        <v>1648</v>
      </c>
      <c r="Q39" s="40" t="s">
        <v>1645</v>
      </c>
      <c r="R39" s="41" t="s">
        <v>139</v>
      </c>
      <c r="S39" s="41" t="s">
        <v>139</v>
      </c>
      <c r="T39" s="41" t="s">
        <v>139</v>
      </c>
      <c r="U39" s="41" t="s">
        <v>1646</v>
      </c>
      <c r="V39" s="42" t="s">
        <v>139</v>
      </c>
      <c r="W39" s="43" t="s">
        <v>139</v>
      </c>
      <c r="X39" s="41" t="s">
        <v>139</v>
      </c>
      <c r="Y39" s="41" t="s">
        <v>139</v>
      </c>
      <c r="Z39" s="41" t="s">
        <v>1635</v>
      </c>
      <c r="AA39" s="41" t="s">
        <v>139</v>
      </c>
      <c r="AB39" s="44"/>
      <c r="AC39" s="45"/>
      <c r="AD39" s="45"/>
      <c r="AE39" s="46"/>
      <c r="AF39" s="45"/>
      <c r="AG39" s="45"/>
      <c r="AH39" s="45"/>
      <c r="AI39" s="3" t="s">
        <v>1583</v>
      </c>
    </row>
    <row r="40" spans="1:35" ht="40.5">
      <c r="A40" s="144">
        <f t="shared" si="0"/>
        <v>38</v>
      </c>
      <c r="B40" s="148"/>
      <c r="C40" s="148"/>
      <c r="D40" s="148"/>
      <c r="E40" s="148"/>
      <c r="F40" s="148"/>
      <c r="G40" s="148"/>
      <c r="H40" s="148"/>
      <c r="I40" s="148"/>
      <c r="J40" s="98" t="s">
        <v>2101</v>
      </c>
      <c r="K40" s="100" t="str">
        <f>_xlfn.XLOOKUP(L40,'99_マスタ'!$D$5:$D$18,'99_マスタ'!$C$5:$C$18,"")</f>
        <v>01_財務・業績指標</v>
      </c>
      <c r="L40" s="100" t="s">
        <v>2298</v>
      </c>
      <c r="M40" s="100" t="s">
        <v>1375</v>
      </c>
      <c r="N40" s="126" t="s">
        <v>731</v>
      </c>
      <c r="O40" s="40" t="s">
        <v>1376</v>
      </c>
      <c r="P40" s="40" t="s">
        <v>1377</v>
      </c>
      <c r="Q40" s="40" t="s">
        <v>161</v>
      </c>
      <c r="R40" s="41" t="s">
        <v>1378</v>
      </c>
      <c r="S40" s="41" t="s">
        <v>139</v>
      </c>
      <c r="T40" s="41" t="s">
        <v>139</v>
      </c>
      <c r="U40" s="41" t="s">
        <v>1379</v>
      </c>
      <c r="V40" s="42" t="s">
        <v>3118</v>
      </c>
      <c r="W40" s="43" t="s">
        <v>114</v>
      </c>
      <c r="X40" s="41" t="s">
        <v>139</v>
      </c>
      <c r="Y40" s="41" t="s">
        <v>139</v>
      </c>
      <c r="Z40" s="41" t="s">
        <v>806</v>
      </c>
      <c r="AA40" s="41" t="s">
        <v>1962</v>
      </c>
      <c r="AB40" s="44"/>
      <c r="AC40" s="45"/>
      <c r="AD40" s="45"/>
      <c r="AE40" s="46"/>
      <c r="AF40" s="45"/>
      <c r="AG40" s="45"/>
      <c r="AH40" s="45"/>
      <c r="AI40" s="3" t="s">
        <v>1583</v>
      </c>
    </row>
    <row r="41" spans="1:35" ht="135">
      <c r="A41" s="144">
        <f t="shared" si="0"/>
        <v>39</v>
      </c>
      <c r="B41" s="148"/>
      <c r="C41" s="148"/>
      <c r="D41" s="148"/>
      <c r="E41" s="148"/>
      <c r="F41" s="148"/>
      <c r="G41" s="148"/>
      <c r="H41" s="148"/>
      <c r="I41" s="148"/>
      <c r="J41" s="98" t="s">
        <v>2101</v>
      </c>
      <c r="K41" s="99" t="str">
        <f>_xlfn.XLOOKUP(L41,'99_マスタ'!$D$5:$D$18,'99_マスタ'!$C$5:$C$18,"")</f>
        <v>01_財務・業績指標</v>
      </c>
      <c r="L41" s="99" t="s">
        <v>2298</v>
      </c>
      <c r="M41" s="99" t="s">
        <v>724</v>
      </c>
      <c r="N41" s="126" t="s">
        <v>2293</v>
      </c>
      <c r="O41" s="40" t="s">
        <v>2816</v>
      </c>
      <c r="P41" s="40" t="s">
        <v>2745</v>
      </c>
      <c r="Q41" s="40" t="s">
        <v>192</v>
      </c>
      <c r="R41" s="41" t="s">
        <v>139</v>
      </c>
      <c r="S41" s="41" t="s">
        <v>139</v>
      </c>
      <c r="T41" s="41" t="s">
        <v>139</v>
      </c>
      <c r="U41" s="41" t="s">
        <v>725</v>
      </c>
      <c r="V41" s="42" t="s">
        <v>139</v>
      </c>
      <c r="W41" s="43" t="s">
        <v>139</v>
      </c>
      <c r="X41" s="41" t="s">
        <v>139</v>
      </c>
      <c r="Y41" s="41" t="s">
        <v>139</v>
      </c>
      <c r="Z41" s="41" t="s">
        <v>2817</v>
      </c>
      <c r="AA41" s="41" t="s">
        <v>139</v>
      </c>
      <c r="AB41" s="44"/>
      <c r="AC41" s="45"/>
      <c r="AD41" s="45"/>
      <c r="AE41" s="46"/>
      <c r="AF41" s="45"/>
      <c r="AG41" s="45"/>
      <c r="AH41" s="45"/>
      <c r="AI41" s="3" t="s">
        <v>1583</v>
      </c>
    </row>
    <row r="42" spans="1:35" ht="54">
      <c r="A42" s="144">
        <f t="shared" si="0"/>
        <v>40</v>
      </c>
      <c r="B42" s="148"/>
      <c r="C42" s="148"/>
      <c r="D42" s="148"/>
      <c r="E42" s="148"/>
      <c r="F42" s="148"/>
      <c r="G42" s="148"/>
      <c r="H42" s="148"/>
      <c r="I42" s="148"/>
      <c r="J42" s="98" t="s">
        <v>2101</v>
      </c>
      <c r="K42" s="99" t="str">
        <f>_xlfn.XLOOKUP(L42,'99_マスタ'!$D$5:$D$18,'99_マスタ'!$C$5:$C$18,"")</f>
        <v>01_財務・業績指標</v>
      </c>
      <c r="L42" s="99" t="s">
        <v>2298</v>
      </c>
      <c r="M42" s="99" t="s">
        <v>807</v>
      </c>
      <c r="N42" s="126" t="s">
        <v>808</v>
      </c>
      <c r="O42" s="40" t="s">
        <v>2294</v>
      </c>
      <c r="P42" s="61"/>
      <c r="Q42" s="40" t="s">
        <v>2077</v>
      </c>
      <c r="R42" s="41" t="s">
        <v>139</v>
      </c>
      <c r="S42" s="41" t="s">
        <v>139</v>
      </c>
      <c r="T42" s="41" t="s">
        <v>139</v>
      </c>
      <c r="U42" s="41" t="s">
        <v>809</v>
      </c>
      <c r="V42" s="42" t="s">
        <v>139</v>
      </c>
      <c r="W42" s="43" t="s">
        <v>139</v>
      </c>
      <c r="X42" s="41" t="s">
        <v>139</v>
      </c>
      <c r="Y42" s="41" t="s">
        <v>139</v>
      </c>
      <c r="Z42" s="41" t="s">
        <v>806</v>
      </c>
      <c r="AA42" s="41" t="s">
        <v>139</v>
      </c>
      <c r="AB42" s="44"/>
      <c r="AC42" s="45"/>
      <c r="AD42" s="45"/>
      <c r="AE42" s="46"/>
      <c r="AF42" s="45"/>
      <c r="AG42" s="45"/>
      <c r="AH42" s="45"/>
      <c r="AI42" s="3" t="s">
        <v>1583</v>
      </c>
    </row>
    <row r="43" spans="1:35" ht="54">
      <c r="A43" s="144">
        <f t="shared" si="0"/>
        <v>41</v>
      </c>
      <c r="B43" s="148"/>
      <c r="C43" s="148"/>
      <c r="D43" s="148"/>
      <c r="E43" s="148"/>
      <c r="F43" s="148"/>
      <c r="G43" s="148"/>
      <c r="H43" s="148"/>
      <c r="I43" s="148"/>
      <c r="J43" s="98" t="s">
        <v>2101</v>
      </c>
      <c r="K43" s="104" t="str">
        <f>_xlfn.XLOOKUP(L43,'99_マスタ'!$D$5:$D$18,'99_マスタ'!$C$5:$C$18,"")</f>
        <v>01_財務・業績指標</v>
      </c>
      <c r="L43" s="99" t="s">
        <v>2298</v>
      </c>
      <c r="M43" s="104" t="s">
        <v>808</v>
      </c>
      <c r="N43" s="126" t="s">
        <v>139</v>
      </c>
      <c r="O43" s="40" t="s">
        <v>873</v>
      </c>
      <c r="P43" s="40" t="s">
        <v>874</v>
      </c>
      <c r="Q43" s="40" t="s">
        <v>192</v>
      </c>
      <c r="R43" s="41" t="s">
        <v>139</v>
      </c>
      <c r="S43" s="41" t="s">
        <v>139</v>
      </c>
      <c r="T43" s="41" t="s">
        <v>139</v>
      </c>
      <c r="U43" s="41" t="s">
        <v>875</v>
      </c>
      <c r="V43" s="42" t="s">
        <v>139</v>
      </c>
      <c r="W43" s="43" t="s">
        <v>139</v>
      </c>
      <c r="X43" s="41" t="s">
        <v>139</v>
      </c>
      <c r="Y43" s="41" t="s">
        <v>139</v>
      </c>
      <c r="Z43" s="41" t="s">
        <v>1644</v>
      </c>
      <c r="AA43" s="41" t="s">
        <v>139</v>
      </c>
      <c r="AB43" s="44"/>
      <c r="AC43" s="45"/>
      <c r="AD43" s="45"/>
      <c r="AE43" s="46"/>
      <c r="AF43" s="45"/>
      <c r="AG43" s="45"/>
      <c r="AH43" s="45"/>
      <c r="AI43" s="3" t="s">
        <v>1583</v>
      </c>
    </row>
    <row r="44" spans="1:35" ht="27">
      <c r="A44" s="144">
        <f t="shared" si="0"/>
        <v>42</v>
      </c>
      <c r="B44" s="148"/>
      <c r="C44" s="148"/>
      <c r="D44" s="148"/>
      <c r="E44" s="148"/>
      <c r="F44" s="148"/>
      <c r="G44" s="148"/>
      <c r="H44" s="148"/>
      <c r="I44" s="148"/>
      <c r="J44" s="98" t="s">
        <v>2101</v>
      </c>
      <c r="K44" s="104" t="str">
        <f>_xlfn.XLOOKUP(L44,'99_マスタ'!$D$5:$D$18,'99_マスタ'!$C$5:$C$18,"")</f>
        <v>01_財務・業績指標</v>
      </c>
      <c r="L44" s="104" t="s">
        <v>2298</v>
      </c>
      <c r="M44" s="104" t="s">
        <v>877</v>
      </c>
      <c r="N44" s="126" t="s">
        <v>139</v>
      </c>
      <c r="O44" s="40" t="s">
        <v>878</v>
      </c>
      <c r="P44" s="61"/>
      <c r="Q44" s="40" t="s">
        <v>192</v>
      </c>
      <c r="R44" s="41" t="s">
        <v>139</v>
      </c>
      <c r="S44" s="41" t="s">
        <v>139</v>
      </c>
      <c r="T44" s="41" t="s">
        <v>139</v>
      </c>
      <c r="U44" s="41" t="s">
        <v>879</v>
      </c>
      <c r="V44" s="42" t="s">
        <v>139</v>
      </c>
      <c r="W44" s="43" t="s">
        <v>139</v>
      </c>
      <c r="X44" s="41" t="s">
        <v>139</v>
      </c>
      <c r="Y44" s="41" t="s">
        <v>139</v>
      </c>
      <c r="Z44" s="41" t="s">
        <v>880</v>
      </c>
      <c r="AA44" s="41" t="s">
        <v>139</v>
      </c>
      <c r="AB44" s="44"/>
      <c r="AC44" s="45"/>
      <c r="AD44" s="45"/>
      <c r="AE44" s="46"/>
      <c r="AF44" s="45"/>
      <c r="AG44" s="45"/>
      <c r="AH44" s="45"/>
      <c r="AI44" s="3" t="s">
        <v>1583</v>
      </c>
    </row>
    <row r="45" spans="1:35" ht="27">
      <c r="A45" s="144">
        <f t="shared" si="0"/>
        <v>43</v>
      </c>
      <c r="B45" s="148"/>
      <c r="C45" s="148"/>
      <c r="D45" s="148"/>
      <c r="E45" s="148"/>
      <c r="F45" s="148"/>
      <c r="G45" s="148"/>
      <c r="H45" s="148"/>
      <c r="I45" s="148"/>
      <c r="J45" s="98" t="s">
        <v>2101</v>
      </c>
      <c r="K45" s="104" t="str">
        <f>_xlfn.XLOOKUP(L45,'99_マスタ'!$D$5:$D$18,'99_マスタ'!$C$5:$C$18,"")</f>
        <v>01_財務・業績指標</v>
      </c>
      <c r="L45" s="104" t="s">
        <v>2298</v>
      </c>
      <c r="M45" s="104" t="s">
        <v>881</v>
      </c>
      <c r="N45" s="126" t="s">
        <v>139</v>
      </c>
      <c r="O45" s="40" t="s">
        <v>882</v>
      </c>
      <c r="P45" s="40" t="s">
        <v>883</v>
      </c>
      <c r="Q45" s="40" t="s">
        <v>1645</v>
      </c>
      <c r="R45" s="41" t="s">
        <v>139</v>
      </c>
      <c r="S45" s="41" t="s">
        <v>139</v>
      </c>
      <c r="T45" s="41" t="s">
        <v>139</v>
      </c>
      <c r="U45" s="41" t="s">
        <v>2876</v>
      </c>
      <c r="V45" s="42" t="s">
        <v>139</v>
      </c>
      <c r="W45" s="43" t="s">
        <v>139</v>
      </c>
      <c r="X45" s="41" t="s">
        <v>139</v>
      </c>
      <c r="Y45" s="41" t="s">
        <v>139</v>
      </c>
      <c r="Z45" s="41" t="s">
        <v>1643</v>
      </c>
      <c r="AA45" s="41" t="s">
        <v>139</v>
      </c>
      <c r="AB45" s="44"/>
      <c r="AC45" s="45"/>
      <c r="AD45" s="45"/>
      <c r="AE45" s="46"/>
      <c r="AF45" s="45"/>
      <c r="AG45" s="45"/>
      <c r="AH45" s="45"/>
      <c r="AI45" s="3" t="s">
        <v>1583</v>
      </c>
    </row>
    <row r="46" spans="1:35" ht="108">
      <c r="A46" s="144">
        <f t="shared" si="0"/>
        <v>44</v>
      </c>
      <c r="B46" s="148"/>
      <c r="C46" s="148"/>
      <c r="D46" s="148"/>
      <c r="E46" s="148"/>
      <c r="F46" s="148"/>
      <c r="G46" s="148"/>
      <c r="H46" s="148"/>
      <c r="I46" s="148"/>
      <c r="J46" s="98" t="s">
        <v>2101</v>
      </c>
      <c r="K46" s="104" t="str">
        <f>_xlfn.XLOOKUP(L46,'99_マスタ'!$D$5:$D$18,'99_マスタ'!$C$5:$C$18,"")</f>
        <v>01_財務・業績指標</v>
      </c>
      <c r="L46" s="104" t="s">
        <v>2298</v>
      </c>
      <c r="M46" s="104" t="s">
        <v>3103</v>
      </c>
      <c r="N46" s="126" t="s">
        <v>3104</v>
      </c>
      <c r="O46" s="40" t="s">
        <v>2744</v>
      </c>
      <c r="P46" s="62" t="s">
        <v>3105</v>
      </c>
      <c r="Q46" s="40" t="s">
        <v>161</v>
      </c>
      <c r="R46" s="41" t="s">
        <v>139</v>
      </c>
      <c r="S46" s="41" t="s">
        <v>139</v>
      </c>
      <c r="T46" s="41" t="s">
        <v>139</v>
      </c>
      <c r="U46" s="41" t="s">
        <v>3307</v>
      </c>
      <c r="V46" s="42" t="s">
        <v>139</v>
      </c>
      <c r="W46" s="43" t="s">
        <v>139</v>
      </c>
      <c r="X46" s="41" t="s">
        <v>139</v>
      </c>
      <c r="Y46" s="41" t="s">
        <v>139</v>
      </c>
      <c r="Z46" s="41" t="s">
        <v>3308</v>
      </c>
      <c r="AA46" s="41" t="s">
        <v>139</v>
      </c>
      <c r="AB46" s="44"/>
      <c r="AC46" s="45"/>
      <c r="AD46" s="45"/>
      <c r="AE46" s="46"/>
      <c r="AF46" s="45"/>
      <c r="AG46" s="45"/>
      <c r="AH46" s="45"/>
      <c r="AI46" s="3" t="s">
        <v>1583</v>
      </c>
    </row>
    <row r="47" spans="1:35">
      <c r="A47" s="144">
        <f t="shared" si="0"/>
        <v>45</v>
      </c>
      <c r="B47" s="148"/>
      <c r="C47" s="148"/>
      <c r="D47" s="148"/>
      <c r="E47" s="148"/>
      <c r="F47" s="148"/>
      <c r="G47" s="148"/>
      <c r="H47" s="148"/>
      <c r="I47" s="148"/>
      <c r="J47" s="103" t="s">
        <v>2101</v>
      </c>
      <c r="K47" s="100" t="str">
        <f>_xlfn.XLOOKUP(L47,'99_マスタ'!$D$5:$D$18,'99_マスタ'!$C$5:$C$18,"")</f>
        <v>01_財務・業績指標</v>
      </c>
      <c r="L47" s="100" t="s">
        <v>2298</v>
      </c>
      <c r="M47" s="100" t="s">
        <v>803</v>
      </c>
      <c r="N47" s="126" t="s">
        <v>2840</v>
      </c>
      <c r="O47" s="62" t="s">
        <v>2046</v>
      </c>
      <c r="P47" s="62" t="s">
        <v>2048</v>
      </c>
      <c r="Q47" s="40" t="s">
        <v>1645</v>
      </c>
      <c r="R47" s="41" t="s">
        <v>139</v>
      </c>
      <c r="S47" s="41" t="s">
        <v>139</v>
      </c>
      <c r="T47" s="41" t="s">
        <v>139</v>
      </c>
      <c r="U47" s="41" t="s">
        <v>2835</v>
      </c>
      <c r="V47" s="42" t="s">
        <v>1891</v>
      </c>
      <c r="W47" s="43" t="s">
        <v>139</v>
      </c>
      <c r="X47" s="41" t="s">
        <v>139</v>
      </c>
      <c r="Y47" s="41" t="s">
        <v>139</v>
      </c>
      <c r="Z47" s="41" t="s">
        <v>2837</v>
      </c>
      <c r="AA47" s="41" t="s">
        <v>1892</v>
      </c>
      <c r="AB47" s="44" t="s">
        <v>2043</v>
      </c>
      <c r="AC47" s="45"/>
      <c r="AD47" s="45"/>
      <c r="AE47" s="46"/>
      <c r="AF47" s="45"/>
      <c r="AG47" s="45"/>
      <c r="AH47" s="45"/>
      <c r="AI47" s="3" t="s">
        <v>1583</v>
      </c>
    </row>
    <row r="48" spans="1:35" ht="54">
      <c r="A48" s="144">
        <f t="shared" si="0"/>
        <v>46</v>
      </c>
      <c r="B48" s="148"/>
      <c r="C48" s="148"/>
      <c r="D48" s="148"/>
      <c r="E48" s="148"/>
      <c r="F48" s="148"/>
      <c r="G48" s="148"/>
      <c r="H48" s="148"/>
      <c r="I48" s="148"/>
      <c r="J48" s="103" t="s">
        <v>2101</v>
      </c>
      <c r="K48" s="100" t="str">
        <f>_xlfn.XLOOKUP(L48,'99_マスタ'!$D$5:$D$18,'99_マスタ'!$C$5:$C$18,"")</f>
        <v>01_財務・業績指標</v>
      </c>
      <c r="L48" s="100" t="s">
        <v>2298</v>
      </c>
      <c r="M48" s="100" t="s">
        <v>803</v>
      </c>
      <c r="N48" s="126" t="s">
        <v>2843</v>
      </c>
      <c r="O48" s="62" t="s">
        <v>2045</v>
      </c>
      <c r="P48" s="62" t="s">
        <v>804</v>
      </c>
      <c r="Q48" s="40" t="s">
        <v>1645</v>
      </c>
      <c r="R48" s="41" t="s">
        <v>139</v>
      </c>
      <c r="S48" s="41" t="s">
        <v>139</v>
      </c>
      <c r="T48" s="41" t="s">
        <v>139</v>
      </c>
      <c r="U48" s="41" t="s">
        <v>805</v>
      </c>
      <c r="V48" s="42" t="s">
        <v>3100</v>
      </c>
      <c r="W48" s="43" t="s">
        <v>139</v>
      </c>
      <c r="X48" s="41" t="s">
        <v>139</v>
      </c>
      <c r="Y48" s="41" t="s">
        <v>139</v>
      </c>
      <c r="Z48" s="41" t="s">
        <v>806</v>
      </c>
      <c r="AA48" s="41" t="s">
        <v>614</v>
      </c>
      <c r="AB48" s="44" t="s">
        <v>2043</v>
      </c>
      <c r="AC48" s="45"/>
      <c r="AD48" s="45"/>
      <c r="AE48" s="46"/>
      <c r="AF48" s="45"/>
      <c r="AG48" s="45"/>
      <c r="AH48" s="45"/>
      <c r="AI48" s="3" t="s">
        <v>1583</v>
      </c>
    </row>
    <row r="49" spans="1:35" ht="40.5">
      <c r="A49" s="144">
        <f t="shared" si="0"/>
        <v>47</v>
      </c>
      <c r="B49" s="148"/>
      <c r="C49" s="148"/>
      <c r="D49" s="148"/>
      <c r="E49" s="148"/>
      <c r="F49" s="148"/>
      <c r="G49" s="148"/>
      <c r="H49" s="148"/>
      <c r="I49" s="148"/>
      <c r="J49" s="98" t="s">
        <v>2101</v>
      </c>
      <c r="K49" s="100" t="str">
        <f>_xlfn.XLOOKUP(L49,'99_マスタ'!$D$5:$D$18,'99_マスタ'!$C$5:$C$18,"")</f>
        <v>01_財務・業績指標</v>
      </c>
      <c r="L49" s="100" t="s">
        <v>2298</v>
      </c>
      <c r="M49" s="100" t="s">
        <v>1355</v>
      </c>
      <c r="N49" s="126" t="s">
        <v>1356</v>
      </c>
      <c r="O49" s="40" t="s">
        <v>1357</v>
      </c>
      <c r="P49" s="40" t="s">
        <v>1358</v>
      </c>
      <c r="Q49" s="40" t="s">
        <v>161</v>
      </c>
      <c r="R49" s="41" t="s">
        <v>139</v>
      </c>
      <c r="S49" s="41" t="s">
        <v>139</v>
      </c>
      <c r="T49" s="41" t="s">
        <v>1359</v>
      </c>
      <c r="U49" s="41" t="s">
        <v>139</v>
      </c>
      <c r="V49" s="42" t="s">
        <v>1600</v>
      </c>
      <c r="W49" s="43" t="s">
        <v>139</v>
      </c>
      <c r="X49" s="41" t="s">
        <v>139</v>
      </c>
      <c r="Y49" s="41" t="s">
        <v>1100</v>
      </c>
      <c r="Z49" s="41" t="s">
        <v>139</v>
      </c>
      <c r="AA49" s="41" t="s">
        <v>3036</v>
      </c>
      <c r="AB49" s="44" t="s">
        <v>1933</v>
      </c>
      <c r="AC49" s="45"/>
      <c r="AD49" s="45"/>
      <c r="AE49" s="46"/>
      <c r="AF49" s="45"/>
      <c r="AG49" s="45"/>
      <c r="AH49" s="45"/>
      <c r="AI49" s="3" t="s">
        <v>1583</v>
      </c>
    </row>
    <row r="50" spans="1:35" ht="27">
      <c r="A50" s="144">
        <f t="shared" si="0"/>
        <v>48</v>
      </c>
      <c r="B50" s="148"/>
      <c r="C50" s="148"/>
      <c r="D50" s="148"/>
      <c r="E50" s="148"/>
      <c r="F50" s="148"/>
      <c r="G50" s="148"/>
      <c r="H50" s="148"/>
      <c r="I50" s="148"/>
      <c r="J50" s="98" t="s">
        <v>2101</v>
      </c>
      <c r="K50" s="100" t="str">
        <f>_xlfn.XLOOKUP(L50,'99_マスタ'!$D$5:$D$18,'99_マスタ'!$C$5:$C$18,"")</f>
        <v>01_財務・業績指標</v>
      </c>
      <c r="L50" s="100" t="s">
        <v>2298</v>
      </c>
      <c r="M50" s="100" t="s">
        <v>1370</v>
      </c>
      <c r="N50" s="126" t="s">
        <v>139</v>
      </c>
      <c r="O50" s="40" t="s">
        <v>1371</v>
      </c>
      <c r="P50" s="40" t="s">
        <v>1372</v>
      </c>
      <c r="Q50" s="40" t="s">
        <v>161</v>
      </c>
      <c r="R50" s="41" t="s">
        <v>139</v>
      </c>
      <c r="S50" s="41" t="s">
        <v>2717</v>
      </c>
      <c r="T50" s="41" t="s">
        <v>1373</v>
      </c>
      <c r="U50" s="41" t="s">
        <v>139</v>
      </c>
      <c r="V50" s="42" t="s">
        <v>1688</v>
      </c>
      <c r="W50" s="43" t="s">
        <v>139</v>
      </c>
      <c r="X50" s="41" t="s">
        <v>2730</v>
      </c>
      <c r="Y50" s="41" t="s">
        <v>1374</v>
      </c>
      <c r="Z50" s="41" t="s">
        <v>139</v>
      </c>
      <c r="AA50" s="41" t="s">
        <v>157</v>
      </c>
      <c r="AB50" s="44"/>
      <c r="AC50" s="45"/>
      <c r="AD50" s="45"/>
      <c r="AE50" s="46"/>
      <c r="AF50" s="45"/>
      <c r="AG50" s="45"/>
      <c r="AH50" s="45"/>
      <c r="AI50" s="3" t="s">
        <v>1583</v>
      </c>
    </row>
    <row r="51" spans="1:35" ht="27">
      <c r="A51" s="144">
        <f t="shared" si="0"/>
        <v>49</v>
      </c>
      <c r="B51" s="148"/>
      <c r="C51" s="148"/>
      <c r="D51" s="148"/>
      <c r="E51" s="148"/>
      <c r="F51" s="148"/>
      <c r="G51" s="148"/>
      <c r="H51" s="148"/>
      <c r="I51" s="148"/>
      <c r="J51" s="98" t="s">
        <v>2101</v>
      </c>
      <c r="K51" s="101" t="str">
        <f>_xlfn.XLOOKUP(L51,'99_マスタ'!$D$5:$D$18,'99_マスタ'!$C$5:$C$18,"")</f>
        <v>01_財務・業績指標</v>
      </c>
      <c r="L51" s="113" t="s">
        <v>2298</v>
      </c>
      <c r="M51" s="113" t="s">
        <v>1133</v>
      </c>
      <c r="N51" s="126" t="s">
        <v>139</v>
      </c>
      <c r="O51" s="40" t="s">
        <v>1134</v>
      </c>
      <c r="P51" s="40" t="s">
        <v>1135</v>
      </c>
      <c r="Q51" s="40" t="s">
        <v>1136</v>
      </c>
      <c r="R51" s="41" t="s">
        <v>1137</v>
      </c>
      <c r="S51" s="41" t="s">
        <v>139</v>
      </c>
      <c r="T51" s="41" t="s">
        <v>139</v>
      </c>
      <c r="U51" s="41" t="s">
        <v>139</v>
      </c>
      <c r="V51" s="42" t="s">
        <v>139</v>
      </c>
      <c r="W51" s="43" t="s">
        <v>1138</v>
      </c>
      <c r="X51" s="41" t="s">
        <v>139</v>
      </c>
      <c r="Y51" s="41" t="s">
        <v>139</v>
      </c>
      <c r="Z51" s="41" t="s">
        <v>139</v>
      </c>
      <c r="AA51" s="41" t="s">
        <v>139</v>
      </c>
      <c r="AB51" s="44"/>
      <c r="AC51" s="45"/>
      <c r="AD51" s="45"/>
      <c r="AE51" s="46"/>
      <c r="AF51" s="45"/>
      <c r="AG51" s="45"/>
      <c r="AH51" s="45"/>
      <c r="AI51" s="3" t="s">
        <v>1583</v>
      </c>
    </row>
    <row r="52" spans="1:35">
      <c r="A52" s="144">
        <f t="shared" si="0"/>
        <v>50</v>
      </c>
      <c r="B52" s="148"/>
      <c r="C52" s="148"/>
      <c r="D52" s="148"/>
      <c r="E52" s="148"/>
      <c r="F52" s="148"/>
      <c r="G52" s="148"/>
      <c r="H52" s="148"/>
      <c r="I52" s="148"/>
      <c r="J52" s="98" t="s">
        <v>2101</v>
      </c>
      <c r="K52" s="99" t="str">
        <f>_xlfn.XLOOKUP(L52,'99_マスタ'!$D$5:$D$18,'99_マスタ'!$C$5:$C$18,"")</f>
        <v>01_財務・業績指標</v>
      </c>
      <c r="L52" s="113" t="s">
        <v>2300</v>
      </c>
      <c r="M52" s="99" t="s">
        <v>2746</v>
      </c>
      <c r="N52" s="126" t="s">
        <v>1637</v>
      </c>
      <c r="O52" s="40" t="s">
        <v>2747</v>
      </c>
      <c r="P52" s="58" t="s">
        <v>2748</v>
      </c>
      <c r="Q52" s="40" t="s">
        <v>1645</v>
      </c>
      <c r="R52" s="41" t="s">
        <v>139</v>
      </c>
      <c r="S52" s="41" t="s">
        <v>139</v>
      </c>
      <c r="T52" s="41" t="s">
        <v>139</v>
      </c>
      <c r="U52" s="41" t="s">
        <v>2749</v>
      </c>
      <c r="V52" s="42" t="s">
        <v>139</v>
      </c>
      <c r="W52" s="43" t="s">
        <v>139</v>
      </c>
      <c r="X52" s="41" t="s">
        <v>139</v>
      </c>
      <c r="Y52" s="41" t="s">
        <v>139</v>
      </c>
      <c r="Z52" s="41" t="s">
        <v>2751</v>
      </c>
      <c r="AA52" s="41" t="s">
        <v>139</v>
      </c>
      <c r="AB52" s="44"/>
      <c r="AC52" s="45"/>
      <c r="AD52" s="45"/>
      <c r="AE52" s="46"/>
      <c r="AF52" s="45"/>
      <c r="AG52" s="45"/>
      <c r="AH52" s="45"/>
      <c r="AI52" s="3" t="s">
        <v>1583</v>
      </c>
    </row>
    <row r="53" spans="1:35" ht="67.5">
      <c r="A53" s="144">
        <f t="shared" si="0"/>
        <v>51</v>
      </c>
      <c r="B53" s="148"/>
      <c r="C53" s="148"/>
      <c r="D53" s="148"/>
      <c r="E53" s="148"/>
      <c r="F53" s="148"/>
      <c r="G53" s="148"/>
      <c r="H53" s="148"/>
      <c r="I53" s="148"/>
      <c r="J53" s="98" t="s">
        <v>2101</v>
      </c>
      <c r="K53" s="65" t="str">
        <f>_xlfn.XLOOKUP(L53,'99_マスタ'!$D$5:$D$18,'99_マスタ'!$C$5:$C$18,"")</f>
        <v>01_財務・業績指標</v>
      </c>
      <c r="L53" s="65" t="s">
        <v>2300</v>
      </c>
      <c r="M53" s="69" t="s">
        <v>2005</v>
      </c>
      <c r="N53" s="126" t="s">
        <v>1637</v>
      </c>
      <c r="O53" s="40" t="s">
        <v>2009</v>
      </c>
      <c r="P53" s="40" t="s">
        <v>2010</v>
      </c>
      <c r="Q53" s="40" t="s">
        <v>1645</v>
      </c>
      <c r="R53" s="41" t="s">
        <v>139</v>
      </c>
      <c r="S53" s="41" t="s">
        <v>139</v>
      </c>
      <c r="T53" s="41" t="s">
        <v>139</v>
      </c>
      <c r="U53" s="41" t="s">
        <v>139</v>
      </c>
      <c r="V53" s="42" t="s">
        <v>2011</v>
      </c>
      <c r="W53" s="43" t="s">
        <v>139</v>
      </c>
      <c r="X53" s="41" t="s">
        <v>139</v>
      </c>
      <c r="Y53" s="41" t="s">
        <v>139</v>
      </c>
      <c r="Z53" s="41" t="s">
        <v>139</v>
      </c>
      <c r="AA53" s="41" t="s">
        <v>1597</v>
      </c>
      <c r="AB53" s="44"/>
      <c r="AC53" s="45"/>
      <c r="AD53" s="45"/>
      <c r="AE53" s="46"/>
      <c r="AF53" s="45"/>
      <c r="AG53" s="45"/>
      <c r="AH53" s="45"/>
      <c r="AI53" s="3" t="s">
        <v>1583</v>
      </c>
    </row>
    <row r="54" spans="1:35">
      <c r="A54" s="144">
        <f t="shared" si="0"/>
        <v>52</v>
      </c>
      <c r="B54" s="148"/>
      <c r="C54" s="148"/>
      <c r="D54" s="148"/>
      <c r="E54" s="148"/>
      <c r="F54" s="148"/>
      <c r="G54" s="148"/>
      <c r="H54" s="148"/>
      <c r="I54" s="148"/>
      <c r="J54" s="98" t="s">
        <v>2101</v>
      </c>
      <c r="K54" s="65" t="str">
        <f>_xlfn.XLOOKUP(L54,'99_マスタ'!$D$5:$D$18,'99_マスタ'!$C$5:$C$18,"")</f>
        <v>01_財務・業績指標</v>
      </c>
      <c r="L54" s="65" t="s">
        <v>2300</v>
      </c>
      <c r="M54" s="69" t="s">
        <v>1972</v>
      </c>
      <c r="N54" s="126" t="s">
        <v>139</v>
      </c>
      <c r="O54" s="68" t="s">
        <v>1973</v>
      </c>
      <c r="P54" s="62" t="s">
        <v>1974</v>
      </c>
      <c r="Q54" s="40" t="s">
        <v>1666</v>
      </c>
      <c r="R54" s="41" t="s">
        <v>139</v>
      </c>
      <c r="S54" s="41" t="s">
        <v>139</v>
      </c>
      <c r="T54" s="41" t="s">
        <v>139</v>
      </c>
      <c r="U54" s="41" t="s">
        <v>139</v>
      </c>
      <c r="V54" s="42" t="s">
        <v>1969</v>
      </c>
      <c r="W54" s="43" t="s">
        <v>139</v>
      </c>
      <c r="X54" s="41" t="s">
        <v>139</v>
      </c>
      <c r="Y54" s="41" t="s">
        <v>139</v>
      </c>
      <c r="Z54" s="41" t="s">
        <v>139</v>
      </c>
      <c r="AA54" s="41" t="s">
        <v>1597</v>
      </c>
      <c r="AB54" s="44" t="s">
        <v>1975</v>
      </c>
      <c r="AC54" s="45"/>
      <c r="AD54" s="45"/>
      <c r="AE54" s="46"/>
      <c r="AF54" s="45"/>
      <c r="AG54" s="45"/>
      <c r="AH54" s="45"/>
      <c r="AI54" s="3" t="s">
        <v>1583</v>
      </c>
    </row>
    <row r="55" spans="1:35" ht="40.5">
      <c r="A55" s="144">
        <f t="shared" si="0"/>
        <v>53</v>
      </c>
      <c r="B55" s="148"/>
      <c r="C55" s="148"/>
      <c r="D55" s="148"/>
      <c r="E55" s="148"/>
      <c r="F55" s="148"/>
      <c r="G55" s="148"/>
      <c r="H55" s="148"/>
      <c r="I55" s="148"/>
      <c r="J55" s="103" t="s">
        <v>2101</v>
      </c>
      <c r="K55" s="100" t="str">
        <f>_xlfn.XLOOKUP(L55,'99_マスタ'!$D$5:$D$18,'99_マスタ'!$C$5:$C$18,"")</f>
        <v>01_財務・業績指標</v>
      </c>
      <c r="L55" s="100" t="s">
        <v>2300</v>
      </c>
      <c r="M55" s="100" t="s">
        <v>2732</v>
      </c>
      <c r="N55" s="126" t="s">
        <v>1637</v>
      </c>
      <c r="O55" s="40" t="s">
        <v>2734</v>
      </c>
      <c r="P55" s="40"/>
      <c r="Q55" s="40" t="s">
        <v>1645</v>
      </c>
      <c r="R55" s="41" t="s">
        <v>139</v>
      </c>
      <c r="S55" s="41" t="s">
        <v>2717</v>
      </c>
      <c r="T55" s="41" t="s">
        <v>139</v>
      </c>
      <c r="U55" s="41" t="s">
        <v>139</v>
      </c>
      <c r="V55" s="42" t="s">
        <v>139</v>
      </c>
      <c r="W55" s="43" t="s">
        <v>139</v>
      </c>
      <c r="X55" s="41" t="s">
        <v>2730</v>
      </c>
      <c r="Y55" s="41" t="s">
        <v>139</v>
      </c>
      <c r="Z55" s="41" t="s">
        <v>139</v>
      </c>
      <c r="AA55" s="41" t="s">
        <v>139</v>
      </c>
      <c r="AB55" s="44"/>
      <c r="AC55" s="45"/>
      <c r="AD55" s="45"/>
      <c r="AE55" s="46"/>
      <c r="AF55" s="45"/>
      <c r="AG55" s="45"/>
      <c r="AH55" s="45"/>
      <c r="AI55" s="3" t="s">
        <v>1583</v>
      </c>
    </row>
    <row r="56" spans="1:35" ht="27">
      <c r="A56" s="144">
        <f t="shared" si="0"/>
        <v>54</v>
      </c>
      <c r="B56" s="148"/>
      <c r="C56" s="148"/>
      <c r="D56" s="148"/>
      <c r="E56" s="148"/>
      <c r="F56" s="148"/>
      <c r="G56" s="148"/>
      <c r="H56" s="148"/>
      <c r="I56" s="148"/>
      <c r="J56" s="98" t="s">
        <v>2101</v>
      </c>
      <c r="K56" s="65" t="str">
        <f>_xlfn.XLOOKUP(L56,'99_マスタ'!$D$5:$D$18,'99_マスタ'!$C$5:$C$18,"")</f>
        <v>01_財務・業績指標</v>
      </c>
      <c r="L56" s="65" t="s">
        <v>2300</v>
      </c>
      <c r="M56" s="69" t="s">
        <v>1976</v>
      </c>
      <c r="N56" s="126" t="s">
        <v>139</v>
      </c>
      <c r="O56" s="68" t="s">
        <v>1990</v>
      </c>
      <c r="P56" s="62" t="s">
        <v>1992</v>
      </c>
      <c r="Q56" s="40" t="s">
        <v>1645</v>
      </c>
      <c r="R56" s="41" t="s">
        <v>139</v>
      </c>
      <c r="S56" s="41" t="s">
        <v>139</v>
      </c>
      <c r="T56" s="41" t="s">
        <v>139</v>
      </c>
      <c r="U56" s="41" t="s">
        <v>139</v>
      </c>
      <c r="V56" s="42" t="s">
        <v>1993</v>
      </c>
      <c r="W56" s="43" t="s">
        <v>139</v>
      </c>
      <c r="X56" s="41" t="s">
        <v>139</v>
      </c>
      <c r="Y56" s="41" t="s">
        <v>139</v>
      </c>
      <c r="Z56" s="41" t="s">
        <v>139</v>
      </c>
      <c r="AA56" s="41" t="s">
        <v>1597</v>
      </c>
      <c r="AB56" s="44"/>
      <c r="AC56" s="45"/>
      <c r="AD56" s="45"/>
      <c r="AE56" s="46"/>
      <c r="AF56" s="45"/>
      <c r="AG56" s="45"/>
      <c r="AH56" s="45"/>
      <c r="AI56" s="3" t="s">
        <v>1583</v>
      </c>
    </row>
    <row r="57" spans="1:35">
      <c r="A57" s="144">
        <f t="shared" si="0"/>
        <v>55</v>
      </c>
      <c r="B57" s="148"/>
      <c r="C57" s="148"/>
      <c r="D57" s="148"/>
      <c r="E57" s="148"/>
      <c r="F57" s="148"/>
      <c r="G57" s="148"/>
      <c r="H57" s="148"/>
      <c r="I57" s="148"/>
      <c r="J57" s="98" t="s">
        <v>2101</v>
      </c>
      <c r="K57" s="65" t="str">
        <f>_xlfn.XLOOKUP(L57,'99_マスタ'!$D$5:$D$18,'99_マスタ'!$C$5:$C$18,"")</f>
        <v>01_財務・業績指標</v>
      </c>
      <c r="L57" s="65" t="s">
        <v>2300</v>
      </c>
      <c r="M57" s="69" t="s">
        <v>1977</v>
      </c>
      <c r="N57" s="126" t="s">
        <v>139</v>
      </c>
      <c r="O57" s="40" t="s">
        <v>1978</v>
      </c>
      <c r="P57" s="40" t="s">
        <v>1991</v>
      </c>
      <c r="Q57" s="40" t="s">
        <v>1666</v>
      </c>
      <c r="R57" s="41" t="s">
        <v>139</v>
      </c>
      <c r="S57" s="41" t="s">
        <v>139</v>
      </c>
      <c r="T57" s="41" t="s">
        <v>139</v>
      </c>
      <c r="U57" s="41" t="s">
        <v>139</v>
      </c>
      <c r="V57" s="42" t="s">
        <v>1969</v>
      </c>
      <c r="W57" s="43" t="s">
        <v>139</v>
      </c>
      <c r="X57" s="41" t="s">
        <v>139</v>
      </c>
      <c r="Y57" s="41" t="s">
        <v>139</v>
      </c>
      <c r="Z57" s="41" t="s">
        <v>139</v>
      </c>
      <c r="AA57" s="41" t="s">
        <v>1597</v>
      </c>
      <c r="AB57" s="44" t="s">
        <v>1975</v>
      </c>
      <c r="AC57" s="45"/>
      <c r="AD57" s="45"/>
      <c r="AE57" s="46"/>
      <c r="AF57" s="45"/>
      <c r="AG57" s="45"/>
      <c r="AH57" s="45"/>
      <c r="AI57" s="3" t="s">
        <v>1583</v>
      </c>
    </row>
    <row r="58" spans="1:35" ht="27">
      <c r="A58" s="144">
        <f t="shared" si="0"/>
        <v>56</v>
      </c>
      <c r="B58" s="148"/>
      <c r="C58" s="148"/>
      <c r="D58" s="148"/>
      <c r="E58" s="148"/>
      <c r="F58" s="148"/>
      <c r="G58" s="148"/>
      <c r="H58" s="148"/>
      <c r="I58" s="148"/>
      <c r="J58" s="98" t="s">
        <v>2101</v>
      </c>
      <c r="K58" s="100" t="str">
        <f>_xlfn.XLOOKUP(L58,'99_マスタ'!$D$5:$D$18,'99_マスタ'!$C$5:$C$18,"")</f>
        <v>01_財務・業績指標</v>
      </c>
      <c r="L58" s="65" t="s">
        <v>2300</v>
      </c>
      <c r="M58" s="69" t="s">
        <v>2982</v>
      </c>
      <c r="N58" s="126" t="s">
        <v>139</v>
      </c>
      <c r="O58" s="62" t="s">
        <v>1995</v>
      </c>
      <c r="P58" s="62" t="s">
        <v>1996</v>
      </c>
      <c r="Q58" s="40" t="s">
        <v>1645</v>
      </c>
      <c r="R58" s="41" t="s">
        <v>139</v>
      </c>
      <c r="S58" s="41" t="s">
        <v>139</v>
      </c>
      <c r="T58" s="41" t="s">
        <v>139</v>
      </c>
      <c r="U58" s="41" t="s">
        <v>139</v>
      </c>
      <c r="V58" s="42" t="s">
        <v>1994</v>
      </c>
      <c r="W58" s="43" t="s">
        <v>139</v>
      </c>
      <c r="X58" s="41" t="s">
        <v>139</v>
      </c>
      <c r="Y58" s="41" t="s">
        <v>139</v>
      </c>
      <c r="Z58" s="41" t="s">
        <v>139</v>
      </c>
      <c r="AA58" s="41" t="s">
        <v>1597</v>
      </c>
      <c r="AB58" s="44" t="s">
        <v>1997</v>
      </c>
      <c r="AC58" s="45"/>
      <c r="AD58" s="45"/>
      <c r="AE58" s="46"/>
      <c r="AF58" s="45"/>
      <c r="AG58" s="45"/>
      <c r="AH58" s="45"/>
      <c r="AI58" s="3" t="s">
        <v>1583</v>
      </c>
    </row>
    <row r="59" spans="1:35" ht="27">
      <c r="A59" s="144">
        <f t="shared" si="0"/>
        <v>57</v>
      </c>
      <c r="B59" s="148"/>
      <c r="C59" s="148"/>
      <c r="D59" s="148"/>
      <c r="E59" s="148"/>
      <c r="F59" s="148"/>
      <c r="G59" s="148"/>
      <c r="H59" s="148"/>
      <c r="I59" s="148"/>
      <c r="J59" s="98" t="s">
        <v>2101</v>
      </c>
      <c r="K59" s="65" t="str">
        <f>_xlfn.XLOOKUP(L59,'99_マスタ'!$D$5:$D$18,'99_マスタ'!$C$5:$C$18,"")</f>
        <v>01_財務・業績指標</v>
      </c>
      <c r="L59" s="65" t="s">
        <v>2300</v>
      </c>
      <c r="M59" s="69" t="s">
        <v>2981</v>
      </c>
      <c r="N59" s="126" t="s">
        <v>139</v>
      </c>
      <c r="O59" s="62" t="s">
        <v>1966</v>
      </c>
      <c r="P59" s="62" t="s">
        <v>1968</v>
      </c>
      <c r="Q59" s="40" t="s">
        <v>1666</v>
      </c>
      <c r="R59" s="41" t="s">
        <v>139</v>
      </c>
      <c r="S59" s="41" t="s">
        <v>139</v>
      </c>
      <c r="T59" s="41" t="s">
        <v>139</v>
      </c>
      <c r="U59" s="41" t="s">
        <v>139</v>
      </c>
      <c r="V59" s="42" t="s">
        <v>1969</v>
      </c>
      <c r="W59" s="43" t="s">
        <v>139</v>
      </c>
      <c r="X59" s="41" t="s">
        <v>139</v>
      </c>
      <c r="Y59" s="41" t="s">
        <v>139</v>
      </c>
      <c r="Z59" s="41" t="s">
        <v>139</v>
      </c>
      <c r="AA59" s="41" t="s">
        <v>1597</v>
      </c>
      <c r="AB59" s="44" t="s">
        <v>1971</v>
      </c>
      <c r="AC59" s="45"/>
      <c r="AD59" s="45"/>
      <c r="AE59" s="46"/>
      <c r="AF59" s="45"/>
      <c r="AG59" s="45"/>
      <c r="AH59" s="45"/>
      <c r="AI59" s="3" t="s">
        <v>1583</v>
      </c>
    </row>
    <row r="60" spans="1:35">
      <c r="A60" s="144">
        <f t="shared" ref="A60:A123" si="1">ROW()-2</f>
        <v>58</v>
      </c>
      <c r="B60" s="148"/>
      <c r="C60" s="148"/>
      <c r="D60" s="148"/>
      <c r="E60" s="148"/>
      <c r="F60" s="148"/>
      <c r="G60" s="148"/>
      <c r="H60" s="148"/>
      <c r="I60" s="148"/>
      <c r="J60" s="98" t="s">
        <v>2101</v>
      </c>
      <c r="K60" s="100" t="str">
        <f>_xlfn.XLOOKUP(L60,'99_マスタ'!$D$5:$D$18,'99_マスタ'!$C$5:$C$18,"")</f>
        <v>01_財務・業績指標</v>
      </c>
      <c r="L60" s="65" t="s">
        <v>2300</v>
      </c>
      <c r="M60" s="69" t="s">
        <v>2980</v>
      </c>
      <c r="N60" s="126" t="s">
        <v>139</v>
      </c>
      <c r="O60" s="62" t="s">
        <v>1664</v>
      </c>
      <c r="P60" s="62" t="s">
        <v>1967</v>
      </c>
      <c r="Q60" s="40" t="s">
        <v>1666</v>
      </c>
      <c r="R60" s="41" t="s">
        <v>139</v>
      </c>
      <c r="S60" s="41" t="s">
        <v>139</v>
      </c>
      <c r="T60" s="41" t="s">
        <v>139</v>
      </c>
      <c r="U60" s="41" t="s">
        <v>139</v>
      </c>
      <c r="V60" s="42" t="s">
        <v>1600</v>
      </c>
      <c r="W60" s="43" t="s">
        <v>139</v>
      </c>
      <c r="X60" s="41" t="s">
        <v>139</v>
      </c>
      <c r="Y60" s="41" t="s">
        <v>139</v>
      </c>
      <c r="Z60" s="41" t="s">
        <v>139</v>
      </c>
      <c r="AA60" s="41" t="s">
        <v>1600</v>
      </c>
      <c r="AB60" s="44" t="s">
        <v>1970</v>
      </c>
      <c r="AC60" s="45"/>
      <c r="AD60" s="45"/>
      <c r="AE60" s="46"/>
      <c r="AF60" s="45"/>
      <c r="AG60" s="45"/>
      <c r="AH60" s="45"/>
      <c r="AI60" s="3" t="s">
        <v>1583</v>
      </c>
    </row>
    <row r="61" spans="1:35">
      <c r="A61" s="144">
        <f t="shared" si="1"/>
        <v>59</v>
      </c>
      <c r="B61" s="148"/>
      <c r="C61" s="148"/>
      <c r="D61" s="148"/>
      <c r="E61" s="148"/>
      <c r="F61" s="148"/>
      <c r="G61" s="148"/>
      <c r="H61" s="148"/>
      <c r="I61" s="148"/>
      <c r="J61" s="98" t="s">
        <v>2101</v>
      </c>
      <c r="K61" s="100" t="str">
        <f>_xlfn.XLOOKUP(L61,'99_マスタ'!$D$5:$D$18,'99_マスタ'!$C$5:$C$18,"")</f>
        <v>01_財務・業績指標</v>
      </c>
      <c r="L61" s="65" t="s">
        <v>2300</v>
      </c>
      <c r="M61" s="69" t="s">
        <v>1667</v>
      </c>
      <c r="N61" s="126" t="s">
        <v>139</v>
      </c>
      <c r="O61" s="40" t="s">
        <v>1670</v>
      </c>
      <c r="P61" s="63"/>
      <c r="Q61" s="40" t="s">
        <v>1645</v>
      </c>
      <c r="R61" s="41" t="s">
        <v>139</v>
      </c>
      <c r="S61" s="41" t="s">
        <v>139</v>
      </c>
      <c r="T61" s="41" t="s">
        <v>139</v>
      </c>
      <c r="U61" s="41" t="s">
        <v>139</v>
      </c>
      <c r="V61" s="42" t="s">
        <v>302</v>
      </c>
      <c r="W61" s="43" t="s">
        <v>139</v>
      </c>
      <c r="X61" s="41" t="s">
        <v>139</v>
      </c>
      <c r="Y61" s="41" t="s">
        <v>139</v>
      </c>
      <c r="Z61" s="41" t="s">
        <v>139</v>
      </c>
      <c r="AA61" s="41" t="s">
        <v>302</v>
      </c>
      <c r="AB61" s="44" t="s">
        <v>1668</v>
      </c>
      <c r="AC61" s="45"/>
      <c r="AD61" s="45"/>
      <c r="AE61" s="46"/>
      <c r="AF61" s="45"/>
      <c r="AG61" s="45"/>
      <c r="AH61" s="45"/>
      <c r="AI61" s="3" t="s">
        <v>1583</v>
      </c>
    </row>
    <row r="62" spans="1:35" ht="40.5">
      <c r="A62" s="144">
        <f t="shared" si="1"/>
        <v>60</v>
      </c>
      <c r="B62" s="148"/>
      <c r="C62" s="148"/>
      <c r="D62" s="148"/>
      <c r="E62" s="148"/>
      <c r="F62" s="148"/>
      <c r="G62" s="148"/>
      <c r="H62" s="148"/>
      <c r="I62" s="148"/>
      <c r="J62" s="103" t="s">
        <v>2101</v>
      </c>
      <c r="K62" s="100" t="str">
        <f>_xlfn.XLOOKUP(L62,'99_マスタ'!$D$5:$D$18,'99_マスタ'!$C$5:$C$18,"")</f>
        <v>01_財務・業績指標</v>
      </c>
      <c r="L62" s="100" t="s">
        <v>2300</v>
      </c>
      <c r="M62" s="100" t="s">
        <v>2733</v>
      </c>
      <c r="N62" s="126" t="s">
        <v>1637</v>
      </c>
      <c r="O62" s="40" t="s">
        <v>2735</v>
      </c>
      <c r="P62" s="40"/>
      <c r="Q62" s="40" t="s">
        <v>1645</v>
      </c>
      <c r="R62" s="41" t="s">
        <v>139</v>
      </c>
      <c r="S62" s="41" t="s">
        <v>2717</v>
      </c>
      <c r="T62" s="41" t="s">
        <v>139</v>
      </c>
      <c r="U62" s="41" t="s">
        <v>139</v>
      </c>
      <c r="V62" s="42" t="s">
        <v>139</v>
      </c>
      <c r="W62" s="43" t="s">
        <v>139</v>
      </c>
      <c r="X62" s="41" t="s">
        <v>2730</v>
      </c>
      <c r="Y62" s="41" t="s">
        <v>139</v>
      </c>
      <c r="Z62" s="41" t="s">
        <v>139</v>
      </c>
      <c r="AA62" s="41" t="s">
        <v>139</v>
      </c>
      <c r="AB62" s="44"/>
      <c r="AC62" s="45"/>
      <c r="AD62" s="45"/>
      <c r="AE62" s="46"/>
      <c r="AF62" s="45"/>
      <c r="AG62" s="45"/>
      <c r="AH62" s="45"/>
      <c r="AI62" s="3" t="s">
        <v>1583</v>
      </c>
    </row>
    <row r="63" spans="1:35" ht="54">
      <c r="A63" s="144">
        <f t="shared" si="1"/>
        <v>61</v>
      </c>
      <c r="B63" s="148"/>
      <c r="C63" s="148"/>
      <c r="D63" s="148"/>
      <c r="E63" s="148"/>
      <c r="F63" s="148"/>
      <c r="G63" s="148"/>
      <c r="H63" s="148"/>
      <c r="I63" s="148"/>
      <c r="J63" s="98" t="s">
        <v>2101</v>
      </c>
      <c r="K63" s="100" t="str">
        <f>_xlfn.XLOOKUP(L63,'99_マスタ'!$D$5:$D$18,'99_マスタ'!$C$5:$C$18,"")</f>
        <v>01_財務・業績指標</v>
      </c>
      <c r="L63" s="100" t="s">
        <v>2300</v>
      </c>
      <c r="M63" s="100" t="s">
        <v>1987</v>
      </c>
      <c r="N63" s="126" t="s">
        <v>1637</v>
      </c>
      <c r="O63" s="40" t="s">
        <v>1988</v>
      </c>
      <c r="P63" s="40" t="s">
        <v>1989</v>
      </c>
      <c r="Q63" s="40" t="s">
        <v>1645</v>
      </c>
      <c r="R63" s="41" t="s">
        <v>139</v>
      </c>
      <c r="S63" s="41" t="s">
        <v>139</v>
      </c>
      <c r="T63" s="41" t="s">
        <v>139</v>
      </c>
      <c r="U63" s="41" t="s">
        <v>139</v>
      </c>
      <c r="V63" s="42" t="s">
        <v>1984</v>
      </c>
      <c r="W63" s="43" t="s">
        <v>139</v>
      </c>
      <c r="X63" s="41" t="s">
        <v>139</v>
      </c>
      <c r="Y63" s="41" t="s">
        <v>139</v>
      </c>
      <c r="Z63" s="41" t="s">
        <v>139</v>
      </c>
      <c r="AA63" s="41" t="s">
        <v>1912</v>
      </c>
      <c r="AB63" s="44"/>
      <c r="AC63" s="45"/>
      <c r="AD63" s="45"/>
      <c r="AE63" s="46"/>
      <c r="AF63" s="45"/>
      <c r="AG63" s="45"/>
      <c r="AH63" s="45"/>
      <c r="AI63" s="3" t="s">
        <v>1583</v>
      </c>
    </row>
    <row r="64" spans="1:35" ht="27">
      <c r="A64" s="144">
        <f t="shared" si="1"/>
        <v>62</v>
      </c>
      <c r="B64" s="148"/>
      <c r="C64" s="148"/>
      <c r="D64" s="148"/>
      <c r="E64" s="148"/>
      <c r="F64" s="148"/>
      <c r="G64" s="148"/>
      <c r="H64" s="148"/>
      <c r="I64" s="148"/>
      <c r="J64" s="98" t="s">
        <v>2101</v>
      </c>
      <c r="K64" s="100" t="str">
        <f>_xlfn.XLOOKUP(L64,'99_マスタ'!$D$5:$D$18,'99_マスタ'!$C$5:$C$18,"")</f>
        <v>01_財務・業績指標</v>
      </c>
      <c r="L64" s="100" t="s">
        <v>2300</v>
      </c>
      <c r="M64" s="100" t="s">
        <v>1983</v>
      </c>
      <c r="N64" s="126" t="s">
        <v>1637</v>
      </c>
      <c r="O64" s="40" t="s">
        <v>1963</v>
      </c>
      <c r="P64" s="40" t="s">
        <v>1964</v>
      </c>
      <c r="Q64" s="40" t="s">
        <v>1666</v>
      </c>
      <c r="R64" s="41" t="s">
        <v>139</v>
      </c>
      <c r="S64" s="41" t="s">
        <v>139</v>
      </c>
      <c r="T64" s="41" t="s">
        <v>139</v>
      </c>
      <c r="U64" s="41" t="s">
        <v>139</v>
      </c>
      <c r="V64" s="42" t="s">
        <v>1932</v>
      </c>
      <c r="W64" s="43" t="s">
        <v>139</v>
      </c>
      <c r="X64" s="41" t="s">
        <v>139</v>
      </c>
      <c r="Y64" s="41" t="s">
        <v>139</v>
      </c>
      <c r="Z64" s="41" t="s">
        <v>139</v>
      </c>
      <c r="AA64" s="41" t="s">
        <v>1912</v>
      </c>
      <c r="AB64" s="44"/>
      <c r="AC64" s="45"/>
      <c r="AD64" s="45"/>
      <c r="AE64" s="46"/>
      <c r="AF64" s="45"/>
      <c r="AG64" s="45"/>
      <c r="AH64" s="45"/>
      <c r="AI64" s="3" t="s">
        <v>1583</v>
      </c>
    </row>
    <row r="65" spans="1:35" ht="27">
      <c r="A65" s="144">
        <f t="shared" si="1"/>
        <v>63</v>
      </c>
      <c r="B65" s="148"/>
      <c r="C65" s="148"/>
      <c r="D65" s="148"/>
      <c r="E65" s="148"/>
      <c r="F65" s="148"/>
      <c r="G65" s="148"/>
      <c r="H65" s="148"/>
      <c r="I65" s="148"/>
      <c r="J65" s="98" t="s">
        <v>2101</v>
      </c>
      <c r="K65" s="101" t="str">
        <f>_xlfn.XLOOKUP(L65,'99_マスタ'!$D$5:$D$18,'99_マスタ'!$C$5:$C$18,"")</f>
        <v>01_財務・業績指標</v>
      </c>
      <c r="L65" s="64" t="s">
        <v>2300</v>
      </c>
      <c r="M65" s="64" t="s">
        <v>246</v>
      </c>
      <c r="N65" s="54" t="s">
        <v>2916</v>
      </c>
      <c r="O65" s="41" t="s">
        <v>247</v>
      </c>
      <c r="P65" s="41" t="s">
        <v>248</v>
      </c>
      <c r="Q65" s="41" t="s">
        <v>192</v>
      </c>
      <c r="R65" s="41" t="s">
        <v>249</v>
      </c>
      <c r="S65" s="41" t="s">
        <v>139</v>
      </c>
      <c r="T65" s="41" t="s">
        <v>139</v>
      </c>
      <c r="U65" s="41" t="s">
        <v>139</v>
      </c>
      <c r="V65" s="42" t="s">
        <v>139</v>
      </c>
      <c r="W65" s="53" t="s">
        <v>250</v>
      </c>
      <c r="X65" s="54" t="s">
        <v>139</v>
      </c>
      <c r="Y65" s="54" t="s">
        <v>139</v>
      </c>
      <c r="Z65" s="54" t="s">
        <v>139</v>
      </c>
      <c r="AA65" s="54" t="s">
        <v>139</v>
      </c>
      <c r="AB65" s="55"/>
      <c r="AC65" s="56"/>
      <c r="AD65" s="56"/>
      <c r="AE65" s="57"/>
      <c r="AF65" s="56"/>
      <c r="AG65" s="56"/>
      <c r="AH65" s="56"/>
      <c r="AI65" s="3" t="s">
        <v>1583</v>
      </c>
    </row>
    <row r="66" spans="1:35" ht="54">
      <c r="A66" s="144">
        <f t="shared" si="1"/>
        <v>64</v>
      </c>
      <c r="B66" s="148"/>
      <c r="C66" s="148"/>
      <c r="D66" s="148"/>
      <c r="E66" s="148"/>
      <c r="F66" s="148"/>
      <c r="G66" s="148"/>
      <c r="H66" s="148"/>
      <c r="I66" s="148"/>
      <c r="J66" s="98" t="s">
        <v>2101</v>
      </c>
      <c r="K66" s="100" t="str">
        <f>_xlfn.XLOOKUP(L66,'99_マスタ'!$D$5:$D$18,'99_マスタ'!$C$5:$C$18,"")</f>
        <v>01_財務・業績指標</v>
      </c>
      <c r="L66" s="100" t="s">
        <v>2300</v>
      </c>
      <c r="M66" s="100" t="s">
        <v>2919</v>
      </c>
      <c r="N66" s="126" t="s">
        <v>1637</v>
      </c>
      <c r="O66" s="40" t="s">
        <v>2918</v>
      </c>
      <c r="P66" s="62"/>
      <c r="Q66" s="40" t="s">
        <v>1645</v>
      </c>
      <c r="R66" s="41" t="s">
        <v>2920</v>
      </c>
      <c r="S66" s="41" t="s">
        <v>139</v>
      </c>
      <c r="T66" s="41" t="s">
        <v>139</v>
      </c>
      <c r="U66" s="41" t="s">
        <v>139</v>
      </c>
      <c r="V66" s="42" t="s">
        <v>139</v>
      </c>
      <c r="W66" s="43" t="s">
        <v>117</v>
      </c>
      <c r="X66" s="41" t="s">
        <v>139</v>
      </c>
      <c r="Y66" s="41" t="s">
        <v>139</v>
      </c>
      <c r="Z66" s="41" t="s">
        <v>139</v>
      </c>
      <c r="AA66" s="41" t="s">
        <v>139</v>
      </c>
      <c r="AB66" s="44"/>
      <c r="AC66" s="45"/>
      <c r="AD66" s="45"/>
      <c r="AE66" s="46"/>
      <c r="AF66" s="45"/>
      <c r="AG66" s="45"/>
      <c r="AH66" s="45"/>
      <c r="AI66" s="3" t="s">
        <v>1583</v>
      </c>
    </row>
    <row r="67" spans="1:35">
      <c r="A67" s="144">
        <f t="shared" si="1"/>
        <v>65</v>
      </c>
      <c r="B67" s="148"/>
      <c r="C67" s="148"/>
      <c r="D67" s="148"/>
      <c r="E67" s="148"/>
      <c r="F67" s="148"/>
      <c r="G67" s="148"/>
      <c r="H67" s="148"/>
      <c r="I67" s="148"/>
      <c r="J67" s="98" t="s">
        <v>2101</v>
      </c>
      <c r="K67" s="101" t="str">
        <f>_xlfn.XLOOKUP(L67,'99_マスタ'!$D$5:$D$18,'99_マスタ'!$C$5:$C$18,"")</f>
        <v>01_財務・業績指標</v>
      </c>
      <c r="L67" s="64" t="s">
        <v>2300</v>
      </c>
      <c r="M67" s="64" t="s">
        <v>272</v>
      </c>
      <c r="N67" s="54" t="s">
        <v>139</v>
      </c>
      <c r="O67" s="41" t="s">
        <v>273</v>
      </c>
      <c r="P67" s="41" t="s">
        <v>274</v>
      </c>
      <c r="Q67" s="41" t="s">
        <v>192</v>
      </c>
      <c r="R67" s="41" t="s">
        <v>275</v>
      </c>
      <c r="S67" s="41" t="s">
        <v>139</v>
      </c>
      <c r="T67" s="41" t="s">
        <v>139</v>
      </c>
      <c r="U67" s="41" t="s">
        <v>139</v>
      </c>
      <c r="V67" s="42" t="s">
        <v>139</v>
      </c>
      <c r="W67" s="53" t="s">
        <v>218</v>
      </c>
      <c r="X67" s="54" t="s">
        <v>139</v>
      </c>
      <c r="Y67" s="54" t="s">
        <v>139</v>
      </c>
      <c r="Z67" s="54" t="s">
        <v>139</v>
      </c>
      <c r="AA67" s="54" t="s">
        <v>139</v>
      </c>
      <c r="AB67" s="55"/>
      <c r="AC67" s="56"/>
      <c r="AD67" s="56"/>
      <c r="AE67" s="57"/>
      <c r="AF67" s="56"/>
      <c r="AG67" s="56"/>
      <c r="AH67" s="56"/>
      <c r="AI67" s="3" t="s">
        <v>1583</v>
      </c>
    </row>
    <row r="68" spans="1:35" ht="27">
      <c r="A68" s="144">
        <f t="shared" si="1"/>
        <v>66</v>
      </c>
      <c r="B68" s="148"/>
      <c r="C68" s="148"/>
      <c r="D68" s="148"/>
      <c r="E68" s="148"/>
      <c r="F68" s="148"/>
      <c r="G68" s="148"/>
      <c r="H68" s="148"/>
      <c r="I68" s="148"/>
      <c r="J68" s="98" t="s">
        <v>2101</v>
      </c>
      <c r="K68" s="101" t="str">
        <f>_xlfn.XLOOKUP(L68,'99_マスタ'!$D$5:$D$18,'99_マスタ'!$C$5:$C$18,"")</f>
        <v>01_財務・業績指標</v>
      </c>
      <c r="L68" s="71" t="s">
        <v>2300</v>
      </c>
      <c r="M68" s="71" t="s">
        <v>172</v>
      </c>
      <c r="N68" s="54" t="s">
        <v>139</v>
      </c>
      <c r="O68" s="41" t="s">
        <v>173</v>
      </c>
      <c r="P68" s="41" t="s">
        <v>174</v>
      </c>
      <c r="Q68" s="41" t="s">
        <v>192</v>
      </c>
      <c r="R68" s="41" t="s">
        <v>175</v>
      </c>
      <c r="S68" s="41" t="s">
        <v>139</v>
      </c>
      <c r="T68" s="41" t="s">
        <v>139</v>
      </c>
      <c r="U68" s="41" t="s">
        <v>139</v>
      </c>
      <c r="V68" s="42" t="s">
        <v>139</v>
      </c>
      <c r="W68" s="53" t="s">
        <v>133</v>
      </c>
      <c r="X68" s="54" t="s">
        <v>139</v>
      </c>
      <c r="Y68" s="54" t="s">
        <v>139</v>
      </c>
      <c r="Z68" s="54" t="s">
        <v>139</v>
      </c>
      <c r="AA68" s="54" t="s">
        <v>139</v>
      </c>
      <c r="AB68" s="55"/>
      <c r="AC68" s="56"/>
      <c r="AD68" s="56"/>
      <c r="AE68" s="57"/>
      <c r="AF68" s="56"/>
      <c r="AG68" s="56"/>
      <c r="AH68" s="56"/>
      <c r="AI68" s="3" t="s">
        <v>1583</v>
      </c>
    </row>
    <row r="69" spans="1:35" ht="27">
      <c r="A69" s="144">
        <f t="shared" si="1"/>
        <v>67</v>
      </c>
      <c r="B69" s="148"/>
      <c r="C69" s="148"/>
      <c r="D69" s="148"/>
      <c r="E69" s="148"/>
      <c r="F69" s="148"/>
      <c r="G69" s="148"/>
      <c r="H69" s="148"/>
      <c r="I69" s="148"/>
      <c r="J69" s="98" t="s">
        <v>2101</v>
      </c>
      <c r="K69" s="101" t="str">
        <f>_xlfn.XLOOKUP(L69,'99_マスタ'!$D$5:$D$18,'99_マスタ'!$C$5:$C$18,"")</f>
        <v>01_財務・業績指標</v>
      </c>
      <c r="L69" s="71" t="s">
        <v>2300</v>
      </c>
      <c r="M69" s="71" t="s">
        <v>176</v>
      </c>
      <c r="N69" s="54" t="s">
        <v>139</v>
      </c>
      <c r="O69" s="41" t="s">
        <v>177</v>
      </c>
      <c r="P69" s="41" t="s">
        <v>178</v>
      </c>
      <c r="Q69" s="41" t="s">
        <v>192</v>
      </c>
      <c r="R69" s="41" t="s">
        <v>175</v>
      </c>
      <c r="S69" s="41" t="s">
        <v>139</v>
      </c>
      <c r="T69" s="41" t="s">
        <v>139</v>
      </c>
      <c r="U69" s="41" t="s">
        <v>139</v>
      </c>
      <c r="V69" s="42" t="s">
        <v>139</v>
      </c>
      <c r="W69" s="53" t="s">
        <v>133</v>
      </c>
      <c r="X69" s="54" t="s">
        <v>139</v>
      </c>
      <c r="Y69" s="54" t="s">
        <v>139</v>
      </c>
      <c r="Z69" s="54" t="s">
        <v>139</v>
      </c>
      <c r="AA69" s="54" t="s">
        <v>139</v>
      </c>
      <c r="AB69" s="55"/>
      <c r="AC69" s="56"/>
      <c r="AD69" s="56"/>
      <c r="AE69" s="57"/>
      <c r="AF69" s="56"/>
      <c r="AG69" s="56"/>
      <c r="AH69" s="56"/>
      <c r="AI69" s="3" t="s">
        <v>1583</v>
      </c>
    </row>
    <row r="70" spans="1:35" ht="27">
      <c r="A70" s="144">
        <f t="shared" si="1"/>
        <v>68</v>
      </c>
      <c r="B70" s="148"/>
      <c r="C70" s="148"/>
      <c r="D70" s="148"/>
      <c r="E70" s="148"/>
      <c r="F70" s="148"/>
      <c r="G70" s="148"/>
      <c r="H70" s="148"/>
      <c r="I70" s="148"/>
      <c r="J70" s="98" t="s">
        <v>2101</v>
      </c>
      <c r="K70" s="100" t="str">
        <f>_xlfn.XLOOKUP(L70,'99_マスタ'!$D$5:$D$18,'99_マスタ'!$C$5:$C$18,"")</f>
        <v>01_財務・業績指標</v>
      </c>
      <c r="L70" s="100" t="s">
        <v>2300</v>
      </c>
      <c r="M70" s="100" t="s">
        <v>1018</v>
      </c>
      <c r="N70" s="126" t="s">
        <v>139</v>
      </c>
      <c r="O70" s="40" t="s">
        <v>1019</v>
      </c>
      <c r="P70" s="40" t="s">
        <v>1020</v>
      </c>
      <c r="Q70" s="40" t="s">
        <v>192</v>
      </c>
      <c r="R70" s="41" t="s">
        <v>139</v>
      </c>
      <c r="S70" s="41" t="s">
        <v>139</v>
      </c>
      <c r="T70" s="41" t="s">
        <v>139</v>
      </c>
      <c r="U70" s="41" t="s">
        <v>139</v>
      </c>
      <c r="V70" s="42" t="s">
        <v>1015</v>
      </c>
      <c r="W70" s="43" t="s">
        <v>139</v>
      </c>
      <c r="X70" s="41" t="s">
        <v>139</v>
      </c>
      <c r="Y70" s="41" t="s">
        <v>139</v>
      </c>
      <c r="Z70" s="41" t="s">
        <v>139</v>
      </c>
      <c r="AA70" s="41" t="s">
        <v>1017</v>
      </c>
      <c r="AB70" s="44"/>
      <c r="AC70" s="45"/>
      <c r="AD70" s="45"/>
      <c r="AE70" s="46"/>
      <c r="AF70" s="45"/>
      <c r="AG70" s="45"/>
      <c r="AH70" s="45"/>
      <c r="AI70" s="3" t="s">
        <v>1583</v>
      </c>
    </row>
    <row r="71" spans="1:35" ht="27">
      <c r="A71" s="144">
        <f t="shared" si="1"/>
        <v>69</v>
      </c>
      <c r="B71" s="148"/>
      <c r="C71" s="148"/>
      <c r="D71" s="148"/>
      <c r="E71" s="148"/>
      <c r="F71" s="148"/>
      <c r="G71" s="148"/>
      <c r="H71" s="148"/>
      <c r="I71" s="148"/>
      <c r="J71" s="98" t="s">
        <v>2101</v>
      </c>
      <c r="K71" s="101" t="str">
        <f>_xlfn.XLOOKUP(L71,'99_マスタ'!$D$5:$D$18,'99_マスタ'!$C$5:$C$18,"")</f>
        <v>01_財務・業績指標</v>
      </c>
      <c r="L71" s="64" t="s">
        <v>2300</v>
      </c>
      <c r="M71" s="64" t="s">
        <v>3069</v>
      </c>
      <c r="N71" s="54" t="s">
        <v>3070</v>
      </c>
      <c r="O71" s="41" t="s">
        <v>251</v>
      </c>
      <c r="P71" s="70" t="s">
        <v>252</v>
      </c>
      <c r="Q71" s="41" t="s">
        <v>266</v>
      </c>
      <c r="R71" s="41" t="s">
        <v>253</v>
      </c>
      <c r="S71" s="41" t="s">
        <v>139</v>
      </c>
      <c r="T71" s="41" t="s">
        <v>139</v>
      </c>
      <c r="U71" s="41" t="s">
        <v>139</v>
      </c>
      <c r="V71" s="42" t="s">
        <v>139</v>
      </c>
      <c r="W71" s="53" t="s">
        <v>213</v>
      </c>
      <c r="X71" s="54" t="s">
        <v>139</v>
      </c>
      <c r="Y71" s="54" t="s">
        <v>139</v>
      </c>
      <c r="Z71" s="54" t="s">
        <v>139</v>
      </c>
      <c r="AA71" s="54" t="s">
        <v>139</v>
      </c>
      <c r="AB71" s="55"/>
      <c r="AC71" s="56"/>
      <c r="AD71" s="56"/>
      <c r="AE71" s="57"/>
      <c r="AF71" s="56"/>
      <c r="AG71" s="56"/>
      <c r="AH71" s="56"/>
      <c r="AI71" s="3" t="s">
        <v>1583</v>
      </c>
    </row>
    <row r="72" spans="1:35" ht="27">
      <c r="A72" s="144">
        <f t="shared" si="1"/>
        <v>70</v>
      </c>
      <c r="B72" s="148"/>
      <c r="C72" s="148"/>
      <c r="D72" s="148"/>
      <c r="E72" s="148"/>
      <c r="F72" s="148"/>
      <c r="G72" s="148"/>
      <c r="H72" s="148"/>
      <c r="I72" s="148"/>
      <c r="J72" s="98" t="s">
        <v>2101</v>
      </c>
      <c r="K72" s="101" t="str">
        <f>_xlfn.XLOOKUP(L72,'99_マスタ'!$D$5:$D$18,'99_マスタ'!$C$5:$C$18,"")</f>
        <v>01_財務・業績指標</v>
      </c>
      <c r="L72" s="64" t="s">
        <v>2300</v>
      </c>
      <c r="M72" s="64" t="s">
        <v>260</v>
      </c>
      <c r="N72" s="54" t="s">
        <v>139</v>
      </c>
      <c r="O72" s="41" t="s">
        <v>261</v>
      </c>
      <c r="P72" s="41" t="s">
        <v>262</v>
      </c>
      <c r="Q72" s="41" t="s">
        <v>161</v>
      </c>
      <c r="R72" s="41" t="s">
        <v>256</v>
      </c>
      <c r="S72" s="41" t="s">
        <v>139</v>
      </c>
      <c r="T72" s="41" t="s">
        <v>139</v>
      </c>
      <c r="U72" s="41" t="s">
        <v>139</v>
      </c>
      <c r="V72" s="42" t="s">
        <v>139</v>
      </c>
      <c r="W72" s="53" t="s">
        <v>218</v>
      </c>
      <c r="X72" s="54" t="s">
        <v>139</v>
      </c>
      <c r="Y72" s="54" t="s">
        <v>139</v>
      </c>
      <c r="Z72" s="54" t="s">
        <v>139</v>
      </c>
      <c r="AA72" s="54" t="s">
        <v>139</v>
      </c>
      <c r="AB72" s="55"/>
      <c r="AC72" s="56"/>
      <c r="AD72" s="56"/>
      <c r="AE72" s="57"/>
      <c r="AF72" s="56"/>
      <c r="AG72" s="56"/>
      <c r="AH72" s="56"/>
      <c r="AI72" s="3" t="s">
        <v>1583</v>
      </c>
    </row>
    <row r="73" spans="1:35" ht="27">
      <c r="A73" s="144">
        <f t="shared" si="1"/>
        <v>71</v>
      </c>
      <c r="B73" s="148"/>
      <c r="C73" s="148"/>
      <c r="D73" s="148"/>
      <c r="E73" s="148"/>
      <c r="F73" s="148"/>
      <c r="G73" s="148"/>
      <c r="H73" s="148"/>
      <c r="I73" s="148"/>
      <c r="J73" s="98" t="s">
        <v>2101</v>
      </c>
      <c r="K73" s="101" t="str">
        <f>_xlfn.XLOOKUP(L73,'99_マスタ'!$D$5:$D$18,'99_マスタ'!$C$5:$C$18,"")</f>
        <v>01_財務・業績指標</v>
      </c>
      <c r="L73" s="64" t="s">
        <v>2300</v>
      </c>
      <c r="M73" s="64" t="s">
        <v>257</v>
      </c>
      <c r="N73" s="54" t="s">
        <v>139</v>
      </c>
      <c r="O73" s="41" t="s">
        <v>258</v>
      </c>
      <c r="P73" s="41" t="s">
        <v>259</v>
      </c>
      <c r="Q73" s="41" t="s">
        <v>161</v>
      </c>
      <c r="R73" s="41" t="s">
        <v>256</v>
      </c>
      <c r="S73" s="41" t="s">
        <v>139</v>
      </c>
      <c r="T73" s="41" t="s">
        <v>139</v>
      </c>
      <c r="U73" s="41" t="s">
        <v>139</v>
      </c>
      <c r="V73" s="42" t="s">
        <v>139</v>
      </c>
      <c r="W73" s="53" t="s">
        <v>218</v>
      </c>
      <c r="X73" s="54" t="s">
        <v>139</v>
      </c>
      <c r="Y73" s="54" t="s">
        <v>139</v>
      </c>
      <c r="Z73" s="54" t="s">
        <v>139</v>
      </c>
      <c r="AA73" s="54" t="s">
        <v>139</v>
      </c>
      <c r="AB73" s="55"/>
      <c r="AC73" s="56"/>
      <c r="AD73" s="56"/>
      <c r="AE73" s="57"/>
      <c r="AF73" s="56"/>
      <c r="AG73" s="56"/>
      <c r="AH73" s="56"/>
      <c r="AI73" s="3" t="s">
        <v>1583</v>
      </c>
    </row>
    <row r="74" spans="1:35" ht="27">
      <c r="A74" s="144">
        <f t="shared" si="1"/>
        <v>72</v>
      </c>
      <c r="B74" s="148"/>
      <c r="C74" s="148"/>
      <c r="D74" s="148"/>
      <c r="E74" s="148"/>
      <c r="F74" s="148"/>
      <c r="G74" s="148"/>
      <c r="H74" s="148"/>
      <c r="I74" s="148"/>
      <c r="J74" s="98" t="s">
        <v>2101</v>
      </c>
      <c r="K74" s="101" t="str">
        <f>_xlfn.XLOOKUP(L74,'99_マスタ'!$D$5:$D$18,'99_マスタ'!$C$5:$C$18,"")</f>
        <v>01_財務・業績指標</v>
      </c>
      <c r="L74" s="64" t="s">
        <v>2300</v>
      </c>
      <c r="M74" s="113" t="s">
        <v>1146</v>
      </c>
      <c r="N74" s="126" t="s">
        <v>139</v>
      </c>
      <c r="O74" s="40" t="s">
        <v>1147</v>
      </c>
      <c r="P74" s="40" t="s">
        <v>1148</v>
      </c>
      <c r="Q74" s="40" t="s">
        <v>161</v>
      </c>
      <c r="R74" s="41" t="s">
        <v>1145</v>
      </c>
      <c r="S74" s="41" t="s">
        <v>139</v>
      </c>
      <c r="T74" s="41" t="s">
        <v>139</v>
      </c>
      <c r="U74" s="41" t="s">
        <v>139</v>
      </c>
      <c r="V74" s="42" t="s">
        <v>139</v>
      </c>
      <c r="W74" s="43" t="s">
        <v>235</v>
      </c>
      <c r="X74" s="41" t="s">
        <v>139</v>
      </c>
      <c r="Y74" s="41" t="s">
        <v>139</v>
      </c>
      <c r="Z74" s="41" t="s">
        <v>139</v>
      </c>
      <c r="AA74" s="41" t="s">
        <v>139</v>
      </c>
      <c r="AB74" s="44"/>
      <c r="AC74" s="45"/>
      <c r="AD74" s="45"/>
      <c r="AE74" s="46"/>
      <c r="AF74" s="45"/>
      <c r="AG74" s="45"/>
      <c r="AH74" s="45"/>
      <c r="AI74" s="3" t="s">
        <v>1583</v>
      </c>
    </row>
    <row r="75" spans="1:35">
      <c r="A75" s="144">
        <f t="shared" si="1"/>
        <v>73</v>
      </c>
      <c r="B75" s="148"/>
      <c r="C75" s="148"/>
      <c r="D75" s="148"/>
      <c r="E75" s="148"/>
      <c r="F75" s="148"/>
      <c r="G75" s="148"/>
      <c r="H75" s="148"/>
      <c r="I75" s="148"/>
      <c r="J75" s="98" t="s">
        <v>2101</v>
      </c>
      <c r="K75" s="101" t="str">
        <f>_xlfn.XLOOKUP(L75,'99_マスタ'!$D$5:$D$18,'99_マスタ'!$C$5:$C$18,"")</f>
        <v>01_財務・業績指標</v>
      </c>
      <c r="L75" s="64" t="s">
        <v>2300</v>
      </c>
      <c r="M75" s="64" t="s">
        <v>3240</v>
      </c>
      <c r="N75" s="54" t="s">
        <v>3241</v>
      </c>
      <c r="O75" s="41" t="s">
        <v>254</v>
      </c>
      <c r="P75" s="41" t="s">
        <v>255</v>
      </c>
      <c r="Q75" s="41" t="s">
        <v>161</v>
      </c>
      <c r="R75" s="41" t="s">
        <v>256</v>
      </c>
      <c r="S75" s="41" t="s">
        <v>139</v>
      </c>
      <c r="T75" s="41" t="s">
        <v>139</v>
      </c>
      <c r="U75" s="41" t="s">
        <v>139</v>
      </c>
      <c r="V75" s="42" t="s">
        <v>139</v>
      </c>
      <c r="W75" s="53" t="s">
        <v>218</v>
      </c>
      <c r="X75" s="54" t="s">
        <v>139</v>
      </c>
      <c r="Y75" s="54" t="s">
        <v>139</v>
      </c>
      <c r="Z75" s="54" t="s">
        <v>139</v>
      </c>
      <c r="AA75" s="54" t="s">
        <v>139</v>
      </c>
      <c r="AB75" s="55"/>
      <c r="AC75" s="56"/>
      <c r="AD75" s="56"/>
      <c r="AE75" s="57"/>
      <c r="AF75" s="56"/>
      <c r="AG75" s="56"/>
      <c r="AH75" s="56"/>
      <c r="AI75" s="3" t="s">
        <v>1583</v>
      </c>
    </row>
    <row r="76" spans="1:35" ht="40.5">
      <c r="A76" s="144">
        <f t="shared" si="1"/>
        <v>74</v>
      </c>
      <c r="B76" s="148"/>
      <c r="C76" s="148"/>
      <c r="D76" s="148"/>
      <c r="E76" s="148"/>
      <c r="F76" s="148"/>
      <c r="G76" s="148"/>
      <c r="H76" s="148"/>
      <c r="I76" s="148"/>
      <c r="J76" s="98" t="s">
        <v>2101</v>
      </c>
      <c r="K76" s="101" t="str">
        <f>_xlfn.XLOOKUP(L76,'99_マスタ'!$D$5:$D$18,'99_マスタ'!$C$5:$C$18,"")</f>
        <v>01_財務・業績指標</v>
      </c>
      <c r="L76" s="113" t="s">
        <v>2300</v>
      </c>
      <c r="M76" s="113" t="s">
        <v>1142</v>
      </c>
      <c r="N76" s="126" t="s">
        <v>139</v>
      </c>
      <c r="O76" s="40" t="s">
        <v>1143</v>
      </c>
      <c r="P76" s="40" t="s">
        <v>1144</v>
      </c>
      <c r="Q76" s="40" t="s">
        <v>161</v>
      </c>
      <c r="R76" s="41" t="s">
        <v>1145</v>
      </c>
      <c r="S76" s="41" t="s">
        <v>139</v>
      </c>
      <c r="T76" s="41" t="s">
        <v>139</v>
      </c>
      <c r="U76" s="41" t="s">
        <v>139</v>
      </c>
      <c r="V76" s="42" t="s">
        <v>139</v>
      </c>
      <c r="W76" s="43" t="s">
        <v>235</v>
      </c>
      <c r="X76" s="41" t="s">
        <v>139</v>
      </c>
      <c r="Y76" s="41" t="s">
        <v>139</v>
      </c>
      <c r="Z76" s="41" t="s">
        <v>139</v>
      </c>
      <c r="AA76" s="41" t="s">
        <v>139</v>
      </c>
      <c r="AB76" s="44"/>
      <c r="AC76" s="45"/>
      <c r="AD76" s="45"/>
      <c r="AE76" s="46"/>
      <c r="AF76" s="45"/>
      <c r="AG76" s="45"/>
      <c r="AH76" s="45"/>
      <c r="AI76" s="3" t="s">
        <v>1583</v>
      </c>
    </row>
    <row r="77" spans="1:35" ht="54">
      <c r="A77" s="144">
        <f t="shared" si="1"/>
        <v>75</v>
      </c>
      <c r="B77" s="148"/>
      <c r="C77" s="148"/>
      <c r="D77" s="148"/>
      <c r="E77" s="148"/>
      <c r="F77" s="148"/>
      <c r="G77" s="148"/>
      <c r="H77" s="148"/>
      <c r="I77" s="148"/>
      <c r="J77" s="98" t="s">
        <v>2101</v>
      </c>
      <c r="K77" s="102" t="str">
        <f>_xlfn.XLOOKUP(L77,'99_マスタ'!$D$5:$D$18,'99_マスタ'!$C$5:$C$18,"")</f>
        <v>01_財務・業績指標</v>
      </c>
      <c r="L77" s="102" t="s">
        <v>2299</v>
      </c>
      <c r="M77" s="102" t="s">
        <v>2969</v>
      </c>
      <c r="N77" s="126" t="s">
        <v>1637</v>
      </c>
      <c r="O77" s="40" t="s">
        <v>2972</v>
      </c>
      <c r="P77" s="40" t="s">
        <v>2970</v>
      </c>
      <c r="Q77" s="40"/>
      <c r="R77" s="41" t="s">
        <v>2968</v>
      </c>
      <c r="S77" s="41" t="s">
        <v>139</v>
      </c>
      <c r="T77" s="41" t="s">
        <v>139</v>
      </c>
      <c r="U77" s="41" t="s">
        <v>139</v>
      </c>
      <c r="V77" s="42" t="s">
        <v>139</v>
      </c>
      <c r="W77" s="43" t="s">
        <v>2935</v>
      </c>
      <c r="X77" s="41" t="s">
        <v>139</v>
      </c>
      <c r="Y77" s="41" t="s">
        <v>139</v>
      </c>
      <c r="Z77" s="41" t="s">
        <v>139</v>
      </c>
      <c r="AA77" s="41" t="s">
        <v>139</v>
      </c>
      <c r="AB77" s="44"/>
      <c r="AC77" s="45"/>
      <c r="AD77" s="45"/>
      <c r="AE77" s="46"/>
      <c r="AF77" s="45"/>
      <c r="AG77" s="45"/>
      <c r="AH77" s="45"/>
      <c r="AI77" s="3" t="s">
        <v>1583</v>
      </c>
    </row>
    <row r="78" spans="1:35" ht="27">
      <c r="A78" s="144">
        <f t="shared" si="1"/>
        <v>76</v>
      </c>
      <c r="B78" s="148"/>
      <c r="C78" s="148"/>
      <c r="D78" s="148"/>
      <c r="E78" s="148"/>
      <c r="F78" s="148"/>
      <c r="G78" s="148"/>
      <c r="H78" s="148"/>
      <c r="I78" s="148"/>
      <c r="J78" s="98" t="s">
        <v>2101</v>
      </c>
      <c r="K78" s="100" t="str">
        <f>_xlfn.XLOOKUP(L78,'99_マスタ'!$D$5:$D$18,'99_マスタ'!$C$5:$C$18,"")</f>
        <v>01_財務・業績指標</v>
      </c>
      <c r="L78" s="100" t="s">
        <v>2299</v>
      </c>
      <c r="M78" s="100" t="s">
        <v>1360</v>
      </c>
      <c r="N78" s="126" t="s">
        <v>139</v>
      </c>
      <c r="O78" s="40" t="s">
        <v>1590</v>
      </c>
      <c r="P78" s="40" t="s">
        <v>1589</v>
      </c>
      <c r="Q78" s="40" t="s">
        <v>192</v>
      </c>
      <c r="R78" s="41" t="s">
        <v>139</v>
      </c>
      <c r="S78" s="41" t="s">
        <v>139</v>
      </c>
      <c r="T78" s="41" t="s">
        <v>139</v>
      </c>
      <c r="U78" s="41" t="s">
        <v>139</v>
      </c>
      <c r="V78" s="42" t="s">
        <v>1600</v>
      </c>
      <c r="W78" s="43" t="s">
        <v>139</v>
      </c>
      <c r="X78" s="41" t="s">
        <v>139</v>
      </c>
      <c r="Y78" s="41" t="s">
        <v>139</v>
      </c>
      <c r="Z78" s="41" t="s">
        <v>139</v>
      </c>
      <c r="AA78" s="41" t="s">
        <v>302</v>
      </c>
      <c r="AB78" s="44" t="s">
        <v>1591</v>
      </c>
      <c r="AC78" s="45"/>
      <c r="AD78" s="45"/>
      <c r="AE78" s="46"/>
      <c r="AF78" s="45"/>
      <c r="AG78" s="45"/>
      <c r="AH78" s="45"/>
      <c r="AI78" s="3" t="s">
        <v>1583</v>
      </c>
    </row>
    <row r="79" spans="1:35">
      <c r="A79" s="144">
        <f t="shared" si="1"/>
        <v>77</v>
      </c>
      <c r="B79" s="148"/>
      <c r="C79" s="148"/>
      <c r="D79" s="148"/>
      <c r="E79" s="148"/>
      <c r="F79" s="148"/>
      <c r="G79" s="148"/>
      <c r="H79" s="148"/>
      <c r="I79" s="148"/>
      <c r="J79" s="103" t="s">
        <v>2101</v>
      </c>
      <c r="K79" s="100" t="str">
        <f>_xlfn.XLOOKUP(L79,'99_マスタ'!$D$5:$D$18,'99_マスタ'!$C$5:$C$18,"")</f>
        <v>01_財務・業績指標</v>
      </c>
      <c r="L79" s="100" t="s">
        <v>2299</v>
      </c>
      <c r="M79" s="100" t="s">
        <v>1888</v>
      </c>
      <c r="N79" s="126" t="s">
        <v>1637</v>
      </c>
      <c r="O79" s="68" t="s">
        <v>1889</v>
      </c>
      <c r="P79" s="61"/>
      <c r="Q79" s="40" t="s">
        <v>2012</v>
      </c>
      <c r="R79" s="41" t="s">
        <v>139</v>
      </c>
      <c r="S79" s="41" t="s">
        <v>139</v>
      </c>
      <c r="T79" s="41" t="s">
        <v>139</v>
      </c>
      <c r="U79" s="41" t="s">
        <v>139</v>
      </c>
      <c r="V79" s="42" t="s">
        <v>2013</v>
      </c>
      <c r="W79" s="43" t="s">
        <v>139</v>
      </c>
      <c r="X79" s="41" t="s">
        <v>139</v>
      </c>
      <c r="Y79" s="41" t="s">
        <v>139</v>
      </c>
      <c r="Z79" s="41" t="s">
        <v>139</v>
      </c>
      <c r="AA79" s="41" t="s">
        <v>1892</v>
      </c>
      <c r="AB79" s="44"/>
      <c r="AC79" s="45"/>
      <c r="AD79" s="45"/>
      <c r="AE79" s="46"/>
      <c r="AF79" s="45"/>
      <c r="AG79" s="45"/>
      <c r="AH79" s="45"/>
      <c r="AI79" s="3" t="s">
        <v>1583</v>
      </c>
    </row>
    <row r="80" spans="1:35" ht="27">
      <c r="A80" s="144">
        <f t="shared" si="1"/>
        <v>78</v>
      </c>
      <c r="B80" s="148"/>
      <c r="C80" s="148"/>
      <c r="D80" s="148"/>
      <c r="E80" s="148"/>
      <c r="F80" s="148"/>
      <c r="G80" s="148"/>
      <c r="H80" s="148"/>
      <c r="I80" s="148"/>
      <c r="J80" s="103" t="s">
        <v>2101</v>
      </c>
      <c r="K80" s="100" t="str">
        <f>_xlfn.XLOOKUP(L80,'99_マスタ'!$D$5:$D$18,'99_マスタ'!$C$5:$C$18,"")</f>
        <v>01_財務・業績指標</v>
      </c>
      <c r="L80" s="100" t="s">
        <v>2299</v>
      </c>
      <c r="M80" s="100" t="s">
        <v>1034</v>
      </c>
      <c r="N80" s="126" t="s">
        <v>139</v>
      </c>
      <c r="O80" s="40" t="s">
        <v>1035</v>
      </c>
      <c r="P80" s="40" t="s">
        <v>1036</v>
      </c>
      <c r="Q80" s="40" t="s">
        <v>1645</v>
      </c>
      <c r="R80" s="41" t="s">
        <v>139</v>
      </c>
      <c r="S80" s="41" t="s">
        <v>139</v>
      </c>
      <c r="T80" s="41" t="s">
        <v>139</v>
      </c>
      <c r="U80" s="41" t="s">
        <v>139</v>
      </c>
      <c r="V80" s="42" t="s">
        <v>1015</v>
      </c>
      <c r="W80" s="43" t="s">
        <v>139</v>
      </c>
      <c r="X80" s="41" t="s">
        <v>139</v>
      </c>
      <c r="Y80" s="41" t="s">
        <v>139</v>
      </c>
      <c r="Z80" s="41" t="s">
        <v>139</v>
      </c>
      <c r="AA80" s="41" t="s">
        <v>1017</v>
      </c>
      <c r="AB80" s="44"/>
      <c r="AC80" s="45"/>
      <c r="AD80" s="45"/>
      <c r="AE80" s="46"/>
      <c r="AF80" s="45"/>
      <c r="AG80" s="45"/>
      <c r="AH80" s="45"/>
      <c r="AI80" s="3" t="s">
        <v>1583</v>
      </c>
    </row>
    <row r="81" spans="1:35" ht="27">
      <c r="A81" s="144">
        <f t="shared" si="1"/>
        <v>79</v>
      </c>
      <c r="B81" s="148"/>
      <c r="C81" s="148"/>
      <c r="D81" s="148"/>
      <c r="E81" s="148"/>
      <c r="F81" s="148"/>
      <c r="G81" s="148"/>
      <c r="H81" s="148"/>
      <c r="I81" s="148"/>
      <c r="J81" s="103" t="s">
        <v>2101</v>
      </c>
      <c r="K81" s="100" t="str">
        <f>_xlfn.XLOOKUP(L81,'99_マスタ'!$D$5:$D$18,'99_マスタ'!$C$5:$C$18,"")</f>
        <v>01_財務・業績指標</v>
      </c>
      <c r="L81" s="100" t="s">
        <v>2299</v>
      </c>
      <c r="M81" s="100" t="s">
        <v>1037</v>
      </c>
      <c r="N81" s="126" t="s">
        <v>139</v>
      </c>
      <c r="O81" s="40" t="s">
        <v>1038</v>
      </c>
      <c r="P81" s="40" t="s">
        <v>1604</v>
      </c>
      <c r="Q81" s="40" t="s">
        <v>1645</v>
      </c>
      <c r="R81" s="41" t="s">
        <v>139</v>
      </c>
      <c r="S81" s="41" t="s">
        <v>139</v>
      </c>
      <c r="T81" s="41" t="s">
        <v>139</v>
      </c>
      <c r="U81" s="41" t="s">
        <v>139</v>
      </c>
      <c r="V81" s="42" t="s">
        <v>1015</v>
      </c>
      <c r="W81" s="43" t="s">
        <v>139</v>
      </c>
      <c r="X81" s="41" t="s">
        <v>139</v>
      </c>
      <c r="Y81" s="41" t="s">
        <v>139</v>
      </c>
      <c r="Z81" s="41" t="s">
        <v>139</v>
      </c>
      <c r="AA81" s="41" t="s">
        <v>1017</v>
      </c>
      <c r="AB81" s="44"/>
      <c r="AC81" s="45"/>
      <c r="AD81" s="45"/>
      <c r="AE81" s="46"/>
      <c r="AF81" s="45"/>
      <c r="AG81" s="45"/>
      <c r="AH81" s="45"/>
      <c r="AI81" s="3" t="s">
        <v>1583</v>
      </c>
    </row>
    <row r="82" spans="1:35" ht="40.5">
      <c r="A82" s="144">
        <f t="shared" si="1"/>
        <v>80</v>
      </c>
      <c r="B82" s="148"/>
      <c r="C82" s="148"/>
      <c r="D82" s="148"/>
      <c r="E82" s="148"/>
      <c r="F82" s="148"/>
      <c r="G82" s="148"/>
      <c r="H82" s="148"/>
      <c r="I82" s="148"/>
      <c r="J82" s="98" t="s">
        <v>2101</v>
      </c>
      <c r="K82" s="101" t="str">
        <f>_xlfn.XLOOKUP(L82,'99_マスタ'!$D$5:$D$18,'99_マスタ'!$C$5:$C$18,"")</f>
        <v>01_財務・業績指標</v>
      </c>
      <c r="L82" s="101" t="s">
        <v>2299</v>
      </c>
      <c r="M82" s="101" t="s">
        <v>2204</v>
      </c>
      <c r="N82" s="126" t="s">
        <v>1637</v>
      </c>
      <c r="O82" s="40" t="s">
        <v>2205</v>
      </c>
      <c r="P82" s="40" t="s">
        <v>2206</v>
      </c>
      <c r="Q82" s="40" t="s">
        <v>2207</v>
      </c>
      <c r="R82" s="41" t="s">
        <v>139</v>
      </c>
      <c r="S82" s="41" t="s">
        <v>139</v>
      </c>
      <c r="T82" s="41" t="s">
        <v>139</v>
      </c>
      <c r="U82" s="41" t="s">
        <v>2208</v>
      </c>
      <c r="V82" s="42" t="s">
        <v>139</v>
      </c>
      <c r="W82" s="43" t="s">
        <v>139</v>
      </c>
      <c r="X82" s="41" t="s">
        <v>139</v>
      </c>
      <c r="Y82" s="41" t="s">
        <v>139</v>
      </c>
      <c r="Z82" s="41" t="s">
        <v>2208</v>
      </c>
      <c r="AA82" s="41" t="s">
        <v>139</v>
      </c>
      <c r="AB82" s="44"/>
      <c r="AC82" s="45"/>
      <c r="AD82" s="45"/>
      <c r="AE82" s="46"/>
      <c r="AF82" s="45"/>
      <c r="AG82" s="45"/>
      <c r="AH82" s="45"/>
      <c r="AI82" s="3" t="s">
        <v>1583</v>
      </c>
    </row>
    <row r="83" spans="1:35" ht="54">
      <c r="A83" s="144">
        <f t="shared" si="1"/>
        <v>81</v>
      </c>
      <c r="B83" s="148"/>
      <c r="C83" s="148"/>
      <c r="D83" s="148"/>
      <c r="E83" s="148"/>
      <c r="F83" s="148"/>
      <c r="G83" s="148"/>
      <c r="H83" s="148"/>
      <c r="I83" s="148"/>
      <c r="J83" s="103" t="s">
        <v>2101</v>
      </c>
      <c r="K83" s="69" t="str">
        <f>_xlfn.XLOOKUP(L83,'99_マスタ'!$D$5:$D$18,'99_マスタ'!$C$5:$C$18,"")</f>
        <v>01_財務・業績指標</v>
      </c>
      <c r="L83" s="69" t="s">
        <v>2299</v>
      </c>
      <c r="M83" s="69" t="s">
        <v>134</v>
      </c>
      <c r="N83" s="54" t="s">
        <v>135</v>
      </c>
      <c r="O83" s="41" t="s">
        <v>136</v>
      </c>
      <c r="P83" s="70" t="s">
        <v>2091</v>
      </c>
      <c r="Q83" s="41" t="s">
        <v>192</v>
      </c>
      <c r="R83" s="41" t="s">
        <v>137</v>
      </c>
      <c r="S83" s="41" t="s">
        <v>2715</v>
      </c>
      <c r="T83" s="41" t="s">
        <v>139</v>
      </c>
      <c r="U83" s="41" t="s">
        <v>139</v>
      </c>
      <c r="V83" s="42" t="s">
        <v>2016</v>
      </c>
      <c r="W83" s="53" t="s">
        <v>114</v>
      </c>
      <c r="X83" s="54" t="s">
        <v>2729</v>
      </c>
      <c r="Y83" s="54" t="s">
        <v>139</v>
      </c>
      <c r="Z83" s="54" t="s">
        <v>139</v>
      </c>
      <c r="AA83" s="54" t="s">
        <v>2015</v>
      </c>
      <c r="AB83" s="55"/>
      <c r="AC83" s="56"/>
      <c r="AD83" s="56"/>
      <c r="AE83" s="57"/>
      <c r="AF83" s="56"/>
      <c r="AG83" s="56"/>
      <c r="AH83" s="56"/>
      <c r="AI83" s="3" t="s">
        <v>1583</v>
      </c>
    </row>
    <row r="84" spans="1:35">
      <c r="A84" s="144">
        <f t="shared" si="1"/>
        <v>82</v>
      </c>
      <c r="B84" s="148"/>
      <c r="C84" s="148"/>
      <c r="D84" s="148"/>
      <c r="E84" s="148"/>
      <c r="F84" s="148"/>
      <c r="G84" s="148"/>
      <c r="H84" s="148"/>
      <c r="I84" s="148"/>
      <c r="J84" s="103" t="s">
        <v>2101</v>
      </c>
      <c r="K84" s="69" t="str">
        <f>_xlfn.XLOOKUP(L84,'99_マスタ'!$D$5:$D$18,'99_マスタ'!$C$5:$C$18,"")</f>
        <v>01_財務・業績指標</v>
      </c>
      <c r="L84" s="69" t="s">
        <v>2299</v>
      </c>
      <c r="M84" s="69" t="s">
        <v>1980</v>
      </c>
      <c r="N84" s="126" t="s">
        <v>1637</v>
      </c>
      <c r="O84" s="40" t="s">
        <v>1981</v>
      </c>
      <c r="P84" s="40" t="s">
        <v>1982</v>
      </c>
      <c r="Q84" s="40" t="s">
        <v>1666</v>
      </c>
      <c r="R84" s="41" t="s">
        <v>139</v>
      </c>
      <c r="S84" s="41" t="s">
        <v>139</v>
      </c>
      <c r="T84" s="41" t="s">
        <v>139</v>
      </c>
      <c r="U84" s="41" t="s">
        <v>139</v>
      </c>
      <c r="V84" s="42" t="s">
        <v>1969</v>
      </c>
      <c r="W84" s="43" t="s">
        <v>139</v>
      </c>
      <c r="X84" s="41" t="s">
        <v>139</v>
      </c>
      <c r="Y84" s="41" t="s">
        <v>139</v>
      </c>
      <c r="Z84" s="41" t="s">
        <v>139</v>
      </c>
      <c r="AA84" s="41" t="s">
        <v>1912</v>
      </c>
      <c r="AB84" s="44" t="s">
        <v>1975</v>
      </c>
      <c r="AC84" s="45"/>
      <c r="AD84" s="45"/>
      <c r="AE84" s="46"/>
      <c r="AF84" s="45"/>
      <c r="AG84" s="45"/>
      <c r="AH84" s="45"/>
      <c r="AI84" s="3" t="s">
        <v>1583</v>
      </c>
    </row>
    <row r="85" spans="1:35" ht="27">
      <c r="A85" s="144">
        <f t="shared" si="1"/>
        <v>83</v>
      </c>
      <c r="B85" s="148"/>
      <c r="C85" s="148"/>
      <c r="D85" s="148"/>
      <c r="E85" s="148"/>
      <c r="F85" s="148"/>
      <c r="G85" s="148"/>
      <c r="H85" s="148"/>
      <c r="I85" s="148"/>
      <c r="J85" s="98" t="s">
        <v>2101</v>
      </c>
      <c r="K85" s="100" t="str">
        <f>_xlfn.XLOOKUP(L85,'99_マスタ'!$D$5:$D$18,'99_マスタ'!$C$5:$C$18,"")</f>
        <v>01_財務・業績指標</v>
      </c>
      <c r="L85" s="100" t="s">
        <v>2299</v>
      </c>
      <c r="M85" s="100" t="s">
        <v>3309</v>
      </c>
      <c r="N85" s="126" t="s">
        <v>3310</v>
      </c>
      <c r="O85" s="40" t="s">
        <v>2201</v>
      </c>
      <c r="P85" s="40" t="s">
        <v>1016</v>
      </c>
      <c r="Q85" s="40" t="s">
        <v>192</v>
      </c>
      <c r="R85" s="41" t="s">
        <v>139</v>
      </c>
      <c r="S85" s="41" t="s">
        <v>139</v>
      </c>
      <c r="T85" s="41" t="s">
        <v>139</v>
      </c>
      <c r="U85" s="41" t="s">
        <v>2202</v>
      </c>
      <c r="V85" s="42" t="s">
        <v>2019</v>
      </c>
      <c r="W85" s="43" t="s">
        <v>139</v>
      </c>
      <c r="X85" s="41" t="s">
        <v>139</v>
      </c>
      <c r="Y85" s="41" t="s">
        <v>139</v>
      </c>
      <c r="Z85" s="41" t="s">
        <v>2203</v>
      </c>
      <c r="AA85" s="41" t="s">
        <v>2014</v>
      </c>
      <c r="AB85" s="44"/>
      <c r="AC85" s="45"/>
      <c r="AD85" s="45"/>
      <c r="AE85" s="46"/>
      <c r="AF85" s="45"/>
      <c r="AG85" s="45"/>
      <c r="AH85" s="45"/>
      <c r="AI85" s="3" t="s">
        <v>1583</v>
      </c>
    </row>
    <row r="86" spans="1:35" ht="27">
      <c r="A86" s="144">
        <f t="shared" si="1"/>
        <v>84</v>
      </c>
      <c r="B86" s="148"/>
      <c r="C86" s="148"/>
      <c r="D86" s="148"/>
      <c r="E86" s="148"/>
      <c r="F86" s="148"/>
      <c r="G86" s="148"/>
      <c r="H86" s="148"/>
      <c r="I86" s="148"/>
      <c r="J86" s="98" t="s">
        <v>2101</v>
      </c>
      <c r="K86" s="101" t="str">
        <f>_xlfn.XLOOKUP(L86,'99_マスタ'!$D$5:$D$18,'99_マスタ'!$C$5:$C$18,"")</f>
        <v>01_財務・業績指標</v>
      </c>
      <c r="L86" s="113" t="s">
        <v>2299</v>
      </c>
      <c r="M86" s="113" t="s">
        <v>3078</v>
      </c>
      <c r="N86" s="126" t="s">
        <v>1637</v>
      </c>
      <c r="O86" s="40" t="s">
        <v>3079</v>
      </c>
      <c r="P86" s="40" t="s">
        <v>1139</v>
      </c>
      <c r="Q86" s="40" t="s">
        <v>1140</v>
      </c>
      <c r="R86" s="41" t="s">
        <v>1141</v>
      </c>
      <c r="S86" s="41" t="s">
        <v>139</v>
      </c>
      <c r="T86" s="41" t="s">
        <v>139</v>
      </c>
      <c r="U86" s="41" t="s">
        <v>139</v>
      </c>
      <c r="V86" s="42" t="s">
        <v>139</v>
      </c>
      <c r="W86" s="43" t="s">
        <v>200</v>
      </c>
      <c r="X86" s="41" t="s">
        <v>139</v>
      </c>
      <c r="Y86" s="41" t="s">
        <v>139</v>
      </c>
      <c r="Z86" s="41" t="s">
        <v>139</v>
      </c>
      <c r="AA86" s="41" t="s">
        <v>139</v>
      </c>
      <c r="AB86" s="44"/>
      <c r="AC86" s="45"/>
      <c r="AD86" s="45"/>
      <c r="AE86" s="46"/>
      <c r="AF86" s="45"/>
      <c r="AG86" s="45"/>
      <c r="AH86" s="45"/>
      <c r="AI86" s="3" t="s">
        <v>1583</v>
      </c>
    </row>
    <row r="87" spans="1:35" ht="27">
      <c r="A87" s="144">
        <f t="shared" si="1"/>
        <v>85</v>
      </c>
      <c r="B87" s="148"/>
      <c r="C87" s="148"/>
      <c r="D87" s="148"/>
      <c r="E87" s="148"/>
      <c r="F87" s="148"/>
      <c r="G87" s="148"/>
      <c r="H87" s="148"/>
      <c r="I87" s="148"/>
      <c r="J87" s="98" t="s">
        <v>2101</v>
      </c>
      <c r="K87" s="101" t="str">
        <f>_xlfn.XLOOKUP(L87,'99_マスタ'!$D$5:$D$18,'99_マスタ'!$C$5:$C$18,"")</f>
        <v>01_財務・業績指標</v>
      </c>
      <c r="L87" s="113" t="s">
        <v>2299</v>
      </c>
      <c r="M87" s="113" t="s">
        <v>3077</v>
      </c>
      <c r="N87" s="126" t="s">
        <v>1637</v>
      </c>
      <c r="O87" s="40" t="s">
        <v>3080</v>
      </c>
      <c r="P87" s="40" t="s">
        <v>1139</v>
      </c>
      <c r="Q87" s="40" t="s">
        <v>1140</v>
      </c>
      <c r="R87" s="41" t="s">
        <v>1141</v>
      </c>
      <c r="S87" s="41" t="s">
        <v>139</v>
      </c>
      <c r="T87" s="41" t="s">
        <v>139</v>
      </c>
      <c r="U87" s="41" t="s">
        <v>139</v>
      </c>
      <c r="V87" s="42" t="s">
        <v>139</v>
      </c>
      <c r="W87" s="43" t="s">
        <v>200</v>
      </c>
      <c r="X87" s="41" t="s">
        <v>139</v>
      </c>
      <c r="Y87" s="41" t="s">
        <v>139</v>
      </c>
      <c r="Z87" s="41" t="s">
        <v>139</v>
      </c>
      <c r="AA87" s="41" t="s">
        <v>139</v>
      </c>
      <c r="AB87" s="44"/>
      <c r="AC87" s="45"/>
      <c r="AD87" s="45"/>
      <c r="AE87" s="46"/>
      <c r="AF87" s="45"/>
      <c r="AG87" s="45"/>
      <c r="AH87" s="45"/>
      <c r="AI87" s="3" t="s">
        <v>1583</v>
      </c>
    </row>
    <row r="88" spans="1:35" ht="27">
      <c r="A88" s="144">
        <f t="shared" si="1"/>
        <v>86</v>
      </c>
      <c r="B88" s="148"/>
      <c r="C88" s="148"/>
      <c r="D88" s="148"/>
      <c r="E88" s="148"/>
      <c r="F88" s="148"/>
      <c r="G88" s="148"/>
      <c r="H88" s="148"/>
      <c r="I88" s="148"/>
      <c r="J88" s="98" t="s">
        <v>2101</v>
      </c>
      <c r="K88" s="100" t="str">
        <f>_xlfn.XLOOKUP(L88,'99_マスタ'!$D$5:$D$18,'99_マスタ'!$C$5:$C$18,"")</f>
        <v>01_財務・業績指標</v>
      </c>
      <c r="L88" s="69" t="s">
        <v>2299</v>
      </c>
      <c r="M88" s="100" t="s">
        <v>2893</v>
      </c>
      <c r="N88" s="126" t="s">
        <v>1637</v>
      </c>
      <c r="O88" s="40" t="s">
        <v>2897</v>
      </c>
      <c r="P88" s="40" t="s">
        <v>2898</v>
      </c>
      <c r="Q88" s="40" t="s">
        <v>2093</v>
      </c>
      <c r="R88" s="41" t="s">
        <v>139</v>
      </c>
      <c r="S88" s="41" t="s">
        <v>139</v>
      </c>
      <c r="T88" s="41" t="s">
        <v>139</v>
      </c>
      <c r="U88" s="41" t="s">
        <v>139</v>
      </c>
      <c r="V88" s="42" t="s">
        <v>139</v>
      </c>
      <c r="W88" s="43" t="s">
        <v>139</v>
      </c>
      <c r="X88" s="41" t="s">
        <v>139</v>
      </c>
      <c r="Y88" s="41" t="s">
        <v>139</v>
      </c>
      <c r="Z88" s="41" t="s">
        <v>139</v>
      </c>
      <c r="AA88" s="41" t="s">
        <v>139</v>
      </c>
      <c r="AB88" s="44"/>
      <c r="AC88" s="45"/>
      <c r="AD88" s="45"/>
      <c r="AE88" s="46"/>
      <c r="AF88" s="45"/>
      <c r="AG88" s="45"/>
      <c r="AH88" s="45"/>
      <c r="AI88" s="3" t="s">
        <v>1583</v>
      </c>
    </row>
    <row r="89" spans="1:35" ht="27">
      <c r="A89" s="144">
        <f t="shared" si="1"/>
        <v>87</v>
      </c>
      <c r="B89" s="148"/>
      <c r="C89" s="148"/>
      <c r="D89" s="148"/>
      <c r="E89" s="148"/>
      <c r="F89" s="148"/>
      <c r="G89" s="148"/>
      <c r="H89" s="148"/>
      <c r="I89" s="148"/>
      <c r="J89" s="98" t="s">
        <v>2101</v>
      </c>
      <c r="K89" s="100" t="str">
        <f>_xlfn.XLOOKUP(L89,'99_マスタ'!$D$5:$D$18,'99_マスタ'!$C$5:$C$18,"")</f>
        <v>01_財務・業績指標</v>
      </c>
      <c r="L89" s="69" t="s">
        <v>2299</v>
      </c>
      <c r="M89" s="100" t="s">
        <v>2894</v>
      </c>
      <c r="N89" s="126" t="s">
        <v>1637</v>
      </c>
      <c r="O89" s="40" t="s">
        <v>2899</v>
      </c>
      <c r="P89" s="40" t="s">
        <v>2900</v>
      </c>
      <c r="Q89" s="40" t="s">
        <v>2093</v>
      </c>
      <c r="R89" s="41" t="s">
        <v>139</v>
      </c>
      <c r="S89" s="41" t="s">
        <v>139</v>
      </c>
      <c r="T89" s="41" t="s">
        <v>139</v>
      </c>
      <c r="U89" s="41" t="s">
        <v>139</v>
      </c>
      <c r="V89" s="42" t="s">
        <v>139</v>
      </c>
      <c r="W89" s="43" t="s">
        <v>139</v>
      </c>
      <c r="X89" s="41" t="s">
        <v>139</v>
      </c>
      <c r="Y89" s="41" t="s">
        <v>139</v>
      </c>
      <c r="Z89" s="41" t="s">
        <v>139</v>
      </c>
      <c r="AA89" s="41" t="s">
        <v>139</v>
      </c>
      <c r="AB89" s="44"/>
      <c r="AC89" s="45"/>
      <c r="AD89" s="45"/>
      <c r="AE89" s="46"/>
      <c r="AF89" s="45"/>
      <c r="AG89" s="45"/>
      <c r="AH89" s="45"/>
      <c r="AI89" s="3" t="s">
        <v>1583</v>
      </c>
    </row>
    <row r="90" spans="1:35" ht="40.5">
      <c r="A90" s="144">
        <f t="shared" si="1"/>
        <v>88</v>
      </c>
      <c r="B90" s="148"/>
      <c r="C90" s="148"/>
      <c r="D90" s="148"/>
      <c r="E90" s="148"/>
      <c r="F90" s="148"/>
      <c r="G90" s="148"/>
      <c r="H90" s="148"/>
      <c r="I90" s="148"/>
      <c r="J90" s="98" t="s">
        <v>2101</v>
      </c>
      <c r="K90" s="100" t="str">
        <f>_xlfn.XLOOKUP(L90,'99_マスタ'!$D$5:$D$18,'99_マスタ'!$C$5:$C$18,"")</f>
        <v>01_財務・業績指標</v>
      </c>
      <c r="L90" s="69" t="s">
        <v>2299</v>
      </c>
      <c r="M90" s="100" t="s">
        <v>2895</v>
      </c>
      <c r="N90" s="126" t="s">
        <v>1637</v>
      </c>
      <c r="O90" s="40" t="s">
        <v>2901</v>
      </c>
      <c r="P90" s="40" t="s">
        <v>2902</v>
      </c>
      <c r="Q90" s="40" t="s">
        <v>2093</v>
      </c>
      <c r="R90" s="41" t="s">
        <v>139</v>
      </c>
      <c r="S90" s="41" t="s">
        <v>139</v>
      </c>
      <c r="T90" s="41" t="s">
        <v>139</v>
      </c>
      <c r="U90" s="41" t="s">
        <v>139</v>
      </c>
      <c r="V90" s="42" t="s">
        <v>139</v>
      </c>
      <c r="W90" s="43" t="s">
        <v>139</v>
      </c>
      <c r="X90" s="41" t="s">
        <v>139</v>
      </c>
      <c r="Y90" s="41" t="s">
        <v>139</v>
      </c>
      <c r="Z90" s="41" t="s">
        <v>139</v>
      </c>
      <c r="AA90" s="41" t="s">
        <v>139</v>
      </c>
      <c r="AB90" s="44"/>
      <c r="AC90" s="45"/>
      <c r="AD90" s="45"/>
      <c r="AE90" s="46"/>
      <c r="AF90" s="45"/>
      <c r="AG90" s="45"/>
      <c r="AH90" s="45"/>
      <c r="AI90" s="3" t="s">
        <v>1583</v>
      </c>
    </row>
    <row r="91" spans="1:35">
      <c r="A91" s="144">
        <f t="shared" si="1"/>
        <v>89</v>
      </c>
      <c r="B91" s="148"/>
      <c r="C91" s="148"/>
      <c r="D91" s="148"/>
      <c r="E91" s="148"/>
      <c r="F91" s="148"/>
      <c r="G91" s="148"/>
      <c r="H91" s="148"/>
      <c r="I91" s="148"/>
      <c r="J91" s="98" t="s">
        <v>2101</v>
      </c>
      <c r="K91" s="101" t="str">
        <f>_xlfn.XLOOKUP(L91,'99_マスタ'!$D$5:$D$18,'99_マスタ'!$C$5:$C$18,"")</f>
        <v>01_財務・業績指標</v>
      </c>
      <c r="L91" s="71" t="s">
        <v>2299</v>
      </c>
      <c r="M91" s="71" t="s">
        <v>158</v>
      </c>
      <c r="N91" s="54" t="s">
        <v>139</v>
      </c>
      <c r="O91" s="41" t="s">
        <v>159</v>
      </c>
      <c r="P91" s="41" t="s">
        <v>160</v>
      </c>
      <c r="Q91" s="41" t="s">
        <v>161</v>
      </c>
      <c r="R91" s="41" t="s">
        <v>162</v>
      </c>
      <c r="S91" s="41" t="s">
        <v>139</v>
      </c>
      <c r="T91" s="41" t="s">
        <v>139</v>
      </c>
      <c r="U91" s="41" t="s">
        <v>139</v>
      </c>
      <c r="V91" s="42" t="s">
        <v>139</v>
      </c>
      <c r="W91" s="53" t="s">
        <v>163</v>
      </c>
      <c r="X91" s="54" t="s">
        <v>139</v>
      </c>
      <c r="Y91" s="54" t="s">
        <v>139</v>
      </c>
      <c r="Z91" s="54" t="s">
        <v>139</v>
      </c>
      <c r="AA91" s="54" t="s">
        <v>139</v>
      </c>
      <c r="AB91" s="55"/>
      <c r="AC91" s="56"/>
      <c r="AD91" s="56"/>
      <c r="AE91" s="57"/>
      <c r="AF91" s="56"/>
      <c r="AG91" s="56"/>
      <c r="AH91" s="56"/>
      <c r="AI91" s="3" t="s">
        <v>1583</v>
      </c>
    </row>
    <row r="92" spans="1:35" ht="27">
      <c r="A92" s="144">
        <f t="shared" si="1"/>
        <v>90</v>
      </c>
      <c r="B92" s="148"/>
      <c r="C92" s="148"/>
      <c r="D92" s="148"/>
      <c r="E92" s="148"/>
      <c r="F92" s="148"/>
      <c r="G92" s="148"/>
      <c r="H92" s="148"/>
      <c r="I92" s="148"/>
      <c r="J92" s="98" t="s">
        <v>2101</v>
      </c>
      <c r="K92" s="101" t="str">
        <f>_xlfn.XLOOKUP(L92,'99_マスタ'!$D$5:$D$18,'99_マスタ'!$C$5:$C$18,"")</f>
        <v>01_財務・業績指標</v>
      </c>
      <c r="L92" s="71" t="s">
        <v>2299</v>
      </c>
      <c r="M92" s="71" t="s">
        <v>138</v>
      </c>
      <c r="N92" s="54" t="s">
        <v>139</v>
      </c>
      <c r="O92" s="41" t="s">
        <v>140</v>
      </c>
      <c r="P92" s="41" t="s">
        <v>141</v>
      </c>
      <c r="Q92" s="41" t="s">
        <v>192</v>
      </c>
      <c r="R92" s="41" t="s">
        <v>142</v>
      </c>
      <c r="S92" s="41" t="s">
        <v>139</v>
      </c>
      <c r="T92" s="41" t="s">
        <v>139</v>
      </c>
      <c r="U92" s="41" t="s">
        <v>139</v>
      </c>
      <c r="V92" s="42" t="s">
        <v>139</v>
      </c>
      <c r="W92" s="53" t="s">
        <v>133</v>
      </c>
      <c r="X92" s="54" t="s">
        <v>139</v>
      </c>
      <c r="Y92" s="54" t="s">
        <v>139</v>
      </c>
      <c r="Z92" s="54" t="s">
        <v>139</v>
      </c>
      <c r="AA92" s="54" t="s">
        <v>139</v>
      </c>
      <c r="AB92" s="55"/>
      <c r="AC92" s="56"/>
      <c r="AD92" s="56"/>
      <c r="AE92" s="57"/>
      <c r="AF92" s="56"/>
      <c r="AG92" s="56"/>
      <c r="AH92" s="56"/>
      <c r="AI92" s="3" t="s">
        <v>1583</v>
      </c>
    </row>
    <row r="93" spans="1:35" ht="27">
      <c r="A93" s="144">
        <f t="shared" si="1"/>
        <v>91</v>
      </c>
      <c r="B93" s="148"/>
      <c r="C93" s="148"/>
      <c r="D93" s="148"/>
      <c r="E93" s="148"/>
      <c r="F93" s="148"/>
      <c r="G93" s="148"/>
      <c r="H93" s="148"/>
      <c r="I93" s="148"/>
      <c r="J93" s="98" t="s">
        <v>2101</v>
      </c>
      <c r="K93" s="100" t="str">
        <f>_xlfn.XLOOKUP(L93,'99_マスタ'!$D$5:$D$18,'99_マスタ'!$C$5:$C$18,"")</f>
        <v>01_財務・業績指標</v>
      </c>
      <c r="L93" s="69" t="s">
        <v>2299</v>
      </c>
      <c r="M93" s="69" t="s">
        <v>164</v>
      </c>
      <c r="N93" s="54" t="s">
        <v>139</v>
      </c>
      <c r="O93" s="41" t="s">
        <v>165</v>
      </c>
      <c r="P93" s="41" t="s">
        <v>166</v>
      </c>
      <c r="Q93" s="41" t="s">
        <v>192</v>
      </c>
      <c r="R93" s="41" t="s">
        <v>167</v>
      </c>
      <c r="S93" s="41" t="s">
        <v>139</v>
      </c>
      <c r="T93" s="41" t="s">
        <v>139</v>
      </c>
      <c r="U93" s="41" t="s">
        <v>139</v>
      </c>
      <c r="V93" s="42" t="s">
        <v>1985</v>
      </c>
      <c r="W93" s="53" t="s">
        <v>117</v>
      </c>
      <c r="X93" s="54" t="s">
        <v>139</v>
      </c>
      <c r="Y93" s="54" t="s">
        <v>139</v>
      </c>
      <c r="Z93" s="54" t="s">
        <v>139</v>
      </c>
      <c r="AA93" s="54" t="s">
        <v>1965</v>
      </c>
      <c r="AB93" s="55"/>
      <c r="AC93" s="56"/>
      <c r="AD93" s="56"/>
      <c r="AE93" s="57"/>
      <c r="AF93" s="56"/>
      <c r="AG93" s="56"/>
      <c r="AH93" s="56"/>
      <c r="AI93" s="3" t="s">
        <v>1583</v>
      </c>
    </row>
    <row r="94" spans="1:35" ht="27">
      <c r="A94" s="144">
        <f t="shared" si="1"/>
        <v>92</v>
      </c>
      <c r="B94" s="148"/>
      <c r="C94" s="148"/>
      <c r="D94" s="148"/>
      <c r="E94" s="148"/>
      <c r="F94" s="148"/>
      <c r="G94" s="148"/>
      <c r="H94" s="148"/>
      <c r="I94" s="148"/>
      <c r="J94" s="98" t="s">
        <v>2101</v>
      </c>
      <c r="K94" s="101" t="str">
        <f>_xlfn.XLOOKUP(L94,'99_マスタ'!$D$5:$D$18,'99_マスタ'!$C$5:$C$18,"")</f>
        <v>01_財務・業績指標</v>
      </c>
      <c r="L94" s="71" t="s">
        <v>2299</v>
      </c>
      <c r="M94" s="71" t="s">
        <v>168</v>
      </c>
      <c r="N94" s="54" t="s">
        <v>139</v>
      </c>
      <c r="O94" s="41" t="s">
        <v>169</v>
      </c>
      <c r="P94" s="41" t="s">
        <v>170</v>
      </c>
      <c r="Q94" s="41" t="s">
        <v>192</v>
      </c>
      <c r="R94" s="41" t="s">
        <v>171</v>
      </c>
      <c r="S94" s="41" t="s">
        <v>139</v>
      </c>
      <c r="T94" s="41" t="s">
        <v>139</v>
      </c>
      <c r="U94" s="41" t="s">
        <v>139</v>
      </c>
      <c r="V94" s="42" t="s">
        <v>139</v>
      </c>
      <c r="W94" s="53" t="s">
        <v>163</v>
      </c>
      <c r="X94" s="54" t="s">
        <v>139</v>
      </c>
      <c r="Y94" s="54" t="s">
        <v>139</v>
      </c>
      <c r="Z94" s="54" t="s">
        <v>139</v>
      </c>
      <c r="AA94" s="54" t="s">
        <v>139</v>
      </c>
      <c r="AB94" s="55"/>
      <c r="AC94" s="56"/>
      <c r="AD94" s="56"/>
      <c r="AE94" s="57"/>
      <c r="AF94" s="56"/>
      <c r="AG94" s="56"/>
      <c r="AH94" s="56"/>
      <c r="AI94" s="3" t="s">
        <v>1583</v>
      </c>
    </row>
    <row r="95" spans="1:35" ht="67.5">
      <c r="A95" s="144">
        <f t="shared" si="1"/>
        <v>93</v>
      </c>
      <c r="B95" s="148"/>
      <c r="C95" s="148"/>
      <c r="D95" s="148"/>
      <c r="E95" s="148"/>
      <c r="F95" s="148"/>
      <c r="G95" s="148"/>
      <c r="H95" s="148"/>
      <c r="I95" s="148"/>
      <c r="J95" s="98" t="s">
        <v>2101</v>
      </c>
      <c r="K95" s="100" t="str">
        <f>_xlfn.XLOOKUP(L95,'99_マスタ'!$D$5:$D$18,'99_マスタ'!$C$5:$C$18,"")</f>
        <v>01_財務・業績指標</v>
      </c>
      <c r="L95" s="69" t="s">
        <v>2299</v>
      </c>
      <c r="M95" s="69" t="s">
        <v>2754</v>
      </c>
      <c r="N95" s="54" t="s">
        <v>139</v>
      </c>
      <c r="O95" s="70" t="s">
        <v>1639</v>
      </c>
      <c r="P95" s="70" t="s">
        <v>1640</v>
      </c>
      <c r="Q95" s="41" t="s">
        <v>192</v>
      </c>
      <c r="R95" s="41" t="s">
        <v>155</v>
      </c>
      <c r="S95" s="41" t="s">
        <v>2717</v>
      </c>
      <c r="T95" s="41" t="s">
        <v>139</v>
      </c>
      <c r="U95" s="41" t="s">
        <v>156</v>
      </c>
      <c r="V95" s="42" t="s">
        <v>3123</v>
      </c>
      <c r="W95" s="53" t="s">
        <v>114</v>
      </c>
      <c r="X95" s="54" t="s">
        <v>2729</v>
      </c>
      <c r="Y95" s="54" t="s">
        <v>139</v>
      </c>
      <c r="Z95" s="54" t="s">
        <v>1638</v>
      </c>
      <c r="AA95" s="54" t="s">
        <v>1687</v>
      </c>
      <c r="AB95" s="55" t="s">
        <v>3113</v>
      </c>
      <c r="AC95" s="56"/>
      <c r="AD95" s="56"/>
      <c r="AE95" s="57"/>
      <c r="AF95" s="56"/>
      <c r="AG95" s="56"/>
      <c r="AH95" s="56"/>
      <c r="AI95" s="3" t="s">
        <v>1583</v>
      </c>
    </row>
    <row r="96" spans="1:35" ht="40.5">
      <c r="A96" s="144">
        <f t="shared" si="1"/>
        <v>94</v>
      </c>
      <c r="B96" s="148"/>
      <c r="C96" s="148"/>
      <c r="D96" s="148"/>
      <c r="E96" s="148"/>
      <c r="F96" s="148"/>
      <c r="G96" s="148"/>
      <c r="H96" s="148"/>
      <c r="I96" s="148"/>
      <c r="J96" s="98" t="s">
        <v>2101</v>
      </c>
      <c r="K96" s="100" t="str">
        <f>_xlfn.XLOOKUP(L96,'99_マスタ'!$D$5:$D$18,'99_マスタ'!$C$5:$C$18,"")</f>
        <v>01_財務・業績指標</v>
      </c>
      <c r="L96" s="69" t="s">
        <v>2299</v>
      </c>
      <c r="M96" s="100" t="s">
        <v>1641</v>
      </c>
      <c r="N96" s="126" t="s">
        <v>1637</v>
      </c>
      <c r="O96" s="84" t="s">
        <v>1642</v>
      </c>
      <c r="P96" s="84" t="s">
        <v>2094</v>
      </c>
      <c r="Q96" s="40" t="s">
        <v>2093</v>
      </c>
      <c r="R96" s="41" t="s">
        <v>139</v>
      </c>
      <c r="S96" s="41" t="s">
        <v>139</v>
      </c>
      <c r="T96" s="41" t="s">
        <v>139</v>
      </c>
      <c r="U96" s="41" t="s">
        <v>2755</v>
      </c>
      <c r="V96" s="42" t="s">
        <v>1891</v>
      </c>
      <c r="W96" s="43" t="s">
        <v>139</v>
      </c>
      <c r="X96" s="41" t="s">
        <v>139</v>
      </c>
      <c r="Y96" s="41" t="s">
        <v>139</v>
      </c>
      <c r="Z96" s="41" t="s">
        <v>2756</v>
      </c>
      <c r="AA96" s="41" t="s">
        <v>1892</v>
      </c>
      <c r="AB96" s="44"/>
      <c r="AC96" s="45"/>
      <c r="AD96" s="45"/>
      <c r="AE96" s="46"/>
      <c r="AF96" s="45"/>
      <c r="AG96" s="45"/>
      <c r="AH96" s="45"/>
      <c r="AI96" s="3" t="s">
        <v>1583</v>
      </c>
    </row>
    <row r="97" spans="1:35" ht="40.5">
      <c r="A97" s="144">
        <f t="shared" si="1"/>
        <v>95</v>
      </c>
      <c r="B97" s="148"/>
      <c r="C97" s="148"/>
      <c r="D97" s="148"/>
      <c r="E97" s="148"/>
      <c r="F97" s="148"/>
      <c r="G97" s="148"/>
      <c r="H97" s="148"/>
      <c r="I97" s="148"/>
      <c r="J97" s="98" t="s">
        <v>2101</v>
      </c>
      <c r="K97" s="100" t="str">
        <f>_xlfn.XLOOKUP(L97,'99_マスタ'!$D$5:$D$18,'99_マスタ'!$C$5:$C$18,"")</f>
        <v>01_財務・業績指標</v>
      </c>
      <c r="L97" s="100" t="s">
        <v>2299</v>
      </c>
      <c r="M97" s="100" t="s">
        <v>1080</v>
      </c>
      <c r="N97" s="126" t="s">
        <v>2017</v>
      </c>
      <c r="O97" s="40" t="s">
        <v>1081</v>
      </c>
      <c r="P97" s="62"/>
      <c r="Q97" s="40" t="s">
        <v>1895</v>
      </c>
      <c r="R97" s="41" t="s">
        <v>139</v>
      </c>
      <c r="S97" s="41" t="s">
        <v>139</v>
      </c>
      <c r="T97" s="41" t="s">
        <v>1896</v>
      </c>
      <c r="U97" s="41" t="s">
        <v>139</v>
      </c>
      <c r="V97" s="42" t="s">
        <v>2018</v>
      </c>
      <c r="W97" s="43" t="s">
        <v>139</v>
      </c>
      <c r="X97" s="41" t="s">
        <v>139</v>
      </c>
      <c r="Y97" s="41" t="s">
        <v>1082</v>
      </c>
      <c r="Z97" s="41" t="s">
        <v>139</v>
      </c>
      <c r="AA97" s="41" t="s">
        <v>614</v>
      </c>
      <c r="AB97" s="44"/>
      <c r="AC97" s="45"/>
      <c r="AD97" s="45"/>
      <c r="AE97" s="46"/>
      <c r="AF97" s="45"/>
      <c r="AG97" s="45"/>
      <c r="AH97" s="45"/>
      <c r="AI97" s="3" t="s">
        <v>1583</v>
      </c>
    </row>
    <row r="98" spans="1:35" ht="27">
      <c r="A98" s="144">
        <f t="shared" si="1"/>
        <v>96</v>
      </c>
      <c r="B98" s="148"/>
      <c r="C98" s="148"/>
      <c r="D98" s="148"/>
      <c r="E98" s="148"/>
      <c r="F98" s="148"/>
      <c r="G98" s="148"/>
      <c r="H98" s="148"/>
      <c r="I98" s="148"/>
      <c r="J98" s="98" t="s">
        <v>2101</v>
      </c>
      <c r="K98" s="101" t="str">
        <f>_xlfn.XLOOKUP(L98,'99_マスタ'!$D$5:$D$18,'99_マスタ'!$C$5:$C$18,"")</f>
        <v>01_財務・業績指標</v>
      </c>
      <c r="L98" s="71" t="s">
        <v>2299</v>
      </c>
      <c r="M98" s="71" t="s">
        <v>151</v>
      </c>
      <c r="N98" s="54" t="s">
        <v>139</v>
      </c>
      <c r="O98" s="41" t="s">
        <v>152</v>
      </c>
      <c r="P98" s="41" t="s">
        <v>153</v>
      </c>
      <c r="Q98" s="41" t="s">
        <v>192</v>
      </c>
      <c r="R98" s="41" t="s">
        <v>154</v>
      </c>
      <c r="S98" s="41" t="s">
        <v>139</v>
      </c>
      <c r="T98" s="41" t="s">
        <v>139</v>
      </c>
      <c r="U98" s="41" t="s">
        <v>139</v>
      </c>
      <c r="V98" s="42" t="s">
        <v>139</v>
      </c>
      <c r="W98" s="53" t="s">
        <v>133</v>
      </c>
      <c r="X98" s="54" t="s">
        <v>139</v>
      </c>
      <c r="Y98" s="54" t="s">
        <v>139</v>
      </c>
      <c r="Z98" s="54" t="s">
        <v>139</v>
      </c>
      <c r="AA98" s="54" t="s">
        <v>139</v>
      </c>
      <c r="AB98" s="55"/>
      <c r="AC98" s="56"/>
      <c r="AD98" s="56"/>
      <c r="AE98" s="57"/>
      <c r="AF98" s="56"/>
      <c r="AG98" s="56"/>
      <c r="AH98" s="56"/>
      <c r="AI98" s="3" t="s">
        <v>1583</v>
      </c>
    </row>
    <row r="99" spans="1:35">
      <c r="A99" s="144">
        <f t="shared" si="1"/>
        <v>97</v>
      </c>
      <c r="B99" s="148"/>
      <c r="C99" s="148"/>
      <c r="D99" s="148"/>
      <c r="E99" s="148"/>
      <c r="F99" s="148"/>
      <c r="G99" s="148"/>
      <c r="H99" s="148"/>
      <c r="I99" s="148"/>
      <c r="J99" s="98" t="s">
        <v>2101</v>
      </c>
      <c r="K99" s="101" t="str">
        <f>_xlfn.XLOOKUP(L99,'99_マスタ'!$D$5:$D$18,'99_マスタ'!$C$5:$C$18,"")</f>
        <v>01_財務・業績指標</v>
      </c>
      <c r="L99" s="71" t="s">
        <v>2299</v>
      </c>
      <c r="M99" s="71" t="s">
        <v>143</v>
      </c>
      <c r="N99" s="54" t="s">
        <v>139</v>
      </c>
      <c r="O99" s="41" t="s">
        <v>144</v>
      </c>
      <c r="P99" s="41" t="s">
        <v>145</v>
      </c>
      <c r="Q99" s="41" t="s">
        <v>192</v>
      </c>
      <c r="R99" s="41" t="s">
        <v>146</v>
      </c>
      <c r="S99" s="41" t="s">
        <v>139</v>
      </c>
      <c r="T99" s="41" t="s">
        <v>139</v>
      </c>
      <c r="U99" s="41" t="s">
        <v>139</v>
      </c>
      <c r="V99" s="42" t="s">
        <v>139</v>
      </c>
      <c r="W99" s="53" t="s">
        <v>133</v>
      </c>
      <c r="X99" s="54" t="s">
        <v>139</v>
      </c>
      <c r="Y99" s="54" t="s">
        <v>139</v>
      </c>
      <c r="Z99" s="54" t="s">
        <v>139</v>
      </c>
      <c r="AA99" s="54" t="s">
        <v>139</v>
      </c>
      <c r="AB99" s="55"/>
      <c r="AC99" s="56"/>
      <c r="AD99" s="56"/>
      <c r="AE99" s="57"/>
      <c r="AF99" s="56"/>
      <c r="AG99" s="56"/>
      <c r="AH99" s="56"/>
      <c r="AI99" s="3" t="s">
        <v>1583</v>
      </c>
    </row>
    <row r="100" spans="1:35" ht="27">
      <c r="A100" s="144">
        <f t="shared" si="1"/>
        <v>98</v>
      </c>
      <c r="B100" s="148"/>
      <c r="C100" s="148"/>
      <c r="D100" s="148"/>
      <c r="E100" s="148"/>
      <c r="F100" s="148"/>
      <c r="G100" s="148"/>
      <c r="H100" s="148"/>
      <c r="I100" s="148"/>
      <c r="J100" s="98" t="s">
        <v>2101</v>
      </c>
      <c r="K100" s="101" t="str">
        <f>_xlfn.XLOOKUP(L100,'99_マスタ'!$D$5:$D$18,'99_マスタ'!$C$5:$C$18,"")</f>
        <v>01_財務・業績指標</v>
      </c>
      <c r="L100" s="71" t="s">
        <v>2299</v>
      </c>
      <c r="M100" s="71" t="s">
        <v>147</v>
      </c>
      <c r="N100" s="54" t="s">
        <v>139</v>
      </c>
      <c r="O100" s="41" t="s">
        <v>148</v>
      </c>
      <c r="P100" s="41" t="s">
        <v>149</v>
      </c>
      <c r="Q100" s="41" t="s">
        <v>192</v>
      </c>
      <c r="R100" s="41" t="s">
        <v>150</v>
      </c>
      <c r="S100" s="41" t="s">
        <v>139</v>
      </c>
      <c r="T100" s="41" t="s">
        <v>139</v>
      </c>
      <c r="U100" s="41" t="s">
        <v>139</v>
      </c>
      <c r="V100" s="42" t="s">
        <v>139</v>
      </c>
      <c r="W100" s="53" t="s">
        <v>133</v>
      </c>
      <c r="X100" s="54" t="s">
        <v>139</v>
      </c>
      <c r="Y100" s="54" t="s">
        <v>139</v>
      </c>
      <c r="Z100" s="54" t="s">
        <v>139</v>
      </c>
      <c r="AA100" s="54" t="s">
        <v>139</v>
      </c>
      <c r="AB100" s="55"/>
      <c r="AC100" s="56"/>
      <c r="AD100" s="56"/>
      <c r="AE100" s="57"/>
      <c r="AF100" s="56"/>
      <c r="AG100" s="56"/>
      <c r="AH100" s="56"/>
      <c r="AI100" s="3" t="s">
        <v>1583</v>
      </c>
    </row>
    <row r="101" spans="1:35" ht="27">
      <c r="A101" s="144">
        <f t="shared" si="1"/>
        <v>99</v>
      </c>
      <c r="B101" s="148"/>
      <c r="C101" s="148"/>
      <c r="D101" s="148"/>
      <c r="E101" s="148"/>
      <c r="F101" s="148"/>
      <c r="G101" s="148"/>
      <c r="H101" s="148"/>
      <c r="I101" s="148"/>
      <c r="J101" s="98" t="s">
        <v>2101</v>
      </c>
      <c r="K101" s="100" t="str">
        <f>_xlfn.XLOOKUP(L101,'99_マスタ'!$D$5:$D$18,'99_マスタ'!$C$5:$C$18,"")</f>
        <v>01_財務・業績指標</v>
      </c>
      <c r="L101" s="69" t="s">
        <v>2299</v>
      </c>
      <c r="M101" s="100" t="s">
        <v>2896</v>
      </c>
      <c r="N101" s="126" t="s">
        <v>1637</v>
      </c>
      <c r="O101" s="40" t="s">
        <v>2903</v>
      </c>
      <c r="P101" s="40" t="s">
        <v>2904</v>
      </c>
      <c r="Q101" s="40" t="s">
        <v>2093</v>
      </c>
      <c r="R101" s="41" t="s">
        <v>139</v>
      </c>
      <c r="S101" s="41" t="s">
        <v>139</v>
      </c>
      <c r="T101" s="41" t="s">
        <v>139</v>
      </c>
      <c r="U101" s="41" t="s">
        <v>139</v>
      </c>
      <c r="V101" s="42" t="s">
        <v>139</v>
      </c>
      <c r="W101" s="43" t="s">
        <v>139</v>
      </c>
      <c r="X101" s="41" t="s">
        <v>139</v>
      </c>
      <c r="Y101" s="41" t="s">
        <v>139</v>
      </c>
      <c r="Z101" s="41" t="s">
        <v>139</v>
      </c>
      <c r="AA101" s="41" t="s">
        <v>139</v>
      </c>
      <c r="AB101" s="44"/>
      <c r="AC101" s="45"/>
      <c r="AD101" s="45"/>
      <c r="AE101" s="46"/>
      <c r="AF101" s="45"/>
      <c r="AG101" s="45"/>
      <c r="AH101" s="45"/>
      <c r="AI101" s="3" t="s">
        <v>1583</v>
      </c>
    </row>
    <row r="102" spans="1:35" ht="40.5">
      <c r="A102" s="144">
        <f t="shared" si="1"/>
        <v>100</v>
      </c>
      <c r="B102" s="148"/>
      <c r="C102" s="148"/>
      <c r="D102" s="148"/>
      <c r="E102" s="148"/>
      <c r="F102" s="148"/>
      <c r="G102" s="148"/>
      <c r="H102" s="148"/>
      <c r="I102" s="148"/>
      <c r="J102" s="98" t="s">
        <v>2101</v>
      </c>
      <c r="K102" s="101" t="str">
        <f>_xlfn.XLOOKUP(L102,'99_マスタ'!$D$5:$D$18,'99_マスタ'!$C$5:$C$18,"")</f>
        <v>01_財務・業績指標</v>
      </c>
      <c r="L102" s="101" t="s">
        <v>2299</v>
      </c>
      <c r="M102" s="101" t="s">
        <v>1272</v>
      </c>
      <c r="N102" s="126" t="s">
        <v>1273</v>
      </c>
      <c r="O102" s="40" t="s">
        <v>1274</v>
      </c>
      <c r="P102" s="40" t="s">
        <v>1275</v>
      </c>
      <c r="Q102" s="40" t="s">
        <v>1140</v>
      </c>
      <c r="R102" s="41" t="s">
        <v>1276</v>
      </c>
      <c r="S102" s="41" t="s">
        <v>139</v>
      </c>
      <c r="T102" s="41" t="s">
        <v>139</v>
      </c>
      <c r="U102" s="41" t="s">
        <v>139</v>
      </c>
      <c r="V102" s="42" t="s">
        <v>139</v>
      </c>
      <c r="W102" s="43" t="s">
        <v>1277</v>
      </c>
      <c r="X102" s="41" t="s">
        <v>139</v>
      </c>
      <c r="Y102" s="41" t="s">
        <v>139</v>
      </c>
      <c r="Z102" s="41" t="s">
        <v>139</v>
      </c>
      <c r="AA102" s="41" t="s">
        <v>139</v>
      </c>
      <c r="AB102" s="44"/>
      <c r="AC102" s="45"/>
      <c r="AD102" s="45"/>
      <c r="AE102" s="46"/>
      <c r="AF102" s="45"/>
      <c r="AG102" s="45"/>
      <c r="AH102" s="45"/>
      <c r="AI102" s="3" t="s">
        <v>1583</v>
      </c>
    </row>
    <row r="103" spans="1:35">
      <c r="A103" s="144">
        <f t="shared" si="1"/>
        <v>101</v>
      </c>
      <c r="B103" s="148"/>
      <c r="C103" s="148"/>
      <c r="D103" s="148"/>
      <c r="E103" s="148"/>
      <c r="F103" s="148"/>
      <c r="G103" s="148"/>
      <c r="H103" s="148"/>
      <c r="I103" s="148"/>
      <c r="J103" s="98" t="s">
        <v>2101</v>
      </c>
      <c r="K103" s="100" t="str">
        <f>_xlfn.XLOOKUP(L103,'99_マスタ'!$D$5:$D$18,'99_マスタ'!$C$5:$C$18,"")</f>
        <v>01_財務・業績指標</v>
      </c>
      <c r="L103" s="65" t="s">
        <v>2301</v>
      </c>
      <c r="M103" s="69" t="s">
        <v>1675</v>
      </c>
      <c r="N103" s="126" t="s">
        <v>139</v>
      </c>
      <c r="O103" s="40" t="s">
        <v>1676</v>
      </c>
      <c r="P103" s="47" t="s">
        <v>1677</v>
      </c>
      <c r="Q103" s="40" t="s">
        <v>1665</v>
      </c>
      <c r="R103" s="41" t="s">
        <v>139</v>
      </c>
      <c r="S103" s="41" t="s">
        <v>139</v>
      </c>
      <c r="T103" s="41" t="s">
        <v>139</v>
      </c>
      <c r="U103" s="41" t="s">
        <v>139</v>
      </c>
      <c r="V103" s="42" t="s">
        <v>302</v>
      </c>
      <c r="W103" s="43" t="s">
        <v>139</v>
      </c>
      <c r="X103" s="41" t="s">
        <v>139</v>
      </c>
      <c r="Y103" s="41" t="s">
        <v>139</v>
      </c>
      <c r="Z103" s="41" t="s">
        <v>139</v>
      </c>
      <c r="AA103" s="41" t="s">
        <v>302</v>
      </c>
      <c r="AB103" s="44"/>
      <c r="AC103" s="45"/>
      <c r="AD103" s="45"/>
      <c r="AE103" s="46"/>
      <c r="AF103" s="45"/>
      <c r="AG103" s="45"/>
      <c r="AH103" s="45"/>
      <c r="AI103" s="3" t="s">
        <v>1583</v>
      </c>
    </row>
    <row r="104" spans="1:35">
      <c r="A104" s="144">
        <f t="shared" si="1"/>
        <v>102</v>
      </c>
      <c r="B104" s="148"/>
      <c r="C104" s="148"/>
      <c r="D104" s="148"/>
      <c r="E104" s="148"/>
      <c r="F104" s="148"/>
      <c r="G104" s="148"/>
      <c r="H104" s="148"/>
      <c r="I104" s="148"/>
      <c r="J104" s="98" t="s">
        <v>2101</v>
      </c>
      <c r="K104" s="100" t="str">
        <f>_xlfn.XLOOKUP(L104,'99_マスタ'!$D$5:$D$18,'99_マスタ'!$C$5:$C$18,"")</f>
        <v>01_財務・業績指標</v>
      </c>
      <c r="L104" s="65" t="s">
        <v>2301</v>
      </c>
      <c r="M104" s="69" t="s">
        <v>1672</v>
      </c>
      <c r="N104" s="126" t="s">
        <v>139</v>
      </c>
      <c r="O104" s="40" t="s">
        <v>1673</v>
      </c>
      <c r="P104" s="47" t="s">
        <v>1674</v>
      </c>
      <c r="Q104" s="40" t="s">
        <v>1665</v>
      </c>
      <c r="R104" s="41" t="s">
        <v>139</v>
      </c>
      <c r="S104" s="41" t="s">
        <v>139</v>
      </c>
      <c r="T104" s="41" t="s">
        <v>139</v>
      </c>
      <c r="U104" s="41" t="s">
        <v>139</v>
      </c>
      <c r="V104" s="42" t="s">
        <v>302</v>
      </c>
      <c r="W104" s="43" t="s">
        <v>139</v>
      </c>
      <c r="X104" s="41" t="s">
        <v>139</v>
      </c>
      <c r="Y104" s="41" t="s">
        <v>139</v>
      </c>
      <c r="Z104" s="41" t="s">
        <v>139</v>
      </c>
      <c r="AA104" s="41" t="s">
        <v>302</v>
      </c>
      <c r="AB104" s="44"/>
      <c r="AC104" s="45"/>
      <c r="AD104" s="45"/>
      <c r="AE104" s="46"/>
      <c r="AF104" s="45"/>
      <c r="AG104" s="45"/>
      <c r="AH104" s="45"/>
      <c r="AI104" s="3" t="s">
        <v>1583</v>
      </c>
    </row>
    <row r="105" spans="1:35">
      <c r="A105" s="144">
        <f t="shared" si="1"/>
        <v>103</v>
      </c>
      <c r="B105" s="148"/>
      <c r="C105" s="148"/>
      <c r="D105" s="148"/>
      <c r="E105" s="148"/>
      <c r="F105" s="148"/>
      <c r="G105" s="148"/>
      <c r="H105" s="148"/>
      <c r="I105" s="148"/>
      <c r="J105" s="98" t="s">
        <v>2101</v>
      </c>
      <c r="K105" s="100" t="str">
        <f>_xlfn.XLOOKUP(L105,'99_マスタ'!$D$5:$D$18,'99_マスタ'!$C$5:$C$18,"")</f>
        <v>01_財務・業績指標</v>
      </c>
      <c r="L105" s="65" t="s">
        <v>2301</v>
      </c>
      <c r="M105" s="69" t="s">
        <v>1659</v>
      </c>
      <c r="N105" s="126" t="s">
        <v>139</v>
      </c>
      <c r="O105" s="62" t="s">
        <v>1660</v>
      </c>
      <c r="P105" s="62"/>
      <c r="Q105" s="40" t="s">
        <v>1645</v>
      </c>
      <c r="R105" s="41" t="s">
        <v>139</v>
      </c>
      <c r="S105" s="41" t="s">
        <v>139</v>
      </c>
      <c r="T105" s="41" t="s">
        <v>139</v>
      </c>
      <c r="U105" s="41" t="s">
        <v>139</v>
      </c>
      <c r="V105" s="42" t="s">
        <v>302</v>
      </c>
      <c r="W105" s="43" t="s">
        <v>139</v>
      </c>
      <c r="X105" s="41" t="s">
        <v>139</v>
      </c>
      <c r="Y105" s="41" t="s">
        <v>139</v>
      </c>
      <c r="Z105" s="41" t="s">
        <v>139</v>
      </c>
      <c r="AA105" s="41" t="s">
        <v>302</v>
      </c>
      <c r="AB105" s="44"/>
      <c r="AC105" s="45"/>
      <c r="AD105" s="45"/>
      <c r="AE105" s="46"/>
      <c r="AF105" s="45"/>
      <c r="AG105" s="45"/>
      <c r="AH105" s="45"/>
      <c r="AI105" s="3" t="s">
        <v>1583</v>
      </c>
    </row>
    <row r="106" spans="1:35">
      <c r="A106" s="144">
        <f t="shared" si="1"/>
        <v>104</v>
      </c>
      <c r="B106" s="148"/>
      <c r="C106" s="148"/>
      <c r="D106" s="148"/>
      <c r="E106" s="148"/>
      <c r="F106" s="148"/>
      <c r="G106" s="148"/>
      <c r="H106" s="148"/>
      <c r="I106" s="148"/>
      <c r="J106" s="98" t="s">
        <v>2101</v>
      </c>
      <c r="K106" s="100" t="str">
        <f>_xlfn.XLOOKUP(L106,'99_マスタ'!$D$5:$D$18,'99_マスタ'!$C$5:$C$18,"")</f>
        <v>01_財務・業績指標</v>
      </c>
      <c r="L106" s="65" t="s">
        <v>2301</v>
      </c>
      <c r="M106" s="69" t="s">
        <v>1678</v>
      </c>
      <c r="N106" s="126" t="s">
        <v>139</v>
      </c>
      <c r="O106" s="40" t="s">
        <v>1682</v>
      </c>
      <c r="P106" s="47" t="s">
        <v>1679</v>
      </c>
      <c r="Q106" s="40" t="s">
        <v>1665</v>
      </c>
      <c r="R106" s="41" t="s">
        <v>139</v>
      </c>
      <c r="S106" s="41" t="s">
        <v>139</v>
      </c>
      <c r="T106" s="41" t="s">
        <v>139</v>
      </c>
      <c r="U106" s="41" t="s">
        <v>139</v>
      </c>
      <c r="V106" s="42" t="s">
        <v>302</v>
      </c>
      <c r="W106" s="43" t="s">
        <v>139</v>
      </c>
      <c r="X106" s="41" t="s">
        <v>139</v>
      </c>
      <c r="Y106" s="41" t="s">
        <v>139</v>
      </c>
      <c r="Z106" s="41" t="s">
        <v>139</v>
      </c>
      <c r="AA106" s="41" t="s">
        <v>302</v>
      </c>
      <c r="AB106" s="44"/>
      <c r="AC106" s="45"/>
      <c r="AD106" s="45"/>
      <c r="AE106" s="46"/>
      <c r="AF106" s="45"/>
      <c r="AG106" s="45"/>
      <c r="AH106" s="45"/>
      <c r="AI106" s="3" t="s">
        <v>1583</v>
      </c>
    </row>
    <row r="107" spans="1:35" ht="27">
      <c r="A107" s="144">
        <f t="shared" si="1"/>
        <v>105</v>
      </c>
      <c r="B107" s="148"/>
      <c r="C107" s="148"/>
      <c r="D107" s="148"/>
      <c r="E107" s="148"/>
      <c r="F107" s="148"/>
      <c r="G107" s="148"/>
      <c r="H107" s="148"/>
      <c r="I107" s="148"/>
      <c r="J107" s="98" t="s">
        <v>2101</v>
      </c>
      <c r="K107" s="100" t="str">
        <f>_xlfn.XLOOKUP(L107,'99_マスタ'!$D$5:$D$18,'99_マスタ'!$C$5:$C$18,"")</f>
        <v>01_財務・業績指標</v>
      </c>
      <c r="L107" s="65" t="s">
        <v>2301</v>
      </c>
      <c r="M107" s="69" t="s">
        <v>1680</v>
      </c>
      <c r="N107" s="126" t="s">
        <v>139</v>
      </c>
      <c r="O107" s="40" t="s">
        <v>1681</v>
      </c>
      <c r="P107" s="47" t="s">
        <v>1683</v>
      </c>
      <c r="Q107" s="40" t="s">
        <v>1665</v>
      </c>
      <c r="R107" s="41" t="s">
        <v>139</v>
      </c>
      <c r="S107" s="41" t="s">
        <v>139</v>
      </c>
      <c r="T107" s="41" t="s">
        <v>139</v>
      </c>
      <c r="U107" s="41" t="s">
        <v>139</v>
      </c>
      <c r="V107" s="42" t="s">
        <v>302</v>
      </c>
      <c r="W107" s="43" t="s">
        <v>139</v>
      </c>
      <c r="X107" s="41" t="s">
        <v>139</v>
      </c>
      <c r="Y107" s="41" t="s">
        <v>139</v>
      </c>
      <c r="Z107" s="41" t="s">
        <v>139</v>
      </c>
      <c r="AA107" s="41" t="s">
        <v>302</v>
      </c>
      <c r="AB107" s="44"/>
      <c r="AC107" s="45"/>
      <c r="AD107" s="45"/>
      <c r="AE107" s="46"/>
      <c r="AF107" s="45"/>
      <c r="AG107" s="45"/>
      <c r="AH107" s="45"/>
      <c r="AI107" s="3" t="s">
        <v>1583</v>
      </c>
    </row>
    <row r="108" spans="1:35" ht="54">
      <c r="A108" s="144">
        <f t="shared" si="1"/>
        <v>106</v>
      </c>
      <c r="B108" s="148"/>
      <c r="C108" s="148"/>
      <c r="D108" s="148"/>
      <c r="E108" s="148"/>
      <c r="F108" s="148"/>
      <c r="G108" s="148"/>
      <c r="H108" s="148"/>
      <c r="I108" s="148"/>
      <c r="J108" s="98" t="s">
        <v>2101</v>
      </c>
      <c r="K108" s="100" t="str">
        <f>_xlfn.XLOOKUP(L108,'99_マスタ'!$D$5:$D$18,'99_マスタ'!$C$5:$C$18,"")</f>
        <v>01_財務・業績指標</v>
      </c>
      <c r="L108" s="65" t="s">
        <v>2301</v>
      </c>
      <c r="M108" s="69" t="s">
        <v>1685</v>
      </c>
      <c r="N108" s="126" t="s">
        <v>139</v>
      </c>
      <c r="O108" s="40" t="s">
        <v>1686</v>
      </c>
      <c r="P108" s="47"/>
      <c r="Q108" s="40" t="s">
        <v>1645</v>
      </c>
      <c r="R108" s="41" t="s">
        <v>139</v>
      </c>
      <c r="S108" s="41" t="s">
        <v>139</v>
      </c>
      <c r="T108" s="41" t="s">
        <v>139</v>
      </c>
      <c r="U108" s="41" t="s">
        <v>139</v>
      </c>
      <c r="V108" s="42" t="s">
        <v>302</v>
      </c>
      <c r="W108" s="43" t="s">
        <v>139</v>
      </c>
      <c r="X108" s="41" t="s">
        <v>139</v>
      </c>
      <c r="Y108" s="41" t="s">
        <v>139</v>
      </c>
      <c r="Z108" s="41" t="s">
        <v>139</v>
      </c>
      <c r="AA108" s="41" t="s">
        <v>302</v>
      </c>
      <c r="AB108" s="44"/>
      <c r="AC108" s="45"/>
      <c r="AD108" s="45"/>
      <c r="AE108" s="46"/>
      <c r="AF108" s="45"/>
      <c r="AG108" s="45"/>
      <c r="AH108" s="45"/>
      <c r="AI108" s="3" t="s">
        <v>1583</v>
      </c>
    </row>
    <row r="109" spans="1:35">
      <c r="A109" s="144">
        <f t="shared" si="1"/>
        <v>107</v>
      </c>
      <c r="B109" s="148"/>
      <c r="C109" s="148"/>
      <c r="D109" s="148"/>
      <c r="E109" s="148"/>
      <c r="F109" s="148"/>
      <c r="G109" s="148"/>
      <c r="H109" s="148"/>
      <c r="I109" s="148"/>
      <c r="J109" s="98" t="s">
        <v>2101</v>
      </c>
      <c r="K109" s="100" t="str">
        <f>_xlfn.XLOOKUP(L109,'99_マスタ'!$D$5:$D$18,'99_マスタ'!$C$5:$C$18,"")</f>
        <v>01_財務・業績指標</v>
      </c>
      <c r="L109" s="65" t="s">
        <v>2301</v>
      </c>
      <c r="M109" s="69" t="s">
        <v>1661</v>
      </c>
      <c r="N109" s="126" t="s">
        <v>139</v>
      </c>
      <c r="O109" s="62" t="s">
        <v>1662</v>
      </c>
      <c r="P109" s="62" t="s">
        <v>1663</v>
      </c>
      <c r="Q109" s="40" t="s">
        <v>1645</v>
      </c>
      <c r="R109" s="41" t="s">
        <v>139</v>
      </c>
      <c r="S109" s="41" t="s">
        <v>139</v>
      </c>
      <c r="T109" s="41" t="s">
        <v>139</v>
      </c>
      <c r="U109" s="41" t="s">
        <v>139</v>
      </c>
      <c r="V109" s="42" t="s">
        <v>302</v>
      </c>
      <c r="W109" s="43" t="s">
        <v>139</v>
      </c>
      <c r="X109" s="41" t="s">
        <v>139</v>
      </c>
      <c r="Y109" s="41" t="s">
        <v>139</v>
      </c>
      <c r="Z109" s="41" t="s">
        <v>139</v>
      </c>
      <c r="AA109" s="41" t="s">
        <v>302</v>
      </c>
      <c r="AB109" s="44"/>
      <c r="AC109" s="45"/>
      <c r="AD109" s="45"/>
      <c r="AE109" s="46"/>
      <c r="AF109" s="45"/>
      <c r="AG109" s="45"/>
      <c r="AH109" s="45"/>
      <c r="AI109" s="3" t="s">
        <v>1583</v>
      </c>
    </row>
    <row r="110" spans="1:35" ht="40.5">
      <c r="A110" s="144">
        <f t="shared" si="1"/>
        <v>108</v>
      </c>
      <c r="B110" s="148"/>
      <c r="C110" s="148"/>
      <c r="D110" s="148"/>
      <c r="E110" s="148"/>
      <c r="F110" s="148"/>
      <c r="G110" s="148"/>
      <c r="H110" s="148"/>
      <c r="I110" s="148"/>
      <c r="J110" s="98" t="s">
        <v>2101</v>
      </c>
      <c r="K110" s="100" t="str">
        <f>_xlfn.XLOOKUP(L110,'99_マスタ'!$D$5:$D$18,'99_マスタ'!$C$5:$C$18,"")</f>
        <v>01_財務・業績指標</v>
      </c>
      <c r="L110" s="100" t="s">
        <v>2301</v>
      </c>
      <c r="M110" s="100" t="s">
        <v>1364</v>
      </c>
      <c r="N110" s="126" t="s">
        <v>139</v>
      </c>
      <c r="O110" s="40" t="s">
        <v>2086</v>
      </c>
      <c r="P110" s="62" t="s">
        <v>1365</v>
      </c>
      <c r="Q110" s="40" t="s">
        <v>672</v>
      </c>
      <c r="R110" s="41" t="s">
        <v>139</v>
      </c>
      <c r="S110" s="41" t="s">
        <v>139</v>
      </c>
      <c r="T110" s="41" t="s">
        <v>139</v>
      </c>
      <c r="U110" s="41" t="s">
        <v>139</v>
      </c>
      <c r="V110" s="42" t="s">
        <v>1600</v>
      </c>
      <c r="W110" s="43" t="s">
        <v>139</v>
      </c>
      <c r="X110" s="41" t="s">
        <v>139</v>
      </c>
      <c r="Y110" s="41" t="s">
        <v>139</v>
      </c>
      <c r="Z110" s="41" t="s">
        <v>139</v>
      </c>
      <c r="AA110" s="41" t="s">
        <v>1600</v>
      </c>
      <c r="AB110" s="44" t="s">
        <v>1586</v>
      </c>
      <c r="AC110" s="45"/>
      <c r="AD110" s="45"/>
      <c r="AE110" s="46"/>
      <c r="AF110" s="45"/>
      <c r="AG110" s="45"/>
      <c r="AH110" s="45"/>
      <c r="AI110" s="3" t="s">
        <v>1583</v>
      </c>
    </row>
    <row r="111" spans="1:35">
      <c r="A111" s="144">
        <f t="shared" si="1"/>
        <v>109</v>
      </c>
      <c r="B111" s="148"/>
      <c r="C111" s="148"/>
      <c r="D111" s="148"/>
      <c r="E111" s="148"/>
      <c r="F111" s="148"/>
      <c r="G111" s="148"/>
      <c r="H111" s="148"/>
      <c r="I111" s="148"/>
      <c r="J111" s="98" t="s">
        <v>2101</v>
      </c>
      <c r="K111" s="100" t="str">
        <f>_xlfn.XLOOKUP(L111,'99_マスタ'!$D$5:$D$18,'99_マスタ'!$C$5:$C$18,"")</f>
        <v>01_財務・業績指標</v>
      </c>
      <c r="L111" s="100" t="s">
        <v>2301</v>
      </c>
      <c r="M111" s="100" t="s">
        <v>1366</v>
      </c>
      <c r="N111" s="126" t="s">
        <v>1367</v>
      </c>
      <c r="O111" s="40" t="s">
        <v>1368</v>
      </c>
      <c r="P111" s="40" t="s">
        <v>1369</v>
      </c>
      <c r="Q111" s="40" t="s">
        <v>192</v>
      </c>
      <c r="R111" s="41" t="s">
        <v>139</v>
      </c>
      <c r="S111" s="41" t="s">
        <v>139</v>
      </c>
      <c r="T111" s="41" t="s">
        <v>139</v>
      </c>
      <c r="U111" s="41" t="s">
        <v>139</v>
      </c>
      <c r="V111" s="42" t="s">
        <v>1600</v>
      </c>
      <c r="W111" s="43" t="s">
        <v>139</v>
      </c>
      <c r="X111" s="41" t="s">
        <v>139</v>
      </c>
      <c r="Y111" s="41" t="s">
        <v>139</v>
      </c>
      <c r="Z111" s="41" t="s">
        <v>139</v>
      </c>
      <c r="AA111" s="41" t="s">
        <v>302</v>
      </c>
      <c r="AB111" s="44"/>
      <c r="AC111" s="45"/>
      <c r="AD111" s="45"/>
      <c r="AE111" s="46"/>
      <c r="AF111" s="45"/>
      <c r="AG111" s="45"/>
      <c r="AH111" s="45"/>
      <c r="AI111" s="3" t="s">
        <v>1583</v>
      </c>
    </row>
    <row r="112" spans="1:35">
      <c r="A112" s="144">
        <f t="shared" si="1"/>
        <v>110</v>
      </c>
      <c r="B112" s="148"/>
      <c r="C112" s="148"/>
      <c r="D112" s="148"/>
      <c r="E112" s="148"/>
      <c r="F112" s="148"/>
      <c r="G112" s="148"/>
      <c r="H112" s="148"/>
      <c r="I112" s="148"/>
      <c r="J112" s="98" t="s">
        <v>2101</v>
      </c>
      <c r="K112" s="100" t="str">
        <f>_xlfn.XLOOKUP(L112,'99_マスタ'!$D$5:$D$18,'99_マスタ'!$C$5:$C$18,"")</f>
        <v>01_財務・業績指標</v>
      </c>
      <c r="L112" s="100" t="s">
        <v>2301</v>
      </c>
      <c r="M112" s="100" t="s">
        <v>1361</v>
      </c>
      <c r="N112" s="126" t="s">
        <v>1362</v>
      </c>
      <c r="O112" s="40" t="s">
        <v>1656</v>
      </c>
      <c r="P112" s="40" t="s">
        <v>1363</v>
      </c>
      <c r="Q112" s="40" t="s">
        <v>1645</v>
      </c>
      <c r="R112" s="41" t="s">
        <v>139</v>
      </c>
      <c r="S112" s="41" t="s">
        <v>139</v>
      </c>
      <c r="T112" s="41" t="s">
        <v>139</v>
      </c>
      <c r="U112" s="41" t="s">
        <v>139</v>
      </c>
      <c r="V112" s="42" t="s">
        <v>1600</v>
      </c>
      <c r="W112" s="43" t="s">
        <v>139</v>
      </c>
      <c r="X112" s="41" t="s">
        <v>139</v>
      </c>
      <c r="Y112" s="41" t="s">
        <v>139</v>
      </c>
      <c r="Z112" s="41" t="s">
        <v>139</v>
      </c>
      <c r="AA112" s="41" t="s">
        <v>302</v>
      </c>
      <c r="AB112" s="44" t="s">
        <v>1585</v>
      </c>
      <c r="AC112" s="45"/>
      <c r="AD112" s="45"/>
      <c r="AE112" s="46"/>
      <c r="AF112" s="45"/>
      <c r="AG112" s="45"/>
      <c r="AH112" s="45"/>
      <c r="AI112" s="3" t="s">
        <v>1583</v>
      </c>
    </row>
    <row r="113" spans="1:35" ht="40.5">
      <c r="A113" s="144">
        <f t="shared" si="1"/>
        <v>111</v>
      </c>
      <c r="B113" s="148"/>
      <c r="C113" s="148"/>
      <c r="D113" s="148"/>
      <c r="E113" s="148"/>
      <c r="F113" s="148"/>
      <c r="G113" s="148"/>
      <c r="H113" s="148"/>
      <c r="I113" s="148"/>
      <c r="J113" s="100" t="s">
        <v>2101</v>
      </c>
      <c r="K113" s="99" t="str">
        <f>_xlfn.XLOOKUP(L113,'99_マスタ'!$D$5:$D$18,'99_マスタ'!$C$5:$C$18,"")</f>
        <v>02_生販在</v>
      </c>
      <c r="L113" s="99" t="s">
        <v>2302</v>
      </c>
      <c r="M113" s="99" t="s">
        <v>2349</v>
      </c>
      <c r="N113" s="126" t="s">
        <v>1637</v>
      </c>
      <c r="O113" s="40" t="s">
        <v>2350</v>
      </c>
      <c r="P113" s="47" t="s">
        <v>2351</v>
      </c>
      <c r="Q113" s="40" t="s">
        <v>2171</v>
      </c>
      <c r="R113" s="41" t="s">
        <v>139</v>
      </c>
      <c r="S113" s="41" t="s">
        <v>139</v>
      </c>
      <c r="T113" s="41" t="s">
        <v>139</v>
      </c>
      <c r="U113" s="41" t="s">
        <v>2334</v>
      </c>
      <c r="V113" s="42" t="s">
        <v>139</v>
      </c>
      <c r="W113" s="43" t="s">
        <v>139</v>
      </c>
      <c r="X113" s="41" t="s">
        <v>139</v>
      </c>
      <c r="Y113" s="41" t="s">
        <v>139</v>
      </c>
      <c r="Z113" s="41" t="s">
        <v>708</v>
      </c>
      <c r="AA113" s="41" t="s">
        <v>139</v>
      </c>
      <c r="AB113" s="44"/>
      <c r="AC113" s="45"/>
      <c r="AD113" s="45"/>
      <c r="AE113" s="46"/>
      <c r="AF113" s="45"/>
      <c r="AG113" s="45"/>
      <c r="AH113" s="45"/>
      <c r="AI113" s="3" t="s">
        <v>1583</v>
      </c>
    </row>
    <row r="114" spans="1:35" ht="40.5">
      <c r="A114" s="144">
        <f t="shared" si="1"/>
        <v>112</v>
      </c>
      <c r="B114" s="148"/>
      <c r="C114" s="148"/>
      <c r="D114" s="148"/>
      <c r="E114" s="148"/>
      <c r="F114" s="148"/>
      <c r="G114" s="148"/>
      <c r="H114" s="148"/>
      <c r="I114" s="148"/>
      <c r="J114" s="100" t="s">
        <v>2101</v>
      </c>
      <c r="K114" s="99" t="str">
        <f>_xlfn.XLOOKUP(L114,'99_マスタ'!$D$5:$D$18,'99_マスタ'!$C$5:$C$18,"")</f>
        <v>02_生販在</v>
      </c>
      <c r="L114" s="99" t="s">
        <v>2302</v>
      </c>
      <c r="M114" s="99" t="s">
        <v>2343</v>
      </c>
      <c r="N114" s="126" t="s">
        <v>1637</v>
      </c>
      <c r="O114" s="40" t="s">
        <v>2344</v>
      </c>
      <c r="P114" s="40" t="s">
        <v>2345</v>
      </c>
      <c r="Q114" s="40" t="s">
        <v>2171</v>
      </c>
      <c r="R114" s="41" t="s">
        <v>139</v>
      </c>
      <c r="S114" s="41" t="s">
        <v>139</v>
      </c>
      <c r="T114" s="41" t="s">
        <v>139</v>
      </c>
      <c r="U114" s="41" t="s">
        <v>2334</v>
      </c>
      <c r="V114" s="42" t="s">
        <v>139</v>
      </c>
      <c r="W114" s="43" t="s">
        <v>139</v>
      </c>
      <c r="X114" s="41" t="s">
        <v>139</v>
      </c>
      <c r="Y114" s="41" t="s">
        <v>139</v>
      </c>
      <c r="Z114" s="41" t="s">
        <v>2330</v>
      </c>
      <c r="AA114" s="41" t="s">
        <v>139</v>
      </c>
      <c r="AB114" s="44"/>
      <c r="AC114" s="45"/>
      <c r="AD114" s="45"/>
      <c r="AE114" s="46"/>
      <c r="AF114" s="45"/>
      <c r="AG114" s="45"/>
      <c r="AH114" s="45"/>
      <c r="AI114" s="3" t="s">
        <v>1583</v>
      </c>
    </row>
    <row r="115" spans="1:35" ht="40.5">
      <c r="A115" s="144">
        <f t="shared" si="1"/>
        <v>113</v>
      </c>
      <c r="B115" s="148"/>
      <c r="C115" s="148"/>
      <c r="D115" s="148"/>
      <c r="E115" s="148"/>
      <c r="F115" s="148"/>
      <c r="G115" s="148"/>
      <c r="H115" s="148"/>
      <c r="I115" s="148"/>
      <c r="J115" s="100" t="s">
        <v>2101</v>
      </c>
      <c r="K115" s="99" t="str">
        <f>_xlfn.XLOOKUP(L115,'99_マスタ'!$D$5:$D$18,'99_マスタ'!$C$5:$C$18,"")</f>
        <v>02_生販在</v>
      </c>
      <c r="L115" s="99" t="s">
        <v>2302</v>
      </c>
      <c r="M115" s="99" t="s">
        <v>2348</v>
      </c>
      <c r="N115" s="126" t="s">
        <v>3089</v>
      </c>
      <c r="O115" s="40" t="s">
        <v>3088</v>
      </c>
      <c r="P115" s="40" t="s">
        <v>3087</v>
      </c>
      <c r="Q115" s="40" t="s">
        <v>2171</v>
      </c>
      <c r="R115" s="41" t="s">
        <v>139</v>
      </c>
      <c r="S115" s="41" t="s">
        <v>139</v>
      </c>
      <c r="T115" s="41" t="s">
        <v>139</v>
      </c>
      <c r="U115" s="41" t="s">
        <v>3085</v>
      </c>
      <c r="V115" s="42" t="s">
        <v>139</v>
      </c>
      <c r="W115" s="43" t="s">
        <v>139</v>
      </c>
      <c r="X115" s="41" t="s">
        <v>139</v>
      </c>
      <c r="Y115" s="41" t="s">
        <v>139</v>
      </c>
      <c r="Z115" s="41" t="s">
        <v>3086</v>
      </c>
      <c r="AA115" s="41" t="s">
        <v>139</v>
      </c>
      <c r="AB115" s="44"/>
      <c r="AC115" s="45"/>
      <c r="AD115" s="45"/>
      <c r="AE115" s="46"/>
      <c r="AF115" s="45"/>
      <c r="AG115" s="45"/>
      <c r="AH115" s="45"/>
      <c r="AI115" s="3" t="s">
        <v>1583</v>
      </c>
    </row>
    <row r="116" spans="1:35" ht="40.5">
      <c r="A116" s="144">
        <f t="shared" si="1"/>
        <v>114</v>
      </c>
      <c r="B116" s="148"/>
      <c r="C116" s="148"/>
      <c r="D116" s="148"/>
      <c r="E116" s="148"/>
      <c r="F116" s="148"/>
      <c r="G116" s="148"/>
      <c r="H116" s="148"/>
      <c r="I116" s="148"/>
      <c r="J116" s="100" t="s">
        <v>2101</v>
      </c>
      <c r="K116" s="99" t="str">
        <f>_xlfn.XLOOKUP(L116,'99_マスタ'!$D$5:$D$18,'99_マスタ'!$C$5:$C$18,"")</f>
        <v>02_生販在</v>
      </c>
      <c r="L116" s="99" t="s">
        <v>2302</v>
      </c>
      <c r="M116" s="99" t="s">
        <v>2346</v>
      </c>
      <c r="N116" s="126" t="s">
        <v>1637</v>
      </c>
      <c r="O116" s="40" t="s">
        <v>2347</v>
      </c>
      <c r="P116" s="40"/>
      <c r="Q116" s="40" t="s">
        <v>2171</v>
      </c>
      <c r="R116" s="41" t="s">
        <v>139</v>
      </c>
      <c r="S116" s="41" t="s">
        <v>139</v>
      </c>
      <c r="T116" s="41" t="s">
        <v>139</v>
      </c>
      <c r="U116" s="41" t="s">
        <v>2334</v>
      </c>
      <c r="V116" s="42" t="s">
        <v>139</v>
      </c>
      <c r="W116" s="43" t="s">
        <v>139</v>
      </c>
      <c r="X116" s="41" t="s">
        <v>139</v>
      </c>
      <c r="Y116" s="41" t="s">
        <v>139</v>
      </c>
      <c r="Z116" s="41" t="s">
        <v>2330</v>
      </c>
      <c r="AA116" s="41" t="s">
        <v>139</v>
      </c>
      <c r="AB116" s="44"/>
      <c r="AC116" s="45"/>
      <c r="AD116" s="45"/>
      <c r="AE116" s="46"/>
      <c r="AF116" s="45"/>
      <c r="AG116" s="45"/>
      <c r="AH116" s="45"/>
      <c r="AI116" s="3" t="s">
        <v>1583</v>
      </c>
    </row>
    <row r="117" spans="1:35" ht="40.5">
      <c r="A117" s="144">
        <f t="shared" si="1"/>
        <v>115</v>
      </c>
      <c r="B117" s="148"/>
      <c r="C117" s="148"/>
      <c r="D117" s="148"/>
      <c r="E117" s="148"/>
      <c r="F117" s="148"/>
      <c r="G117" s="148"/>
      <c r="H117" s="148"/>
      <c r="I117" s="148"/>
      <c r="J117" s="98" t="s">
        <v>2101</v>
      </c>
      <c r="K117" s="100" t="str">
        <f>_xlfn.XLOOKUP(L117,'99_マスタ'!$D$5:$D$18,'99_マスタ'!$C$5:$C$18,"")</f>
        <v>02_生販在</v>
      </c>
      <c r="L117" s="100" t="s">
        <v>2302</v>
      </c>
      <c r="M117" s="100" t="s">
        <v>2360</v>
      </c>
      <c r="N117" s="126" t="s">
        <v>1637</v>
      </c>
      <c r="O117" s="40" t="s">
        <v>2361</v>
      </c>
      <c r="P117" s="59"/>
      <c r="Q117" s="40" t="s">
        <v>2355</v>
      </c>
      <c r="R117" s="41" t="s">
        <v>139</v>
      </c>
      <c r="S117" s="41" t="s">
        <v>139</v>
      </c>
      <c r="T117" s="41" t="s">
        <v>139</v>
      </c>
      <c r="U117" s="41" t="s">
        <v>2359</v>
      </c>
      <c r="V117" s="42" t="s">
        <v>139</v>
      </c>
      <c r="W117" s="43" t="s">
        <v>139</v>
      </c>
      <c r="X117" s="41" t="s">
        <v>139</v>
      </c>
      <c r="Y117" s="41" t="s">
        <v>139</v>
      </c>
      <c r="Z117" s="41" t="s">
        <v>2358</v>
      </c>
      <c r="AA117" s="41" t="s">
        <v>139</v>
      </c>
      <c r="AB117" s="44"/>
      <c r="AC117" s="45"/>
      <c r="AD117" s="45"/>
      <c r="AE117" s="46"/>
      <c r="AF117" s="45"/>
      <c r="AG117" s="45"/>
      <c r="AH117" s="45"/>
      <c r="AI117" s="3" t="s">
        <v>1583</v>
      </c>
    </row>
    <row r="118" spans="1:35" ht="40.5">
      <c r="A118" s="144">
        <f t="shared" si="1"/>
        <v>116</v>
      </c>
      <c r="B118" s="148"/>
      <c r="C118" s="148"/>
      <c r="D118" s="148"/>
      <c r="E118" s="148"/>
      <c r="F118" s="148"/>
      <c r="G118" s="148"/>
      <c r="H118" s="148"/>
      <c r="I118" s="148"/>
      <c r="J118" s="103" t="s">
        <v>2101</v>
      </c>
      <c r="K118" s="102" t="str">
        <f>_xlfn.XLOOKUP(L118,'99_マスタ'!$D$5:$D$18,'99_マスタ'!$C$5:$C$18,"")</f>
        <v>02_生販在</v>
      </c>
      <c r="L118" s="102" t="s">
        <v>2302</v>
      </c>
      <c r="M118" s="102" t="s">
        <v>1758</v>
      </c>
      <c r="N118" s="127" t="s">
        <v>1759</v>
      </c>
      <c r="O118" s="60" t="s">
        <v>1957</v>
      </c>
      <c r="P118" s="60" t="s">
        <v>1958</v>
      </c>
      <c r="Q118" s="60" t="s">
        <v>1760</v>
      </c>
      <c r="R118" s="48" t="s">
        <v>139</v>
      </c>
      <c r="S118" s="48" t="s">
        <v>139</v>
      </c>
      <c r="T118" s="79" t="s">
        <v>1761</v>
      </c>
      <c r="U118" s="48" t="s">
        <v>139</v>
      </c>
      <c r="V118" s="49" t="s">
        <v>139</v>
      </c>
      <c r="W118" s="50" t="s">
        <v>139</v>
      </c>
      <c r="X118" s="48" t="s">
        <v>139</v>
      </c>
      <c r="Y118" s="79" t="s">
        <v>1125</v>
      </c>
      <c r="Z118" s="48" t="s">
        <v>139</v>
      </c>
      <c r="AA118" s="48" t="s">
        <v>139</v>
      </c>
      <c r="AB118" s="44"/>
      <c r="AC118" s="45"/>
      <c r="AD118" s="45"/>
      <c r="AE118" s="46"/>
      <c r="AF118" s="45"/>
      <c r="AG118" s="45"/>
      <c r="AH118" s="45"/>
      <c r="AI118" s="3" t="s">
        <v>1583</v>
      </c>
    </row>
    <row r="119" spans="1:35" ht="54">
      <c r="A119" s="144">
        <f t="shared" si="1"/>
        <v>117</v>
      </c>
      <c r="B119" s="148"/>
      <c r="C119" s="148"/>
      <c r="D119" s="148"/>
      <c r="E119" s="148"/>
      <c r="F119" s="148"/>
      <c r="G119" s="148"/>
      <c r="H119" s="148"/>
      <c r="I119" s="148"/>
      <c r="J119" s="103" t="s">
        <v>2101</v>
      </c>
      <c r="K119" s="102" t="str">
        <f>_xlfn.XLOOKUP(L119,'99_マスタ'!$D$5:$D$18,'99_マスタ'!$C$5:$C$18,"")</f>
        <v>02_生販在</v>
      </c>
      <c r="L119" s="102" t="s">
        <v>2302</v>
      </c>
      <c r="M119" s="102" t="s">
        <v>1762</v>
      </c>
      <c r="N119" s="127" t="s">
        <v>139</v>
      </c>
      <c r="O119" s="60" t="s">
        <v>1763</v>
      </c>
      <c r="P119" s="60" t="s">
        <v>3063</v>
      </c>
      <c r="Q119" s="60" t="s">
        <v>1760</v>
      </c>
      <c r="R119" s="48" t="s">
        <v>139</v>
      </c>
      <c r="S119" s="48" t="s">
        <v>139</v>
      </c>
      <c r="T119" s="79" t="s">
        <v>1764</v>
      </c>
      <c r="U119" s="48" t="s">
        <v>139</v>
      </c>
      <c r="V119" s="49" t="s">
        <v>139</v>
      </c>
      <c r="W119" s="50" t="s">
        <v>139</v>
      </c>
      <c r="X119" s="48" t="s">
        <v>139</v>
      </c>
      <c r="Y119" s="79" t="s">
        <v>1125</v>
      </c>
      <c r="Z119" s="48" t="s">
        <v>139</v>
      </c>
      <c r="AA119" s="48" t="s">
        <v>139</v>
      </c>
      <c r="AB119" s="44"/>
      <c r="AC119" s="45"/>
      <c r="AD119" s="45"/>
      <c r="AE119" s="46"/>
      <c r="AF119" s="45"/>
      <c r="AG119" s="45"/>
      <c r="AH119" s="45"/>
      <c r="AI119" s="3" t="s">
        <v>1583</v>
      </c>
    </row>
    <row r="120" spans="1:35" ht="27">
      <c r="A120" s="144">
        <f t="shared" si="1"/>
        <v>118</v>
      </c>
      <c r="B120" s="148"/>
      <c r="C120" s="148"/>
      <c r="D120" s="148"/>
      <c r="E120" s="148"/>
      <c r="F120" s="148"/>
      <c r="G120" s="148"/>
      <c r="H120" s="148"/>
      <c r="I120" s="148"/>
      <c r="J120" s="100" t="s">
        <v>2101</v>
      </c>
      <c r="K120" s="99" t="str">
        <f>_xlfn.XLOOKUP(L120,'99_マスタ'!$D$5:$D$18,'99_マスタ'!$C$5:$C$18,"")</f>
        <v>02_生販在</v>
      </c>
      <c r="L120" s="102" t="s">
        <v>2302</v>
      </c>
      <c r="M120" s="99" t="s">
        <v>702</v>
      </c>
      <c r="N120" s="126" t="s">
        <v>703</v>
      </c>
      <c r="O120" s="40" t="s">
        <v>704</v>
      </c>
      <c r="P120" s="40"/>
      <c r="Q120" s="40" t="s">
        <v>672</v>
      </c>
      <c r="R120" s="41" t="s">
        <v>139</v>
      </c>
      <c r="S120" s="41" t="s">
        <v>139</v>
      </c>
      <c r="T120" s="41" t="s">
        <v>705</v>
      </c>
      <c r="U120" s="41" t="s">
        <v>706</v>
      </c>
      <c r="V120" s="42" t="s">
        <v>139</v>
      </c>
      <c r="W120" s="43" t="s">
        <v>139</v>
      </c>
      <c r="X120" s="41" t="s">
        <v>139</v>
      </c>
      <c r="Y120" s="41" t="s">
        <v>707</v>
      </c>
      <c r="Z120" s="41" t="s">
        <v>708</v>
      </c>
      <c r="AA120" s="41" t="s">
        <v>139</v>
      </c>
      <c r="AB120" s="44"/>
      <c r="AC120" s="45"/>
      <c r="AD120" s="45"/>
      <c r="AE120" s="46"/>
      <c r="AF120" s="45"/>
      <c r="AG120" s="45"/>
      <c r="AH120" s="45"/>
      <c r="AI120" s="3" t="s">
        <v>1583</v>
      </c>
    </row>
    <row r="121" spans="1:35" ht="27">
      <c r="A121" s="144">
        <f t="shared" si="1"/>
        <v>119</v>
      </c>
      <c r="B121" s="148"/>
      <c r="C121" s="148"/>
      <c r="D121" s="148"/>
      <c r="E121" s="148"/>
      <c r="F121" s="148"/>
      <c r="G121" s="148"/>
      <c r="H121" s="148"/>
      <c r="I121" s="148"/>
      <c r="J121" s="98" t="s">
        <v>2101</v>
      </c>
      <c r="K121" s="102" t="str">
        <f>_xlfn.XLOOKUP(L121,'99_マスタ'!$D$5:$D$18,'99_マスタ'!$C$5:$C$18,"")</f>
        <v>02_生販在</v>
      </c>
      <c r="L121" s="102" t="s">
        <v>2302</v>
      </c>
      <c r="M121" s="102" t="s">
        <v>3084</v>
      </c>
      <c r="N121" s="126" t="s">
        <v>1115</v>
      </c>
      <c r="O121" s="40" t="s">
        <v>1116</v>
      </c>
      <c r="P121" s="40" t="s">
        <v>1616</v>
      </c>
      <c r="Q121" s="40" t="s">
        <v>1113</v>
      </c>
      <c r="R121" s="41" t="s">
        <v>139</v>
      </c>
      <c r="S121" s="41" t="s">
        <v>139</v>
      </c>
      <c r="T121" s="41" t="s">
        <v>1117</v>
      </c>
      <c r="U121" s="41" t="s">
        <v>139</v>
      </c>
      <c r="V121" s="42" t="s">
        <v>139</v>
      </c>
      <c r="W121" s="43" t="s">
        <v>139</v>
      </c>
      <c r="X121" s="41" t="s">
        <v>139</v>
      </c>
      <c r="Y121" s="41" t="s">
        <v>1076</v>
      </c>
      <c r="Z121" s="41" t="s">
        <v>139</v>
      </c>
      <c r="AA121" s="41" t="s">
        <v>139</v>
      </c>
      <c r="AB121" s="44"/>
      <c r="AC121" s="45"/>
      <c r="AD121" s="45"/>
      <c r="AE121" s="46"/>
      <c r="AF121" s="45"/>
      <c r="AG121" s="45"/>
      <c r="AH121" s="45"/>
      <c r="AI121" s="3" t="s">
        <v>1583</v>
      </c>
    </row>
    <row r="122" spans="1:35" ht="54">
      <c r="A122" s="144">
        <f t="shared" si="1"/>
        <v>120</v>
      </c>
      <c r="B122" s="148"/>
      <c r="C122" s="148"/>
      <c r="D122" s="148"/>
      <c r="E122" s="148"/>
      <c r="F122" s="148"/>
      <c r="G122" s="148"/>
      <c r="H122" s="148"/>
      <c r="I122" s="148"/>
      <c r="J122" s="98" t="s">
        <v>2101</v>
      </c>
      <c r="K122" s="101" t="str">
        <f>_xlfn.XLOOKUP(L122,'99_マスタ'!$D$5:$D$18,'99_マスタ'!$C$5:$C$18,"")</f>
        <v>02_生販在</v>
      </c>
      <c r="L122" s="102" t="s">
        <v>2302</v>
      </c>
      <c r="M122" s="101" t="s">
        <v>1073</v>
      </c>
      <c r="N122" s="126" t="s">
        <v>139</v>
      </c>
      <c r="O122" s="40" t="s">
        <v>1610</v>
      </c>
      <c r="P122" s="40" t="s">
        <v>1611</v>
      </c>
      <c r="Q122" s="40" t="s">
        <v>2047</v>
      </c>
      <c r="R122" s="41" t="s">
        <v>139</v>
      </c>
      <c r="S122" s="41" t="s">
        <v>139</v>
      </c>
      <c r="T122" s="41" t="s">
        <v>1909</v>
      </c>
      <c r="U122" s="41" t="s">
        <v>139</v>
      </c>
      <c r="V122" s="42" t="s">
        <v>139</v>
      </c>
      <c r="W122" s="43" t="s">
        <v>139</v>
      </c>
      <c r="X122" s="41" t="s">
        <v>139</v>
      </c>
      <c r="Y122" s="41" t="s">
        <v>1609</v>
      </c>
      <c r="Z122" s="41" t="s">
        <v>139</v>
      </c>
      <c r="AA122" s="41" t="s">
        <v>139</v>
      </c>
      <c r="AB122" s="44"/>
      <c r="AC122" s="45"/>
      <c r="AD122" s="45"/>
      <c r="AE122" s="46"/>
      <c r="AF122" s="45"/>
      <c r="AG122" s="45"/>
      <c r="AH122" s="45"/>
      <c r="AI122" s="3" t="s">
        <v>1583</v>
      </c>
    </row>
    <row r="123" spans="1:35">
      <c r="A123" s="144">
        <f t="shared" si="1"/>
        <v>121</v>
      </c>
      <c r="B123" s="148"/>
      <c r="C123" s="148"/>
      <c r="D123" s="148"/>
      <c r="E123" s="148"/>
      <c r="F123" s="148"/>
      <c r="G123" s="148"/>
      <c r="H123" s="148"/>
      <c r="I123" s="148"/>
      <c r="J123" s="103" t="s">
        <v>2101</v>
      </c>
      <c r="K123" s="102" t="str">
        <f>_xlfn.XLOOKUP(L123,'99_マスタ'!$D$5:$D$18,'99_マスタ'!$C$5:$C$18,"")</f>
        <v>02_生販在</v>
      </c>
      <c r="L123" s="102" t="s">
        <v>2302</v>
      </c>
      <c r="M123" s="102" t="s">
        <v>1720</v>
      </c>
      <c r="N123" s="127" t="s">
        <v>139</v>
      </c>
      <c r="O123" s="60" t="s">
        <v>1721</v>
      </c>
      <c r="P123" s="60" t="s">
        <v>1722</v>
      </c>
      <c r="Q123" s="60" t="s">
        <v>161</v>
      </c>
      <c r="R123" s="48" t="s">
        <v>139</v>
      </c>
      <c r="S123" s="48" t="s">
        <v>139</v>
      </c>
      <c r="T123" s="79" t="s">
        <v>1723</v>
      </c>
      <c r="U123" s="48" t="s">
        <v>139</v>
      </c>
      <c r="V123" s="49" t="s">
        <v>139</v>
      </c>
      <c r="W123" s="50" t="s">
        <v>139</v>
      </c>
      <c r="X123" s="48" t="s">
        <v>139</v>
      </c>
      <c r="Y123" s="79" t="s">
        <v>1125</v>
      </c>
      <c r="Z123" s="48" t="s">
        <v>139</v>
      </c>
      <c r="AA123" s="48" t="s">
        <v>139</v>
      </c>
      <c r="AB123" s="44"/>
      <c r="AC123" s="45"/>
      <c r="AD123" s="45"/>
      <c r="AE123" s="46"/>
      <c r="AF123" s="45"/>
      <c r="AG123" s="45"/>
      <c r="AH123" s="45"/>
      <c r="AI123" s="3" t="s">
        <v>1583</v>
      </c>
    </row>
    <row r="124" spans="1:35" ht="27">
      <c r="A124" s="144">
        <f t="shared" ref="A124:A188" si="2">ROW()-2</f>
        <v>122</v>
      </c>
      <c r="B124" s="148"/>
      <c r="C124" s="148"/>
      <c r="D124" s="148"/>
      <c r="E124" s="148"/>
      <c r="F124" s="148"/>
      <c r="G124" s="148"/>
      <c r="H124" s="148"/>
      <c r="I124" s="148"/>
      <c r="J124" s="103" t="s">
        <v>2101</v>
      </c>
      <c r="K124" s="102" t="str">
        <f>_xlfn.XLOOKUP(L124,'99_マスタ'!$D$5:$D$18,'99_マスタ'!$C$5:$C$18,"")</f>
        <v>02_生販在</v>
      </c>
      <c r="L124" s="102" t="s">
        <v>2302</v>
      </c>
      <c r="M124" s="102" t="s">
        <v>1710</v>
      </c>
      <c r="N124" s="127" t="s">
        <v>139</v>
      </c>
      <c r="O124" s="60" t="s">
        <v>1711</v>
      </c>
      <c r="P124" s="60" t="s">
        <v>1712</v>
      </c>
      <c r="Q124" s="60" t="s">
        <v>1713</v>
      </c>
      <c r="R124" s="48" t="s">
        <v>139</v>
      </c>
      <c r="S124" s="48" t="s">
        <v>139</v>
      </c>
      <c r="T124" s="79" t="s">
        <v>1714</v>
      </c>
      <c r="U124" s="48" t="s">
        <v>139</v>
      </c>
      <c r="V124" s="49" t="s">
        <v>139</v>
      </c>
      <c r="W124" s="50" t="s">
        <v>139</v>
      </c>
      <c r="X124" s="48" t="s">
        <v>139</v>
      </c>
      <c r="Y124" s="79" t="s">
        <v>1125</v>
      </c>
      <c r="Z124" s="48" t="s">
        <v>139</v>
      </c>
      <c r="AA124" s="48" t="s">
        <v>139</v>
      </c>
      <c r="AB124" s="44"/>
      <c r="AC124" s="45"/>
      <c r="AD124" s="45"/>
      <c r="AE124" s="46"/>
      <c r="AF124" s="45"/>
      <c r="AG124" s="45"/>
      <c r="AH124" s="45"/>
      <c r="AI124" s="3" t="s">
        <v>1583</v>
      </c>
    </row>
    <row r="125" spans="1:35" ht="27">
      <c r="A125" s="144">
        <f t="shared" si="2"/>
        <v>123</v>
      </c>
      <c r="B125" s="148"/>
      <c r="C125" s="148"/>
      <c r="D125" s="148"/>
      <c r="E125" s="148"/>
      <c r="F125" s="148"/>
      <c r="G125" s="148"/>
      <c r="H125" s="148"/>
      <c r="I125" s="148"/>
      <c r="J125" s="98" t="s">
        <v>2101</v>
      </c>
      <c r="K125" s="102" t="str">
        <f>_xlfn.XLOOKUP(L125,'99_マスタ'!$D$5:$D$18,'99_マスタ'!$C$5:$C$18,"")</f>
        <v>02_生販在</v>
      </c>
      <c r="L125" s="102" t="s">
        <v>2302</v>
      </c>
      <c r="M125" s="102" t="s">
        <v>1112</v>
      </c>
      <c r="N125" s="126" t="s">
        <v>139</v>
      </c>
      <c r="O125" s="40" t="s">
        <v>1628</v>
      </c>
      <c r="P125" s="40" t="s">
        <v>1629</v>
      </c>
      <c r="Q125" s="40" t="s">
        <v>1113</v>
      </c>
      <c r="R125" s="41" t="s">
        <v>139</v>
      </c>
      <c r="S125" s="41" t="s">
        <v>139</v>
      </c>
      <c r="T125" s="41" t="s">
        <v>1114</v>
      </c>
      <c r="U125" s="41" t="s">
        <v>139</v>
      </c>
      <c r="V125" s="42" t="s">
        <v>139</v>
      </c>
      <c r="W125" s="43" t="s">
        <v>139</v>
      </c>
      <c r="X125" s="41" t="s">
        <v>139</v>
      </c>
      <c r="Y125" s="41" t="s">
        <v>1613</v>
      </c>
      <c r="Z125" s="41" t="s">
        <v>139</v>
      </c>
      <c r="AA125" s="41" t="s">
        <v>139</v>
      </c>
      <c r="AB125" s="44"/>
      <c r="AC125" s="45"/>
      <c r="AD125" s="45"/>
      <c r="AE125" s="46"/>
      <c r="AF125" s="45"/>
      <c r="AG125" s="45"/>
      <c r="AH125" s="45"/>
      <c r="AI125" s="3" t="s">
        <v>1583</v>
      </c>
    </row>
    <row r="126" spans="1:35" ht="40.5">
      <c r="A126" s="144">
        <f t="shared" si="2"/>
        <v>124</v>
      </c>
      <c r="B126" s="148"/>
      <c r="C126" s="148"/>
      <c r="D126" s="148"/>
      <c r="E126" s="148"/>
      <c r="F126" s="148"/>
      <c r="G126" s="148"/>
      <c r="H126" s="148"/>
      <c r="I126" s="148"/>
      <c r="J126" s="98" t="s">
        <v>2101</v>
      </c>
      <c r="K126" s="99" t="str">
        <f>_xlfn.XLOOKUP(L126,'99_マスタ'!$D$5:$D$18,'99_マスタ'!$C$5:$C$18,"")</f>
        <v>02_生販在</v>
      </c>
      <c r="L126" s="99" t="s">
        <v>2302</v>
      </c>
      <c r="M126" s="99" t="s">
        <v>2326</v>
      </c>
      <c r="N126" s="126" t="s">
        <v>1637</v>
      </c>
      <c r="O126" s="40" t="s">
        <v>2327</v>
      </c>
      <c r="P126" s="62" t="s">
        <v>2328</v>
      </c>
      <c r="Q126" s="40" t="s">
        <v>2983</v>
      </c>
      <c r="R126" s="41" t="s">
        <v>139</v>
      </c>
      <c r="S126" s="41" t="s">
        <v>139</v>
      </c>
      <c r="T126" s="41" t="s">
        <v>139</v>
      </c>
      <c r="U126" s="41" t="s">
        <v>2321</v>
      </c>
      <c r="V126" s="42" t="s">
        <v>139</v>
      </c>
      <c r="W126" s="43" t="s">
        <v>139</v>
      </c>
      <c r="X126" s="41" t="s">
        <v>139</v>
      </c>
      <c r="Y126" s="41" t="s">
        <v>139</v>
      </c>
      <c r="Z126" s="41" t="s">
        <v>2352</v>
      </c>
      <c r="AA126" s="41" t="s">
        <v>139</v>
      </c>
      <c r="AB126" s="44"/>
      <c r="AC126" s="45"/>
      <c r="AD126" s="45"/>
      <c r="AE126" s="46"/>
      <c r="AF126" s="45"/>
      <c r="AG126" s="45"/>
      <c r="AH126" s="45"/>
      <c r="AI126" s="3" t="s">
        <v>1583</v>
      </c>
    </row>
    <row r="127" spans="1:35" ht="40.5">
      <c r="A127" s="144">
        <f t="shared" si="2"/>
        <v>125</v>
      </c>
      <c r="B127" s="148"/>
      <c r="C127" s="148"/>
      <c r="D127" s="148"/>
      <c r="E127" s="148"/>
      <c r="F127" s="148"/>
      <c r="G127" s="148"/>
      <c r="H127" s="148"/>
      <c r="I127" s="148"/>
      <c r="J127" s="103" t="s">
        <v>2101</v>
      </c>
      <c r="K127" s="102" t="str">
        <f>_xlfn.XLOOKUP(L127,'99_マスタ'!$D$5:$D$18,'99_マスタ'!$C$5:$C$18,"")</f>
        <v>02_生販在</v>
      </c>
      <c r="L127" s="102" t="s">
        <v>2302</v>
      </c>
      <c r="M127" s="102" t="s">
        <v>1787</v>
      </c>
      <c r="N127" s="127" t="s">
        <v>139</v>
      </c>
      <c r="O127" s="60" t="s">
        <v>1788</v>
      </c>
      <c r="P127" s="60" t="s">
        <v>1789</v>
      </c>
      <c r="Q127" s="60" t="s">
        <v>1790</v>
      </c>
      <c r="R127" s="48" t="s">
        <v>139</v>
      </c>
      <c r="S127" s="48" t="s">
        <v>139</v>
      </c>
      <c r="T127" s="79" t="s">
        <v>1791</v>
      </c>
      <c r="U127" s="48" t="s">
        <v>139</v>
      </c>
      <c r="V127" s="49" t="s">
        <v>139</v>
      </c>
      <c r="W127" s="50" t="s">
        <v>139</v>
      </c>
      <c r="X127" s="48" t="s">
        <v>139</v>
      </c>
      <c r="Y127" s="79" t="s">
        <v>1125</v>
      </c>
      <c r="Z127" s="48" t="s">
        <v>139</v>
      </c>
      <c r="AA127" s="48" t="s">
        <v>139</v>
      </c>
      <c r="AB127" s="44"/>
      <c r="AC127" s="45"/>
      <c r="AD127" s="45"/>
      <c r="AE127" s="46"/>
      <c r="AF127" s="45"/>
      <c r="AG127" s="45"/>
      <c r="AH127" s="45"/>
      <c r="AI127" s="3" t="s">
        <v>1583</v>
      </c>
    </row>
    <row r="128" spans="1:35" ht="40.5">
      <c r="A128" s="144">
        <f t="shared" si="2"/>
        <v>126</v>
      </c>
      <c r="B128" s="148"/>
      <c r="C128" s="148"/>
      <c r="D128" s="148"/>
      <c r="E128" s="148"/>
      <c r="F128" s="148"/>
      <c r="G128" s="148"/>
      <c r="H128" s="148"/>
      <c r="I128" s="148"/>
      <c r="J128" s="103" t="s">
        <v>2101</v>
      </c>
      <c r="K128" s="102" t="str">
        <f>_xlfn.XLOOKUP(L128,'99_マスタ'!$D$5:$D$18,'99_マスタ'!$C$5:$C$18,"")</f>
        <v>02_生販在</v>
      </c>
      <c r="L128" s="102" t="s">
        <v>2302</v>
      </c>
      <c r="M128" s="102" t="s">
        <v>1747</v>
      </c>
      <c r="N128" s="127" t="s">
        <v>139</v>
      </c>
      <c r="O128" s="60" t="s">
        <v>1748</v>
      </c>
      <c r="P128" s="60" t="s">
        <v>1899</v>
      </c>
      <c r="Q128" s="60" t="s">
        <v>1749</v>
      </c>
      <c r="R128" s="48" t="s">
        <v>139</v>
      </c>
      <c r="S128" s="48" t="s">
        <v>139</v>
      </c>
      <c r="T128" s="79" t="s">
        <v>1750</v>
      </c>
      <c r="U128" s="48" t="s">
        <v>139</v>
      </c>
      <c r="V128" s="49" t="s">
        <v>139</v>
      </c>
      <c r="W128" s="50" t="s">
        <v>139</v>
      </c>
      <c r="X128" s="48" t="s">
        <v>139</v>
      </c>
      <c r="Y128" s="79" t="s">
        <v>1125</v>
      </c>
      <c r="Z128" s="48" t="s">
        <v>139</v>
      </c>
      <c r="AA128" s="48" t="s">
        <v>139</v>
      </c>
      <c r="AB128" s="44"/>
      <c r="AC128" s="45"/>
      <c r="AD128" s="45"/>
      <c r="AE128" s="46"/>
      <c r="AF128" s="45"/>
      <c r="AG128" s="45"/>
      <c r="AH128" s="45"/>
      <c r="AI128" s="3" t="s">
        <v>1583</v>
      </c>
    </row>
    <row r="129" spans="1:35" ht="27">
      <c r="A129" s="144">
        <f t="shared" si="2"/>
        <v>127</v>
      </c>
      <c r="B129" s="148"/>
      <c r="C129" s="148"/>
      <c r="D129" s="148"/>
      <c r="E129" s="148"/>
      <c r="F129" s="148"/>
      <c r="G129" s="148"/>
      <c r="H129" s="148"/>
      <c r="I129" s="148"/>
      <c r="J129" s="103" t="s">
        <v>2101</v>
      </c>
      <c r="K129" s="102" t="str">
        <f>_xlfn.XLOOKUP(L129,'99_マスタ'!$D$5:$D$18,'99_マスタ'!$C$5:$C$18,"")</f>
        <v>02_生販在</v>
      </c>
      <c r="L129" s="102" t="s">
        <v>2302</v>
      </c>
      <c r="M129" s="102" t="s">
        <v>1701</v>
      </c>
      <c r="N129" s="127" t="s">
        <v>139</v>
      </c>
      <c r="O129" s="60" t="s">
        <v>1702</v>
      </c>
      <c r="P129" s="60" t="s">
        <v>1919</v>
      </c>
      <c r="Q129" s="60" t="s">
        <v>1703</v>
      </c>
      <c r="R129" s="48" t="s">
        <v>139</v>
      </c>
      <c r="S129" s="48" t="s">
        <v>139</v>
      </c>
      <c r="T129" s="79" t="s">
        <v>1704</v>
      </c>
      <c r="U129" s="48" t="s">
        <v>139</v>
      </c>
      <c r="V129" s="49" t="s">
        <v>139</v>
      </c>
      <c r="W129" s="50" t="s">
        <v>139</v>
      </c>
      <c r="X129" s="48" t="s">
        <v>139</v>
      </c>
      <c r="Y129" s="79" t="s">
        <v>1125</v>
      </c>
      <c r="Z129" s="48" t="s">
        <v>139</v>
      </c>
      <c r="AA129" s="48" t="s">
        <v>139</v>
      </c>
      <c r="AB129" s="44"/>
      <c r="AC129" s="45"/>
      <c r="AD129" s="45"/>
      <c r="AE129" s="46"/>
      <c r="AF129" s="45"/>
      <c r="AG129" s="45"/>
      <c r="AH129" s="45"/>
      <c r="AI129" s="3" t="s">
        <v>1583</v>
      </c>
    </row>
    <row r="130" spans="1:35" ht="54">
      <c r="A130" s="144">
        <f t="shared" si="2"/>
        <v>128</v>
      </c>
      <c r="B130" s="148"/>
      <c r="C130" s="148"/>
      <c r="D130" s="148"/>
      <c r="E130" s="148"/>
      <c r="F130" s="148"/>
      <c r="G130" s="148"/>
      <c r="H130" s="148"/>
      <c r="I130" s="148"/>
      <c r="J130" s="98" t="s">
        <v>2101</v>
      </c>
      <c r="K130" s="102" t="str">
        <f>_xlfn.XLOOKUP(L130,'99_マスタ'!$D$5:$D$18,'99_マスタ'!$C$5:$C$18,"")</f>
        <v>02_生販在</v>
      </c>
      <c r="L130" s="102" t="s">
        <v>2302</v>
      </c>
      <c r="M130" s="102" t="s">
        <v>1951</v>
      </c>
      <c r="N130" s="126" t="s">
        <v>1637</v>
      </c>
      <c r="O130" s="40" t="s">
        <v>2971</v>
      </c>
      <c r="P130" s="40" t="s">
        <v>1952</v>
      </c>
      <c r="Q130" s="40" t="s">
        <v>2081</v>
      </c>
      <c r="R130" s="41" t="s">
        <v>139</v>
      </c>
      <c r="S130" s="41" t="s">
        <v>139</v>
      </c>
      <c r="T130" s="41" t="s">
        <v>1083</v>
      </c>
      <c r="U130" s="41" t="s">
        <v>139</v>
      </c>
      <c r="V130" s="42" t="s">
        <v>139</v>
      </c>
      <c r="W130" s="43" t="s">
        <v>139</v>
      </c>
      <c r="X130" s="41" t="s">
        <v>139</v>
      </c>
      <c r="Y130" s="41" t="s">
        <v>1084</v>
      </c>
      <c r="Z130" s="41" t="s">
        <v>139</v>
      </c>
      <c r="AA130" s="41" t="s">
        <v>139</v>
      </c>
      <c r="AB130" s="44" t="s">
        <v>2033</v>
      </c>
      <c r="AC130" s="45"/>
      <c r="AD130" s="45"/>
      <c r="AE130" s="46"/>
      <c r="AF130" s="45"/>
      <c r="AG130" s="45"/>
      <c r="AH130" s="45"/>
      <c r="AI130" s="3" t="s">
        <v>1583</v>
      </c>
    </row>
    <row r="131" spans="1:35" ht="54">
      <c r="A131" s="144">
        <f t="shared" si="2"/>
        <v>129</v>
      </c>
      <c r="B131" s="148"/>
      <c r="C131" s="148"/>
      <c r="D131" s="148"/>
      <c r="E131" s="148"/>
      <c r="F131" s="148"/>
      <c r="G131" s="148"/>
      <c r="H131" s="148"/>
      <c r="I131" s="148"/>
      <c r="J131" s="103" t="s">
        <v>2101</v>
      </c>
      <c r="K131" s="102" t="str">
        <f>_xlfn.XLOOKUP(L131,'99_マスタ'!$D$5:$D$18,'99_マスタ'!$C$5:$C$18,"")</f>
        <v>02_生販在</v>
      </c>
      <c r="L131" s="102" t="s">
        <v>2302</v>
      </c>
      <c r="M131" s="102" t="s">
        <v>1733</v>
      </c>
      <c r="N131" s="127" t="s">
        <v>139</v>
      </c>
      <c r="O131" s="60" t="s">
        <v>1734</v>
      </c>
      <c r="P131" s="60" t="s">
        <v>1735</v>
      </c>
      <c r="Q131" s="60" t="s">
        <v>2051</v>
      </c>
      <c r="R131" s="48" t="s">
        <v>139</v>
      </c>
      <c r="S131" s="48" t="s">
        <v>139</v>
      </c>
      <c r="T131" s="79" t="s">
        <v>1736</v>
      </c>
      <c r="U131" s="48" t="s">
        <v>139</v>
      </c>
      <c r="V131" s="49" t="s">
        <v>139</v>
      </c>
      <c r="W131" s="50" t="s">
        <v>139</v>
      </c>
      <c r="X131" s="48" t="s">
        <v>139</v>
      </c>
      <c r="Y131" s="79" t="s">
        <v>1125</v>
      </c>
      <c r="Z131" s="48" t="s">
        <v>139</v>
      </c>
      <c r="AA131" s="48" t="s">
        <v>139</v>
      </c>
      <c r="AB131" s="44"/>
      <c r="AC131" s="45"/>
      <c r="AD131" s="45"/>
      <c r="AE131" s="46"/>
      <c r="AF131" s="45"/>
      <c r="AG131" s="45"/>
      <c r="AH131" s="45"/>
      <c r="AI131" s="3" t="s">
        <v>1583</v>
      </c>
    </row>
    <row r="132" spans="1:35" ht="202.5">
      <c r="A132" s="144">
        <f t="shared" si="2"/>
        <v>130</v>
      </c>
      <c r="B132" s="148"/>
      <c r="C132" s="148"/>
      <c r="D132" s="148"/>
      <c r="E132" s="148"/>
      <c r="F132" s="148"/>
      <c r="G132" s="148"/>
      <c r="H132" s="148"/>
      <c r="I132" s="148"/>
      <c r="J132" s="103" t="s">
        <v>2101</v>
      </c>
      <c r="K132" s="102" t="str">
        <f>_xlfn.XLOOKUP(L132,'99_マスタ'!$D$5:$D$18,'99_マスタ'!$C$5:$C$18,"")</f>
        <v>02_生販在</v>
      </c>
      <c r="L132" s="102" t="s">
        <v>2302</v>
      </c>
      <c r="M132" s="102" t="s">
        <v>1743</v>
      </c>
      <c r="N132" s="127" t="s">
        <v>139</v>
      </c>
      <c r="O132" s="60" t="s">
        <v>1744</v>
      </c>
      <c r="P132" s="60" t="s">
        <v>1954</v>
      </c>
      <c r="Q132" s="60" t="s">
        <v>1745</v>
      </c>
      <c r="R132" s="48" t="s">
        <v>139</v>
      </c>
      <c r="S132" s="48" t="s">
        <v>139</v>
      </c>
      <c r="T132" s="79" t="s">
        <v>1746</v>
      </c>
      <c r="U132" s="48" t="s">
        <v>139</v>
      </c>
      <c r="V132" s="49" t="s">
        <v>139</v>
      </c>
      <c r="W132" s="50" t="s">
        <v>139</v>
      </c>
      <c r="X132" s="48" t="s">
        <v>139</v>
      </c>
      <c r="Y132" s="79" t="s">
        <v>1125</v>
      </c>
      <c r="Z132" s="48" t="s">
        <v>139</v>
      </c>
      <c r="AA132" s="48" t="s">
        <v>139</v>
      </c>
      <c r="AB132" s="44"/>
      <c r="AC132" s="45"/>
      <c r="AD132" s="45"/>
      <c r="AE132" s="46"/>
      <c r="AF132" s="45"/>
      <c r="AG132" s="45"/>
      <c r="AH132" s="45"/>
      <c r="AI132" s="3" t="s">
        <v>1583</v>
      </c>
    </row>
    <row r="133" spans="1:35" ht="27">
      <c r="A133" s="144">
        <f t="shared" si="2"/>
        <v>131</v>
      </c>
      <c r="B133" s="148"/>
      <c r="C133" s="148"/>
      <c r="D133" s="148"/>
      <c r="E133" s="148"/>
      <c r="F133" s="148"/>
      <c r="G133" s="148"/>
      <c r="H133" s="148"/>
      <c r="I133" s="148"/>
      <c r="J133" s="103" t="s">
        <v>2101</v>
      </c>
      <c r="K133" s="102" t="str">
        <f>_xlfn.XLOOKUP(L133,'99_マスタ'!$D$5:$D$18,'99_マスタ'!$C$5:$C$18,"")</f>
        <v>02_生販在</v>
      </c>
      <c r="L133" s="102" t="s">
        <v>2302</v>
      </c>
      <c r="M133" s="102" t="s">
        <v>1930</v>
      </c>
      <c r="N133" s="127" t="s">
        <v>139</v>
      </c>
      <c r="O133" s="60" t="s">
        <v>1931</v>
      </c>
      <c r="P133" s="60" t="s">
        <v>1927</v>
      </c>
      <c r="Q133" s="60" t="s">
        <v>161</v>
      </c>
      <c r="R133" s="48" t="s">
        <v>139</v>
      </c>
      <c r="S133" s="48" t="s">
        <v>139</v>
      </c>
      <c r="T133" s="48" t="s">
        <v>139</v>
      </c>
      <c r="U133" s="48" t="s">
        <v>139</v>
      </c>
      <c r="V133" s="49" t="s">
        <v>139</v>
      </c>
      <c r="W133" s="50" t="s">
        <v>139</v>
      </c>
      <c r="X133" s="48" t="s">
        <v>139</v>
      </c>
      <c r="Y133" s="48" t="s">
        <v>139</v>
      </c>
      <c r="Z133" s="48" t="s">
        <v>139</v>
      </c>
      <c r="AA133" s="48" t="s">
        <v>139</v>
      </c>
      <c r="AB133" s="44"/>
      <c r="AC133" s="45"/>
      <c r="AD133" s="45"/>
      <c r="AE133" s="46"/>
      <c r="AF133" s="45"/>
      <c r="AG133" s="45"/>
      <c r="AH133" s="45"/>
      <c r="AI133" s="3" t="s">
        <v>1583</v>
      </c>
    </row>
    <row r="134" spans="1:35" ht="67.5">
      <c r="A134" s="144">
        <f t="shared" si="2"/>
        <v>132</v>
      </c>
      <c r="B134" s="148"/>
      <c r="C134" s="148"/>
      <c r="D134" s="148"/>
      <c r="E134" s="148"/>
      <c r="F134" s="148"/>
      <c r="G134" s="148"/>
      <c r="H134" s="148"/>
      <c r="I134" s="148"/>
      <c r="J134" s="103" t="s">
        <v>2101</v>
      </c>
      <c r="K134" s="102" t="str">
        <f>_xlfn.XLOOKUP(L134,'99_マスタ'!$D$5:$D$18,'99_マスタ'!$C$5:$C$18,"")</f>
        <v>02_生販在</v>
      </c>
      <c r="L134" s="102" t="s">
        <v>2302</v>
      </c>
      <c r="M134" s="102" t="s">
        <v>1751</v>
      </c>
      <c r="N134" s="127" t="s">
        <v>139</v>
      </c>
      <c r="O134" s="60" t="s">
        <v>1752</v>
      </c>
      <c r="P134" s="60" t="s">
        <v>1955</v>
      </c>
      <c r="Q134" s="60" t="s">
        <v>161</v>
      </c>
      <c r="R134" s="48" t="s">
        <v>139</v>
      </c>
      <c r="S134" s="48" t="s">
        <v>139</v>
      </c>
      <c r="T134" s="79" t="s">
        <v>1753</v>
      </c>
      <c r="U134" s="48" t="s">
        <v>139</v>
      </c>
      <c r="V134" s="49" t="s">
        <v>139</v>
      </c>
      <c r="W134" s="50" t="s">
        <v>139</v>
      </c>
      <c r="X134" s="48" t="s">
        <v>139</v>
      </c>
      <c r="Y134" s="79" t="s">
        <v>1125</v>
      </c>
      <c r="Z134" s="48" t="s">
        <v>139</v>
      </c>
      <c r="AA134" s="48" t="s">
        <v>139</v>
      </c>
      <c r="AB134" s="44"/>
      <c r="AC134" s="45"/>
      <c r="AD134" s="45"/>
      <c r="AE134" s="46"/>
      <c r="AF134" s="45"/>
      <c r="AG134" s="45"/>
      <c r="AH134" s="45"/>
      <c r="AI134" s="3" t="s">
        <v>1583</v>
      </c>
    </row>
    <row r="135" spans="1:35" ht="27">
      <c r="A135" s="144">
        <f t="shared" si="2"/>
        <v>133</v>
      </c>
      <c r="B135" s="148"/>
      <c r="C135" s="148"/>
      <c r="D135" s="148"/>
      <c r="E135" s="148"/>
      <c r="F135" s="148"/>
      <c r="G135" s="148"/>
      <c r="H135" s="148"/>
      <c r="I135" s="148"/>
      <c r="J135" s="98" t="s">
        <v>2101</v>
      </c>
      <c r="K135" s="101" t="str">
        <f>_xlfn.XLOOKUP(L135,'99_マスタ'!$D$5:$D$18,'99_マスタ'!$C$5:$C$18,"")</f>
        <v>02_生販在</v>
      </c>
      <c r="L135" s="101" t="s">
        <v>2302</v>
      </c>
      <c r="M135" s="101" t="s">
        <v>1910</v>
      </c>
      <c r="N135" s="126" t="s">
        <v>139</v>
      </c>
      <c r="O135" s="40" t="s">
        <v>1911</v>
      </c>
      <c r="P135" s="40" t="s">
        <v>1913</v>
      </c>
      <c r="Q135" s="40" t="s">
        <v>161</v>
      </c>
      <c r="R135" s="41" t="s">
        <v>139</v>
      </c>
      <c r="S135" s="41" t="s">
        <v>139</v>
      </c>
      <c r="T135" s="41" t="s">
        <v>1915</v>
      </c>
      <c r="U135" s="41" t="s">
        <v>139</v>
      </c>
      <c r="V135" s="42" t="s">
        <v>139</v>
      </c>
      <c r="W135" s="43" t="s">
        <v>139</v>
      </c>
      <c r="X135" s="41" t="s">
        <v>139</v>
      </c>
      <c r="Y135" s="41" t="s">
        <v>1916</v>
      </c>
      <c r="Z135" s="41" t="s">
        <v>139</v>
      </c>
      <c r="AA135" s="41" t="s">
        <v>139</v>
      </c>
      <c r="AB135" s="44"/>
      <c r="AC135" s="45"/>
      <c r="AD135" s="45"/>
      <c r="AE135" s="46"/>
      <c r="AF135" s="45"/>
      <c r="AG135" s="45"/>
      <c r="AH135" s="45"/>
      <c r="AI135" s="3" t="s">
        <v>1583</v>
      </c>
    </row>
    <row r="136" spans="1:35" ht="27">
      <c r="A136" s="144">
        <f t="shared" si="2"/>
        <v>134</v>
      </c>
      <c r="B136" s="148"/>
      <c r="C136" s="148"/>
      <c r="D136" s="148"/>
      <c r="E136" s="148"/>
      <c r="F136" s="148"/>
      <c r="G136" s="148"/>
      <c r="H136" s="148"/>
      <c r="I136" s="148"/>
      <c r="J136" s="103" t="s">
        <v>2101</v>
      </c>
      <c r="K136" s="102" t="str">
        <f>_xlfn.XLOOKUP(L136,'99_マスタ'!$D$5:$D$18,'99_マスタ'!$C$5:$C$18,"")</f>
        <v>02_生販在</v>
      </c>
      <c r="L136" s="102" t="s">
        <v>2302</v>
      </c>
      <c r="M136" s="102" t="s">
        <v>1705</v>
      </c>
      <c r="N136" s="127" t="s">
        <v>139</v>
      </c>
      <c r="O136" s="60" t="s">
        <v>1706</v>
      </c>
      <c r="P136" s="60" t="s">
        <v>1920</v>
      </c>
      <c r="Q136" s="60" t="s">
        <v>161</v>
      </c>
      <c r="R136" s="48" t="s">
        <v>139</v>
      </c>
      <c r="S136" s="48" t="s">
        <v>139</v>
      </c>
      <c r="T136" s="79" t="s">
        <v>1707</v>
      </c>
      <c r="U136" s="48" t="s">
        <v>139</v>
      </c>
      <c r="V136" s="49" t="s">
        <v>139</v>
      </c>
      <c r="W136" s="50" t="s">
        <v>139</v>
      </c>
      <c r="X136" s="48" t="s">
        <v>139</v>
      </c>
      <c r="Y136" s="79" t="s">
        <v>1125</v>
      </c>
      <c r="Z136" s="48" t="s">
        <v>139</v>
      </c>
      <c r="AA136" s="48" t="s">
        <v>139</v>
      </c>
      <c r="AB136" s="44"/>
      <c r="AC136" s="45"/>
      <c r="AD136" s="45"/>
      <c r="AE136" s="46"/>
      <c r="AF136" s="45"/>
      <c r="AG136" s="45"/>
      <c r="AH136" s="45"/>
      <c r="AI136" s="3" t="s">
        <v>1583</v>
      </c>
    </row>
    <row r="137" spans="1:35" ht="40.5">
      <c r="A137" s="144">
        <f t="shared" si="2"/>
        <v>135</v>
      </c>
      <c r="B137" s="148"/>
      <c r="C137" s="148"/>
      <c r="D137" s="148"/>
      <c r="E137" s="148"/>
      <c r="F137" s="148"/>
      <c r="G137" s="148"/>
      <c r="H137" s="148"/>
      <c r="I137" s="148"/>
      <c r="J137" s="98" t="s">
        <v>2101</v>
      </c>
      <c r="K137" s="65" t="str">
        <f>_xlfn.XLOOKUP(L137,'99_マスタ'!$D$5:$D$18,'99_マスタ'!$C$5:$C$18,"")</f>
        <v>02_生販在</v>
      </c>
      <c r="L137" s="101" t="s">
        <v>2302</v>
      </c>
      <c r="M137" s="101" t="s">
        <v>3250</v>
      </c>
      <c r="N137" s="126" t="s">
        <v>3251</v>
      </c>
      <c r="O137" s="40" t="s">
        <v>1070</v>
      </c>
      <c r="P137" s="40" t="s">
        <v>1071</v>
      </c>
      <c r="Q137" s="40" t="s">
        <v>161</v>
      </c>
      <c r="R137" s="41" t="s">
        <v>139</v>
      </c>
      <c r="S137" s="41" t="s">
        <v>139</v>
      </c>
      <c r="T137" s="41" t="s">
        <v>1072</v>
      </c>
      <c r="U137" s="41" t="s">
        <v>139</v>
      </c>
      <c r="V137" s="42" t="s">
        <v>139</v>
      </c>
      <c r="W137" s="43" t="s">
        <v>139</v>
      </c>
      <c r="X137" s="41" t="s">
        <v>139</v>
      </c>
      <c r="Y137" s="41" t="s">
        <v>1609</v>
      </c>
      <c r="Z137" s="41" t="s">
        <v>139</v>
      </c>
      <c r="AA137" s="41" t="s">
        <v>139</v>
      </c>
      <c r="AB137" s="44"/>
      <c r="AC137" s="45"/>
      <c r="AD137" s="45"/>
      <c r="AE137" s="46"/>
      <c r="AF137" s="45"/>
      <c r="AG137" s="45"/>
      <c r="AH137" s="45"/>
      <c r="AI137" s="3" t="s">
        <v>1583</v>
      </c>
    </row>
    <row r="138" spans="1:35" ht="27">
      <c r="A138" s="144">
        <f t="shared" si="2"/>
        <v>136</v>
      </c>
      <c r="B138" s="148"/>
      <c r="C138" s="148"/>
      <c r="D138" s="148"/>
      <c r="E138" s="148"/>
      <c r="F138" s="148"/>
      <c r="G138" s="148"/>
      <c r="H138" s="148"/>
      <c r="I138" s="148"/>
      <c r="J138" s="98" t="s">
        <v>2101</v>
      </c>
      <c r="K138" s="102" t="str">
        <f>_xlfn.XLOOKUP(L138,'99_マスタ'!$D$5:$D$18,'99_マスタ'!$C$5:$C$18,"")</f>
        <v>02_生販在</v>
      </c>
      <c r="L138" s="102" t="s">
        <v>2302</v>
      </c>
      <c r="M138" s="102" t="s">
        <v>1121</v>
      </c>
      <c r="N138" s="126" t="s">
        <v>139</v>
      </c>
      <c r="O138" s="40" t="s">
        <v>1917</v>
      </c>
      <c r="P138" s="40" t="s">
        <v>1918</v>
      </c>
      <c r="Q138" s="40" t="s">
        <v>161</v>
      </c>
      <c r="R138" s="41" t="s">
        <v>139</v>
      </c>
      <c r="S138" s="41" t="s">
        <v>139</v>
      </c>
      <c r="T138" s="41" t="s">
        <v>1122</v>
      </c>
      <c r="U138" s="41" t="s">
        <v>139</v>
      </c>
      <c r="V138" s="42" t="s">
        <v>139</v>
      </c>
      <c r="W138" s="43" t="s">
        <v>139</v>
      </c>
      <c r="X138" s="41" t="s">
        <v>139</v>
      </c>
      <c r="Y138" s="41" t="s">
        <v>1076</v>
      </c>
      <c r="Z138" s="41" t="s">
        <v>139</v>
      </c>
      <c r="AA138" s="41" t="s">
        <v>139</v>
      </c>
      <c r="AB138" s="44"/>
      <c r="AC138" s="45"/>
      <c r="AD138" s="45"/>
      <c r="AE138" s="46"/>
      <c r="AF138" s="45"/>
      <c r="AG138" s="45"/>
      <c r="AH138" s="45"/>
      <c r="AI138" s="3" t="s">
        <v>1583</v>
      </c>
    </row>
    <row r="139" spans="1:35" ht="27">
      <c r="A139" s="144">
        <f t="shared" si="2"/>
        <v>137</v>
      </c>
      <c r="B139" s="148"/>
      <c r="C139" s="148"/>
      <c r="D139" s="148"/>
      <c r="E139" s="148"/>
      <c r="F139" s="148"/>
      <c r="G139" s="148"/>
      <c r="H139" s="148"/>
      <c r="I139" s="148"/>
      <c r="J139" s="98" t="s">
        <v>2101</v>
      </c>
      <c r="K139" s="102" t="str">
        <f>_xlfn.XLOOKUP(L139,'99_マスタ'!$D$5:$D$18,'99_マスタ'!$C$5:$C$18,"")</f>
        <v>02_生販在</v>
      </c>
      <c r="L139" s="102" t="s">
        <v>2302</v>
      </c>
      <c r="M139" s="102" t="s">
        <v>1088</v>
      </c>
      <c r="N139" s="126" t="s">
        <v>139</v>
      </c>
      <c r="O139" s="40" t="s">
        <v>1089</v>
      </c>
      <c r="P139" s="40" t="s">
        <v>1090</v>
      </c>
      <c r="Q139" s="40" t="s">
        <v>161</v>
      </c>
      <c r="R139" s="41" t="s">
        <v>139</v>
      </c>
      <c r="S139" s="41" t="s">
        <v>139</v>
      </c>
      <c r="T139" s="41" t="s">
        <v>1083</v>
      </c>
      <c r="U139" s="41" t="s">
        <v>139</v>
      </c>
      <c r="V139" s="42" t="s">
        <v>139</v>
      </c>
      <c r="W139" s="43" t="s">
        <v>139</v>
      </c>
      <c r="X139" s="41" t="s">
        <v>139</v>
      </c>
      <c r="Y139" s="41" t="s">
        <v>1082</v>
      </c>
      <c r="Z139" s="41" t="s">
        <v>139</v>
      </c>
      <c r="AA139" s="41" t="s">
        <v>139</v>
      </c>
      <c r="AB139" s="44"/>
      <c r="AC139" s="45"/>
      <c r="AD139" s="45"/>
      <c r="AE139" s="46"/>
      <c r="AF139" s="45"/>
      <c r="AG139" s="45"/>
      <c r="AH139" s="45"/>
      <c r="AI139" s="3" t="s">
        <v>1583</v>
      </c>
    </row>
    <row r="140" spans="1:35" ht="81">
      <c r="A140" s="144">
        <f t="shared" si="2"/>
        <v>138</v>
      </c>
      <c r="B140" s="148"/>
      <c r="C140" s="148"/>
      <c r="D140" s="148"/>
      <c r="E140" s="148"/>
      <c r="F140" s="148"/>
      <c r="G140" s="148"/>
      <c r="H140" s="148"/>
      <c r="I140" s="148"/>
      <c r="J140" s="103" t="s">
        <v>2101</v>
      </c>
      <c r="K140" s="102" t="str">
        <f>_xlfn.XLOOKUP(L140,'99_マスタ'!$D$5:$D$18,'99_マスタ'!$C$5:$C$18,"")</f>
        <v>02_生販在</v>
      </c>
      <c r="L140" s="102" t="s">
        <v>2302</v>
      </c>
      <c r="M140" s="102" t="s">
        <v>1708</v>
      </c>
      <c r="N140" s="127" t="s">
        <v>139</v>
      </c>
      <c r="O140" s="60" t="s">
        <v>1709</v>
      </c>
      <c r="P140" s="60" t="s">
        <v>1928</v>
      </c>
      <c r="Q140" s="60" t="s">
        <v>161</v>
      </c>
      <c r="R140" s="48" t="s">
        <v>139</v>
      </c>
      <c r="S140" s="48" t="s">
        <v>139</v>
      </c>
      <c r="T140" s="79" t="s">
        <v>1693</v>
      </c>
      <c r="U140" s="48" t="s">
        <v>139</v>
      </c>
      <c r="V140" s="49" t="s">
        <v>139</v>
      </c>
      <c r="W140" s="50" t="s">
        <v>139</v>
      </c>
      <c r="X140" s="48" t="s">
        <v>139</v>
      </c>
      <c r="Y140" s="79" t="s">
        <v>1125</v>
      </c>
      <c r="Z140" s="48" t="s">
        <v>139</v>
      </c>
      <c r="AA140" s="48" t="s">
        <v>139</v>
      </c>
      <c r="AB140" s="44"/>
      <c r="AC140" s="45"/>
      <c r="AD140" s="45"/>
      <c r="AE140" s="46"/>
      <c r="AF140" s="45"/>
      <c r="AG140" s="45"/>
      <c r="AH140" s="45"/>
      <c r="AI140" s="3" t="s">
        <v>1583</v>
      </c>
    </row>
    <row r="141" spans="1:35" ht="27">
      <c r="A141" s="144">
        <f t="shared" si="2"/>
        <v>139</v>
      </c>
      <c r="B141" s="148"/>
      <c r="C141" s="148"/>
      <c r="D141" s="148"/>
      <c r="E141" s="148"/>
      <c r="F141" s="148"/>
      <c r="G141" s="148"/>
      <c r="H141" s="148"/>
      <c r="I141" s="148"/>
      <c r="J141" s="98" t="s">
        <v>2101</v>
      </c>
      <c r="K141" s="102" t="str">
        <f>_xlfn.XLOOKUP(L141,'99_マスタ'!$D$5:$D$18,'99_マスタ'!$C$5:$C$18,"")</f>
        <v>02_生販在</v>
      </c>
      <c r="L141" s="102" t="s">
        <v>2302</v>
      </c>
      <c r="M141" s="102" t="s">
        <v>1622</v>
      </c>
      <c r="N141" s="126" t="s">
        <v>1637</v>
      </c>
      <c r="O141" s="40" t="s">
        <v>1619</v>
      </c>
      <c r="P141" s="40" t="s">
        <v>1624</v>
      </c>
      <c r="Q141" s="40" t="s">
        <v>161</v>
      </c>
      <c r="R141" s="41" t="s">
        <v>139</v>
      </c>
      <c r="S141" s="41" t="s">
        <v>139</v>
      </c>
      <c r="T141" s="41" t="s">
        <v>1128</v>
      </c>
      <c r="U141" s="41" t="s">
        <v>139</v>
      </c>
      <c r="V141" s="42" t="s">
        <v>139</v>
      </c>
      <c r="W141" s="43" t="s">
        <v>139</v>
      </c>
      <c r="X141" s="41" t="s">
        <v>139</v>
      </c>
      <c r="Y141" s="41" t="s">
        <v>1125</v>
      </c>
      <c r="Z141" s="41" t="s">
        <v>139</v>
      </c>
      <c r="AA141" s="41" t="s">
        <v>139</v>
      </c>
      <c r="AB141" s="44"/>
      <c r="AC141" s="45"/>
      <c r="AD141" s="45"/>
      <c r="AE141" s="46"/>
      <c r="AF141" s="45"/>
      <c r="AG141" s="45"/>
      <c r="AH141" s="45"/>
      <c r="AI141" s="3" t="s">
        <v>1583</v>
      </c>
    </row>
    <row r="142" spans="1:35">
      <c r="A142" s="144">
        <f t="shared" si="2"/>
        <v>140</v>
      </c>
      <c r="B142" s="148"/>
      <c r="C142" s="148"/>
      <c r="D142" s="148"/>
      <c r="E142" s="148"/>
      <c r="F142" s="148"/>
      <c r="G142" s="148"/>
      <c r="H142" s="148"/>
      <c r="I142" s="148"/>
      <c r="J142" s="103" t="s">
        <v>2101</v>
      </c>
      <c r="K142" s="102" t="str">
        <f>_xlfn.XLOOKUP(L142,'99_マスタ'!$D$5:$D$18,'99_マスタ'!$C$5:$C$18,"")</f>
        <v>02_生販在</v>
      </c>
      <c r="L142" s="102" t="s">
        <v>2302</v>
      </c>
      <c r="M142" s="102" t="s">
        <v>1715</v>
      </c>
      <c r="N142" s="127" t="s">
        <v>139</v>
      </c>
      <c r="O142" s="60" t="s">
        <v>1716</v>
      </c>
      <c r="P142" s="60" t="s">
        <v>1717</v>
      </c>
      <c r="Q142" s="60" t="s">
        <v>1718</v>
      </c>
      <c r="R142" s="48" t="s">
        <v>139</v>
      </c>
      <c r="S142" s="48" t="s">
        <v>139</v>
      </c>
      <c r="T142" s="79" t="s">
        <v>1719</v>
      </c>
      <c r="U142" s="48" t="s">
        <v>139</v>
      </c>
      <c r="V142" s="49" t="s">
        <v>139</v>
      </c>
      <c r="W142" s="50" t="s">
        <v>139</v>
      </c>
      <c r="X142" s="48" t="s">
        <v>139</v>
      </c>
      <c r="Y142" s="79" t="s">
        <v>1125</v>
      </c>
      <c r="Z142" s="48" t="s">
        <v>139</v>
      </c>
      <c r="AA142" s="48" t="s">
        <v>139</v>
      </c>
      <c r="AB142" s="44"/>
      <c r="AC142" s="45"/>
      <c r="AD142" s="45"/>
      <c r="AE142" s="46"/>
      <c r="AF142" s="45"/>
      <c r="AG142" s="45"/>
      <c r="AH142" s="45"/>
      <c r="AI142" s="3" t="s">
        <v>1583</v>
      </c>
    </row>
    <row r="143" spans="1:35" ht="108">
      <c r="A143" s="144">
        <f t="shared" si="2"/>
        <v>141</v>
      </c>
      <c r="B143" s="148"/>
      <c r="C143" s="148"/>
      <c r="D143" s="148"/>
      <c r="E143" s="148"/>
      <c r="F143" s="148"/>
      <c r="G143" s="148"/>
      <c r="H143" s="148"/>
      <c r="I143" s="148"/>
      <c r="J143" s="103" t="s">
        <v>2101</v>
      </c>
      <c r="K143" s="102" t="str">
        <f>_xlfn.XLOOKUP(L143,'99_マスタ'!$D$5:$D$18,'99_マスタ'!$C$5:$C$18,"")</f>
        <v>02_生販在</v>
      </c>
      <c r="L143" s="102" t="s">
        <v>2302</v>
      </c>
      <c r="M143" s="102" t="s">
        <v>1879</v>
      </c>
      <c r="N143" s="127" t="s">
        <v>139</v>
      </c>
      <c r="O143" s="60" t="s">
        <v>2040</v>
      </c>
      <c r="P143" s="60" t="s">
        <v>2041</v>
      </c>
      <c r="Q143" s="60" t="s">
        <v>139</v>
      </c>
      <c r="R143" s="48" t="s">
        <v>139</v>
      </c>
      <c r="S143" s="48" t="s">
        <v>139</v>
      </c>
      <c r="T143" s="79" t="s">
        <v>1880</v>
      </c>
      <c r="U143" s="48" t="s">
        <v>139</v>
      </c>
      <c r="V143" s="49" t="s">
        <v>139</v>
      </c>
      <c r="W143" s="50" t="s">
        <v>139</v>
      </c>
      <c r="X143" s="48" t="s">
        <v>139</v>
      </c>
      <c r="Y143" s="79" t="s">
        <v>1125</v>
      </c>
      <c r="Z143" s="48" t="s">
        <v>139</v>
      </c>
      <c r="AA143" s="48" t="s">
        <v>139</v>
      </c>
      <c r="AB143" s="44"/>
      <c r="AC143" s="45"/>
      <c r="AD143" s="45"/>
      <c r="AE143" s="46"/>
      <c r="AF143" s="45"/>
      <c r="AG143" s="45"/>
      <c r="AH143" s="45"/>
      <c r="AI143" s="3" t="s">
        <v>1583</v>
      </c>
    </row>
    <row r="144" spans="1:35" ht="54">
      <c r="A144" s="144">
        <f t="shared" si="2"/>
        <v>142</v>
      </c>
      <c r="B144" s="148"/>
      <c r="C144" s="148"/>
      <c r="D144" s="148"/>
      <c r="E144" s="148"/>
      <c r="F144" s="148"/>
      <c r="G144" s="148"/>
      <c r="H144" s="148"/>
      <c r="I144" s="148"/>
      <c r="J144" s="98" t="s">
        <v>2101</v>
      </c>
      <c r="K144" s="101" t="str">
        <f>_xlfn.XLOOKUP(L144,'99_マスタ'!$D$5:$D$18,'99_マスタ'!$C$5:$C$18,"")</f>
        <v>02_生販在</v>
      </c>
      <c r="L144" s="101" t="s">
        <v>2302</v>
      </c>
      <c r="M144" s="101" t="s">
        <v>1074</v>
      </c>
      <c r="N144" s="126" t="s">
        <v>139</v>
      </c>
      <c r="O144" s="40" t="s">
        <v>1612</v>
      </c>
      <c r="P144" s="40"/>
      <c r="Q144" s="40" t="s">
        <v>161</v>
      </c>
      <c r="R144" s="41" t="s">
        <v>139</v>
      </c>
      <c r="S144" s="41" t="s">
        <v>139</v>
      </c>
      <c r="T144" s="41" t="s">
        <v>1075</v>
      </c>
      <c r="U144" s="41" t="s">
        <v>139</v>
      </c>
      <c r="V144" s="42" t="s">
        <v>139</v>
      </c>
      <c r="W144" s="43" t="s">
        <v>139</v>
      </c>
      <c r="X144" s="41" t="s">
        <v>139</v>
      </c>
      <c r="Y144" s="41" t="s">
        <v>1076</v>
      </c>
      <c r="Z144" s="41" t="s">
        <v>139</v>
      </c>
      <c r="AA144" s="41" t="s">
        <v>139</v>
      </c>
      <c r="AB144" s="44"/>
      <c r="AC144" s="45"/>
      <c r="AD144" s="45"/>
      <c r="AE144" s="46"/>
      <c r="AF144" s="45"/>
      <c r="AG144" s="45"/>
      <c r="AH144" s="45"/>
      <c r="AI144" s="3" t="s">
        <v>1583</v>
      </c>
    </row>
    <row r="145" spans="1:35" ht="40.5">
      <c r="A145" s="144">
        <f t="shared" si="2"/>
        <v>143</v>
      </c>
      <c r="B145" s="148"/>
      <c r="C145" s="148"/>
      <c r="D145" s="148"/>
      <c r="E145" s="148"/>
      <c r="F145" s="148"/>
      <c r="G145" s="148"/>
      <c r="H145" s="148"/>
      <c r="I145" s="148"/>
      <c r="J145" s="103" t="s">
        <v>2101</v>
      </c>
      <c r="K145" s="102" t="str">
        <f>_xlfn.XLOOKUP(L145,'99_マスタ'!$D$5:$D$18,'99_マスタ'!$C$5:$C$18,"")</f>
        <v>02_生販在</v>
      </c>
      <c r="L145" s="102" t="s">
        <v>2302</v>
      </c>
      <c r="M145" s="102" t="s">
        <v>1696</v>
      </c>
      <c r="N145" s="127" t="s">
        <v>139</v>
      </c>
      <c r="O145" s="60" t="s">
        <v>1697</v>
      </c>
      <c r="P145" s="60" t="s">
        <v>1908</v>
      </c>
      <c r="Q145" s="60" t="s">
        <v>161</v>
      </c>
      <c r="R145" s="48" t="s">
        <v>139</v>
      </c>
      <c r="S145" s="48" t="s">
        <v>139</v>
      </c>
      <c r="T145" s="79" t="s">
        <v>1698</v>
      </c>
      <c r="U145" s="48" t="s">
        <v>139</v>
      </c>
      <c r="V145" s="49" t="s">
        <v>139</v>
      </c>
      <c r="W145" s="50" t="s">
        <v>139</v>
      </c>
      <c r="X145" s="48" t="s">
        <v>139</v>
      </c>
      <c r="Y145" s="79" t="s">
        <v>1125</v>
      </c>
      <c r="Z145" s="48" t="s">
        <v>139</v>
      </c>
      <c r="AA145" s="48" t="s">
        <v>139</v>
      </c>
      <c r="AB145" s="44"/>
      <c r="AC145" s="45"/>
      <c r="AD145" s="45"/>
      <c r="AE145" s="46"/>
      <c r="AF145" s="45"/>
      <c r="AG145" s="45"/>
      <c r="AH145" s="45"/>
      <c r="AI145" s="3" t="s">
        <v>1583</v>
      </c>
    </row>
    <row r="146" spans="1:35" ht="67.5">
      <c r="A146" s="144">
        <f t="shared" si="2"/>
        <v>144</v>
      </c>
      <c r="B146" s="148"/>
      <c r="C146" s="148"/>
      <c r="D146" s="148"/>
      <c r="E146" s="148"/>
      <c r="F146" s="148"/>
      <c r="G146" s="148"/>
      <c r="H146" s="148"/>
      <c r="I146" s="148"/>
      <c r="J146" s="103" t="s">
        <v>2101</v>
      </c>
      <c r="K146" s="102" t="str">
        <f>_xlfn.XLOOKUP(L146,'99_マスタ'!$D$5:$D$18,'99_マスタ'!$C$5:$C$18,"")</f>
        <v>02_生販在</v>
      </c>
      <c r="L146" s="102" t="s">
        <v>2302</v>
      </c>
      <c r="M146" s="102" t="s">
        <v>1689</v>
      </c>
      <c r="N146" s="127" t="s">
        <v>139</v>
      </c>
      <c r="O146" s="60" t="s">
        <v>3277</v>
      </c>
      <c r="P146" s="60" t="s">
        <v>3278</v>
      </c>
      <c r="Q146" s="60" t="s">
        <v>161</v>
      </c>
      <c r="R146" s="48" t="s">
        <v>139</v>
      </c>
      <c r="S146" s="48" t="s">
        <v>139</v>
      </c>
      <c r="T146" s="79" t="s">
        <v>1690</v>
      </c>
      <c r="U146" s="48" t="s">
        <v>139</v>
      </c>
      <c r="V146" s="49" t="s">
        <v>139</v>
      </c>
      <c r="W146" s="50" t="s">
        <v>139</v>
      </c>
      <c r="X146" s="48" t="s">
        <v>139</v>
      </c>
      <c r="Y146" s="79" t="s">
        <v>1125</v>
      </c>
      <c r="Z146" s="48" t="s">
        <v>139</v>
      </c>
      <c r="AA146" s="48" t="s">
        <v>139</v>
      </c>
      <c r="AB146" s="44"/>
      <c r="AC146" s="45"/>
      <c r="AD146" s="45"/>
      <c r="AE146" s="46"/>
      <c r="AF146" s="45"/>
      <c r="AG146" s="45"/>
      <c r="AH146" s="45"/>
      <c r="AI146" s="3" t="s">
        <v>1583</v>
      </c>
    </row>
    <row r="147" spans="1:35" ht="40.5">
      <c r="A147" s="144">
        <f t="shared" si="2"/>
        <v>145</v>
      </c>
      <c r="B147" s="148"/>
      <c r="C147" s="148"/>
      <c r="D147" s="148"/>
      <c r="E147" s="148"/>
      <c r="F147" s="148"/>
      <c r="G147" s="148"/>
      <c r="H147" s="148"/>
      <c r="I147" s="148"/>
      <c r="J147" s="98" t="s">
        <v>2101</v>
      </c>
      <c r="K147" s="102" t="str">
        <f>_xlfn.XLOOKUP(L147,'99_マスタ'!$D$5:$D$18,'99_マスタ'!$C$5:$C$18,"")</f>
        <v>02_生販在</v>
      </c>
      <c r="L147" s="102" t="s">
        <v>2302</v>
      </c>
      <c r="M147" s="102" t="s">
        <v>1085</v>
      </c>
      <c r="N147" s="126" t="s">
        <v>139</v>
      </c>
      <c r="O147" s="40" t="s">
        <v>1086</v>
      </c>
      <c r="P147" s="40" t="s">
        <v>1953</v>
      </c>
      <c r="Q147" s="40" t="s">
        <v>2044</v>
      </c>
      <c r="R147" s="41" t="s">
        <v>139</v>
      </c>
      <c r="S147" s="41" t="s">
        <v>139</v>
      </c>
      <c r="T147" s="41" t="s">
        <v>1083</v>
      </c>
      <c r="U147" s="41" t="s">
        <v>139</v>
      </c>
      <c r="V147" s="42" t="s">
        <v>139</v>
      </c>
      <c r="W147" s="43" t="s">
        <v>139</v>
      </c>
      <c r="X147" s="41" t="s">
        <v>139</v>
      </c>
      <c r="Y147" s="41" t="s">
        <v>1087</v>
      </c>
      <c r="Z147" s="41" t="s">
        <v>139</v>
      </c>
      <c r="AA147" s="41" t="s">
        <v>139</v>
      </c>
      <c r="AB147" s="44"/>
      <c r="AC147" s="45"/>
      <c r="AD147" s="45"/>
      <c r="AE147" s="46"/>
      <c r="AF147" s="45"/>
      <c r="AG147" s="45"/>
      <c r="AH147" s="45"/>
      <c r="AI147" s="3" t="s">
        <v>1583</v>
      </c>
    </row>
    <row r="148" spans="1:35" ht="27">
      <c r="A148" s="144">
        <f t="shared" si="2"/>
        <v>146</v>
      </c>
      <c r="B148" s="148"/>
      <c r="C148" s="148"/>
      <c r="D148" s="148"/>
      <c r="E148" s="148"/>
      <c r="F148" s="148"/>
      <c r="G148" s="148"/>
      <c r="H148" s="148"/>
      <c r="I148" s="148"/>
      <c r="J148" s="98" t="s">
        <v>2101</v>
      </c>
      <c r="K148" s="99" t="str">
        <f>_xlfn.XLOOKUP(L148,'99_マスタ'!$D$5:$D$18,'99_マスタ'!$C$5:$C$18,"")</f>
        <v>02_生販在</v>
      </c>
      <c r="L148" s="99" t="s">
        <v>2302</v>
      </c>
      <c r="M148" s="99" t="s">
        <v>1881</v>
      </c>
      <c r="N148" s="126" t="s">
        <v>139</v>
      </c>
      <c r="O148" s="40" t="s">
        <v>1882</v>
      </c>
      <c r="P148" s="40" t="s">
        <v>1883</v>
      </c>
      <c r="Q148" s="40" t="s">
        <v>1666</v>
      </c>
      <c r="R148" s="41" t="s">
        <v>139</v>
      </c>
      <c r="S148" s="41" t="s">
        <v>139</v>
      </c>
      <c r="T148" s="41" t="s">
        <v>1887</v>
      </c>
      <c r="U148" s="41" t="s">
        <v>139</v>
      </c>
      <c r="V148" s="42" t="s">
        <v>139</v>
      </c>
      <c r="W148" s="43" t="s">
        <v>139</v>
      </c>
      <c r="X148" s="41" t="s">
        <v>139</v>
      </c>
      <c r="Y148" s="41" t="s">
        <v>1125</v>
      </c>
      <c r="Z148" s="41" t="s">
        <v>139</v>
      </c>
      <c r="AA148" s="41" t="s">
        <v>139</v>
      </c>
      <c r="AB148" s="44"/>
      <c r="AC148" s="45"/>
      <c r="AD148" s="45"/>
      <c r="AE148" s="46"/>
      <c r="AF148" s="45"/>
      <c r="AG148" s="45"/>
      <c r="AH148" s="45"/>
      <c r="AI148" s="3" t="s">
        <v>1583</v>
      </c>
    </row>
    <row r="149" spans="1:35" ht="40.5">
      <c r="A149" s="144">
        <f t="shared" si="2"/>
        <v>147</v>
      </c>
      <c r="B149" s="148"/>
      <c r="C149" s="148"/>
      <c r="D149" s="148"/>
      <c r="E149" s="148"/>
      <c r="F149" s="148"/>
      <c r="G149" s="148"/>
      <c r="H149" s="148"/>
      <c r="I149" s="148"/>
      <c r="J149" s="103" t="s">
        <v>2101</v>
      </c>
      <c r="K149" s="102" t="str">
        <f>_xlfn.XLOOKUP(L149,'99_マスタ'!$D$5:$D$18,'99_マスタ'!$C$5:$C$18,"")</f>
        <v>02_生販在</v>
      </c>
      <c r="L149" s="102" t="s">
        <v>2302</v>
      </c>
      <c r="M149" s="102" t="s">
        <v>1694</v>
      </c>
      <c r="N149" s="127" t="s">
        <v>139</v>
      </c>
      <c r="O149" s="60" t="s">
        <v>1695</v>
      </c>
      <c r="P149" s="60" t="s">
        <v>1907</v>
      </c>
      <c r="Q149" s="60" t="s">
        <v>161</v>
      </c>
      <c r="R149" s="48" t="s">
        <v>139</v>
      </c>
      <c r="S149" s="48" t="s">
        <v>139</v>
      </c>
      <c r="T149" s="79" t="s">
        <v>1693</v>
      </c>
      <c r="U149" s="48" t="s">
        <v>139</v>
      </c>
      <c r="V149" s="49" t="s">
        <v>139</v>
      </c>
      <c r="W149" s="50" t="s">
        <v>139</v>
      </c>
      <c r="X149" s="48" t="s">
        <v>139</v>
      </c>
      <c r="Y149" s="79" t="s">
        <v>1125</v>
      </c>
      <c r="Z149" s="48" t="s">
        <v>139</v>
      </c>
      <c r="AA149" s="48" t="s">
        <v>139</v>
      </c>
      <c r="AB149" s="44"/>
      <c r="AC149" s="45"/>
      <c r="AD149" s="45"/>
      <c r="AE149" s="46"/>
      <c r="AF149" s="45"/>
      <c r="AG149" s="45"/>
      <c r="AH149" s="45"/>
      <c r="AI149" s="3" t="s">
        <v>1583</v>
      </c>
    </row>
    <row r="150" spans="1:35" ht="40.5">
      <c r="A150" s="144">
        <f t="shared" si="2"/>
        <v>148</v>
      </c>
      <c r="B150" s="148"/>
      <c r="C150" s="148"/>
      <c r="D150" s="148"/>
      <c r="E150" s="148"/>
      <c r="F150" s="148"/>
      <c r="G150" s="148"/>
      <c r="H150" s="148"/>
      <c r="I150" s="148"/>
      <c r="J150" s="103" t="s">
        <v>2101</v>
      </c>
      <c r="K150" s="102" t="str">
        <f>_xlfn.XLOOKUP(L150,'99_マスタ'!$D$5:$D$18,'99_マスタ'!$C$5:$C$18,"")</f>
        <v>02_生販在</v>
      </c>
      <c r="L150" s="102" t="s">
        <v>2302</v>
      </c>
      <c r="M150" s="102" t="s">
        <v>1691</v>
      </c>
      <c r="N150" s="127" t="s">
        <v>139</v>
      </c>
      <c r="O150" s="60" t="s">
        <v>1692</v>
      </c>
      <c r="P150" s="60" t="s">
        <v>1906</v>
      </c>
      <c r="Q150" s="60" t="s">
        <v>161</v>
      </c>
      <c r="R150" s="48" t="s">
        <v>139</v>
      </c>
      <c r="S150" s="48" t="s">
        <v>139</v>
      </c>
      <c r="T150" s="79" t="s">
        <v>1693</v>
      </c>
      <c r="U150" s="48" t="s">
        <v>139</v>
      </c>
      <c r="V150" s="49" t="s">
        <v>139</v>
      </c>
      <c r="W150" s="50" t="s">
        <v>139</v>
      </c>
      <c r="X150" s="48" t="s">
        <v>139</v>
      </c>
      <c r="Y150" s="79" t="s">
        <v>1125</v>
      </c>
      <c r="Z150" s="48" t="s">
        <v>139</v>
      </c>
      <c r="AA150" s="48" t="s">
        <v>139</v>
      </c>
      <c r="AB150" s="44"/>
      <c r="AC150" s="45"/>
      <c r="AD150" s="45"/>
      <c r="AE150" s="46"/>
      <c r="AF150" s="45"/>
      <c r="AG150" s="45"/>
      <c r="AH150" s="45"/>
      <c r="AI150" s="3" t="s">
        <v>1583</v>
      </c>
    </row>
    <row r="151" spans="1:35" ht="40.5">
      <c r="A151" s="144">
        <f t="shared" si="2"/>
        <v>149</v>
      </c>
      <c r="B151" s="148"/>
      <c r="C151" s="148"/>
      <c r="D151" s="148"/>
      <c r="E151" s="148"/>
      <c r="F151" s="148"/>
      <c r="G151" s="148"/>
      <c r="H151" s="148"/>
      <c r="I151" s="148"/>
      <c r="J151" s="98" t="s">
        <v>2101</v>
      </c>
      <c r="K151" s="102" t="str">
        <f>_xlfn.XLOOKUP(L151,'99_マスタ'!$D$5:$D$18,'99_マスタ'!$C$5:$C$18,"")</f>
        <v>02_生販在</v>
      </c>
      <c r="L151" s="102" t="s">
        <v>2302</v>
      </c>
      <c r="M151" s="102" t="s">
        <v>1620</v>
      </c>
      <c r="N151" s="126" t="s">
        <v>1127</v>
      </c>
      <c r="O151" s="40" t="s">
        <v>1619</v>
      </c>
      <c r="P151" s="40" t="s">
        <v>1621</v>
      </c>
      <c r="Q151" s="40" t="s">
        <v>161</v>
      </c>
      <c r="R151" s="41" t="s">
        <v>139</v>
      </c>
      <c r="S151" s="41" t="s">
        <v>139</v>
      </c>
      <c r="T151" s="41" t="s">
        <v>1128</v>
      </c>
      <c r="U151" s="41" t="s">
        <v>139</v>
      </c>
      <c r="V151" s="42" t="s">
        <v>139</v>
      </c>
      <c r="W151" s="43" t="s">
        <v>139</v>
      </c>
      <c r="X151" s="41" t="s">
        <v>139</v>
      </c>
      <c r="Y151" s="41" t="s">
        <v>1125</v>
      </c>
      <c r="Z151" s="41" t="s">
        <v>139</v>
      </c>
      <c r="AA151" s="41" t="s">
        <v>139</v>
      </c>
      <c r="AB151" s="44"/>
      <c r="AC151" s="45"/>
      <c r="AD151" s="45"/>
      <c r="AE151" s="46"/>
      <c r="AF151" s="45"/>
      <c r="AG151" s="45"/>
      <c r="AH151" s="45"/>
      <c r="AI151" s="3" t="s">
        <v>1583</v>
      </c>
    </row>
    <row r="152" spans="1:35" ht="27">
      <c r="A152" s="144">
        <f t="shared" si="2"/>
        <v>150</v>
      </c>
      <c r="B152" s="148"/>
      <c r="C152" s="148"/>
      <c r="D152" s="148"/>
      <c r="E152" s="148"/>
      <c r="F152" s="148"/>
      <c r="G152" s="148"/>
      <c r="H152" s="148"/>
      <c r="I152" s="148"/>
      <c r="J152" s="103" t="s">
        <v>2101</v>
      </c>
      <c r="K152" s="102" t="str">
        <f>_xlfn.XLOOKUP(L152,'99_マスタ'!$D$5:$D$18,'99_マスタ'!$C$5:$C$18,"")</f>
        <v>02_生販在</v>
      </c>
      <c r="L152" s="102" t="s">
        <v>2302</v>
      </c>
      <c r="M152" s="102" t="s">
        <v>1627</v>
      </c>
      <c r="N152" s="127" t="s">
        <v>139</v>
      </c>
      <c r="O152" s="60" t="s">
        <v>1699</v>
      </c>
      <c r="P152" s="60" t="s">
        <v>1898</v>
      </c>
      <c r="Q152" s="60" t="s">
        <v>161</v>
      </c>
      <c r="R152" s="48" t="s">
        <v>139</v>
      </c>
      <c r="S152" s="48" t="s">
        <v>139</v>
      </c>
      <c r="T152" s="79" t="s">
        <v>1700</v>
      </c>
      <c r="U152" s="48" t="s">
        <v>139</v>
      </c>
      <c r="V152" s="49" t="s">
        <v>139</v>
      </c>
      <c r="W152" s="50" t="s">
        <v>139</v>
      </c>
      <c r="X152" s="48" t="s">
        <v>139</v>
      </c>
      <c r="Y152" s="79" t="s">
        <v>1125</v>
      </c>
      <c r="Z152" s="48" t="s">
        <v>139</v>
      </c>
      <c r="AA152" s="48" t="s">
        <v>139</v>
      </c>
      <c r="AB152" s="44"/>
      <c r="AC152" s="45"/>
      <c r="AD152" s="45"/>
      <c r="AE152" s="46"/>
      <c r="AF152" s="45"/>
      <c r="AG152" s="45"/>
      <c r="AH152" s="45"/>
      <c r="AI152" s="3" t="s">
        <v>1583</v>
      </c>
    </row>
    <row r="153" spans="1:35" ht="27">
      <c r="A153" s="144">
        <f t="shared" si="2"/>
        <v>151</v>
      </c>
      <c r="B153" s="148"/>
      <c r="C153" s="148"/>
      <c r="D153" s="148"/>
      <c r="E153" s="148"/>
      <c r="F153" s="148"/>
      <c r="G153" s="148"/>
      <c r="H153" s="148"/>
      <c r="I153" s="148"/>
      <c r="J153" s="100" t="s">
        <v>2101</v>
      </c>
      <c r="K153" s="99" t="str">
        <f>_xlfn.XLOOKUP(L153,'99_マスタ'!$D$5:$D$18,'99_マスタ'!$C$5:$C$18,"")</f>
        <v>02_生販在</v>
      </c>
      <c r="L153" s="99" t="s">
        <v>2302</v>
      </c>
      <c r="M153" s="99" t="s">
        <v>3098</v>
      </c>
      <c r="N153" s="126" t="s">
        <v>2144</v>
      </c>
      <c r="O153" s="40" t="s">
        <v>2145</v>
      </c>
      <c r="P153" s="40"/>
      <c r="Q153" s="40" t="s">
        <v>2171</v>
      </c>
      <c r="R153" s="41" t="s">
        <v>139</v>
      </c>
      <c r="S153" s="41" t="s">
        <v>139</v>
      </c>
      <c r="T153" s="41" t="s">
        <v>139</v>
      </c>
      <c r="U153" s="41" t="s">
        <v>2173</v>
      </c>
      <c r="V153" s="42" t="s">
        <v>139</v>
      </c>
      <c r="W153" s="43" t="s">
        <v>139</v>
      </c>
      <c r="X153" s="41" t="s">
        <v>139</v>
      </c>
      <c r="Y153" s="41" t="s">
        <v>139</v>
      </c>
      <c r="Z153" s="41" t="s">
        <v>2172</v>
      </c>
      <c r="AA153" s="41" t="s">
        <v>139</v>
      </c>
      <c r="AB153" s="44"/>
      <c r="AC153" s="45"/>
      <c r="AD153" s="45"/>
      <c r="AE153" s="46"/>
      <c r="AF153" s="45"/>
      <c r="AG153" s="45"/>
      <c r="AH153" s="45"/>
      <c r="AI153" s="3" t="s">
        <v>1583</v>
      </c>
    </row>
    <row r="154" spans="1:35" ht="27">
      <c r="A154" s="144">
        <f t="shared" si="2"/>
        <v>152</v>
      </c>
      <c r="B154" s="148"/>
      <c r="C154" s="148"/>
      <c r="D154" s="148"/>
      <c r="E154" s="148"/>
      <c r="F154" s="148"/>
      <c r="G154" s="148"/>
      <c r="H154" s="148"/>
      <c r="I154" s="148"/>
      <c r="J154" s="100" t="s">
        <v>2101</v>
      </c>
      <c r="K154" s="99" t="str">
        <f>_xlfn.XLOOKUP(L154,'99_マスタ'!$D$5:$D$18,'99_マスタ'!$C$5:$C$18,"")</f>
        <v>02_生販在</v>
      </c>
      <c r="L154" s="99" t="s">
        <v>2302</v>
      </c>
      <c r="M154" s="99" t="s">
        <v>2165</v>
      </c>
      <c r="N154" s="126" t="s">
        <v>1637</v>
      </c>
      <c r="O154" s="40" t="s">
        <v>2166</v>
      </c>
      <c r="P154" s="40"/>
      <c r="Q154" s="40" t="s">
        <v>2171</v>
      </c>
      <c r="R154" s="41" t="s">
        <v>139</v>
      </c>
      <c r="S154" s="41" t="s">
        <v>139</v>
      </c>
      <c r="T154" s="41" t="s">
        <v>139</v>
      </c>
      <c r="U154" s="41" t="s">
        <v>2173</v>
      </c>
      <c r="V154" s="42" t="s">
        <v>139</v>
      </c>
      <c r="W154" s="43" t="s">
        <v>139</v>
      </c>
      <c r="X154" s="41" t="s">
        <v>139</v>
      </c>
      <c r="Y154" s="41" t="s">
        <v>139</v>
      </c>
      <c r="Z154" s="41" t="s">
        <v>2172</v>
      </c>
      <c r="AA154" s="41" t="s">
        <v>139</v>
      </c>
      <c r="AB154" s="44"/>
      <c r="AC154" s="45"/>
      <c r="AD154" s="45"/>
      <c r="AE154" s="46"/>
      <c r="AF154" s="45"/>
      <c r="AG154" s="45"/>
      <c r="AH154" s="45"/>
      <c r="AI154" s="3" t="s">
        <v>1583</v>
      </c>
    </row>
    <row r="155" spans="1:35" ht="27">
      <c r="A155" s="144">
        <f t="shared" si="2"/>
        <v>153</v>
      </c>
      <c r="B155" s="148"/>
      <c r="C155" s="148"/>
      <c r="D155" s="148"/>
      <c r="E155" s="148"/>
      <c r="F155" s="148"/>
      <c r="G155" s="148"/>
      <c r="H155" s="148"/>
      <c r="I155" s="148"/>
      <c r="J155" s="100" t="s">
        <v>2101</v>
      </c>
      <c r="K155" s="99" t="str">
        <f>_xlfn.XLOOKUP(L155,'99_マスタ'!$D$5:$D$18,'99_マスタ'!$C$5:$C$18,"")</f>
        <v>02_生販在</v>
      </c>
      <c r="L155" s="99" t="s">
        <v>2302</v>
      </c>
      <c r="M155" s="99" t="s">
        <v>2167</v>
      </c>
      <c r="N155" s="126" t="s">
        <v>1637</v>
      </c>
      <c r="O155" s="40" t="s">
        <v>2168</v>
      </c>
      <c r="P155" s="40"/>
      <c r="Q155" s="40" t="s">
        <v>2171</v>
      </c>
      <c r="R155" s="41" t="s">
        <v>139</v>
      </c>
      <c r="S155" s="41" t="s">
        <v>139</v>
      </c>
      <c r="T155" s="41" t="s">
        <v>139</v>
      </c>
      <c r="U155" s="41" t="s">
        <v>2173</v>
      </c>
      <c r="V155" s="42" t="s">
        <v>139</v>
      </c>
      <c r="W155" s="43" t="s">
        <v>139</v>
      </c>
      <c r="X155" s="41" t="s">
        <v>139</v>
      </c>
      <c r="Y155" s="41" t="s">
        <v>139</v>
      </c>
      <c r="Z155" s="41" t="s">
        <v>2172</v>
      </c>
      <c r="AA155" s="41" t="s">
        <v>139</v>
      </c>
      <c r="AB155" s="44"/>
      <c r="AC155" s="45"/>
      <c r="AD155" s="45"/>
      <c r="AE155" s="46"/>
      <c r="AF155" s="45"/>
      <c r="AG155" s="45"/>
      <c r="AH155" s="45"/>
      <c r="AI155" s="3" t="s">
        <v>1583</v>
      </c>
    </row>
    <row r="156" spans="1:35" ht="27">
      <c r="A156" s="144">
        <f t="shared" si="2"/>
        <v>154</v>
      </c>
      <c r="B156" s="148"/>
      <c r="C156" s="148"/>
      <c r="D156" s="148"/>
      <c r="E156" s="148"/>
      <c r="F156" s="148"/>
      <c r="G156" s="148"/>
      <c r="H156" s="148"/>
      <c r="I156" s="148"/>
      <c r="J156" s="100" t="s">
        <v>2101</v>
      </c>
      <c r="K156" s="99" t="str">
        <f>_xlfn.XLOOKUP(L156,'99_マスタ'!$D$5:$D$18,'99_マスタ'!$C$5:$C$18,"")</f>
        <v>02_生販在</v>
      </c>
      <c r="L156" s="99" t="s">
        <v>2302</v>
      </c>
      <c r="M156" s="99" t="s">
        <v>2163</v>
      </c>
      <c r="N156" s="126" t="s">
        <v>1637</v>
      </c>
      <c r="O156" s="40" t="s">
        <v>2164</v>
      </c>
      <c r="P156" s="40"/>
      <c r="Q156" s="40" t="s">
        <v>2171</v>
      </c>
      <c r="R156" s="41" t="s">
        <v>139</v>
      </c>
      <c r="S156" s="41" t="s">
        <v>139</v>
      </c>
      <c r="T156" s="41" t="s">
        <v>139</v>
      </c>
      <c r="U156" s="41" t="s">
        <v>2173</v>
      </c>
      <c r="V156" s="42" t="s">
        <v>139</v>
      </c>
      <c r="W156" s="43" t="s">
        <v>139</v>
      </c>
      <c r="X156" s="41" t="s">
        <v>139</v>
      </c>
      <c r="Y156" s="41" t="s">
        <v>139</v>
      </c>
      <c r="Z156" s="41" t="s">
        <v>2172</v>
      </c>
      <c r="AA156" s="41" t="s">
        <v>139</v>
      </c>
      <c r="AB156" s="44"/>
      <c r="AC156" s="45"/>
      <c r="AD156" s="45"/>
      <c r="AE156" s="46"/>
      <c r="AF156" s="45"/>
      <c r="AG156" s="45"/>
      <c r="AH156" s="45"/>
      <c r="AI156" s="3" t="s">
        <v>1583</v>
      </c>
    </row>
    <row r="157" spans="1:35" ht="27">
      <c r="A157" s="144">
        <f t="shared" si="2"/>
        <v>155</v>
      </c>
      <c r="B157" s="148"/>
      <c r="C157" s="148"/>
      <c r="D157" s="148"/>
      <c r="E157" s="148"/>
      <c r="F157" s="148"/>
      <c r="G157" s="148"/>
      <c r="H157" s="148"/>
      <c r="I157" s="148"/>
      <c r="J157" s="100" t="s">
        <v>2101</v>
      </c>
      <c r="K157" s="99" t="str">
        <f>_xlfn.XLOOKUP(L157,'99_マスタ'!$D$5:$D$18,'99_マスタ'!$C$5:$C$18,"")</f>
        <v>02_生販在</v>
      </c>
      <c r="L157" s="99" t="s">
        <v>2302</v>
      </c>
      <c r="M157" s="99" t="s">
        <v>3045</v>
      </c>
      <c r="N157" s="126" t="s">
        <v>1637</v>
      </c>
      <c r="O157" s="40" t="s">
        <v>2154</v>
      </c>
      <c r="P157" s="40"/>
      <c r="Q157" s="40" t="s">
        <v>2171</v>
      </c>
      <c r="R157" s="41" t="s">
        <v>139</v>
      </c>
      <c r="S157" s="41" t="s">
        <v>139</v>
      </c>
      <c r="T157" s="41" t="s">
        <v>139</v>
      </c>
      <c r="U157" s="41" t="s">
        <v>2173</v>
      </c>
      <c r="V157" s="42" t="s">
        <v>139</v>
      </c>
      <c r="W157" s="43" t="s">
        <v>139</v>
      </c>
      <c r="X157" s="41" t="s">
        <v>139</v>
      </c>
      <c r="Y157" s="41" t="s">
        <v>139</v>
      </c>
      <c r="Z157" s="41" t="s">
        <v>2172</v>
      </c>
      <c r="AA157" s="41" t="s">
        <v>139</v>
      </c>
      <c r="AB157" s="44"/>
      <c r="AC157" s="45"/>
      <c r="AD157" s="45"/>
      <c r="AE157" s="46"/>
      <c r="AF157" s="45"/>
      <c r="AG157" s="45"/>
      <c r="AH157" s="45"/>
      <c r="AI157" s="3" t="s">
        <v>1583</v>
      </c>
    </row>
    <row r="158" spans="1:35" ht="27">
      <c r="A158" s="144">
        <f t="shared" si="2"/>
        <v>156</v>
      </c>
      <c r="B158" s="148"/>
      <c r="C158" s="148"/>
      <c r="D158" s="148"/>
      <c r="E158" s="148"/>
      <c r="F158" s="148"/>
      <c r="G158" s="148"/>
      <c r="H158" s="148"/>
      <c r="I158" s="148"/>
      <c r="J158" s="100" t="s">
        <v>2101</v>
      </c>
      <c r="K158" s="99" t="str">
        <f>_xlfn.XLOOKUP(L158,'99_マスタ'!$D$5:$D$18,'99_マスタ'!$C$5:$C$18,"")</f>
        <v>02_生販在</v>
      </c>
      <c r="L158" s="99" t="s">
        <v>2302</v>
      </c>
      <c r="M158" s="99" t="s">
        <v>2335</v>
      </c>
      <c r="N158" s="126" t="s">
        <v>1637</v>
      </c>
      <c r="O158" s="40" t="s">
        <v>2336</v>
      </c>
      <c r="P158" s="40"/>
      <c r="Q158" s="40" t="s">
        <v>2171</v>
      </c>
      <c r="R158" s="41" t="s">
        <v>139</v>
      </c>
      <c r="S158" s="41" t="s">
        <v>139</v>
      </c>
      <c r="T158" s="41" t="s">
        <v>139</v>
      </c>
      <c r="U158" s="41" t="s">
        <v>2334</v>
      </c>
      <c r="V158" s="42" t="s">
        <v>139</v>
      </c>
      <c r="W158" s="43" t="s">
        <v>139</v>
      </c>
      <c r="X158" s="41" t="s">
        <v>139</v>
      </c>
      <c r="Y158" s="41" t="s">
        <v>139</v>
      </c>
      <c r="Z158" s="41" t="s">
        <v>708</v>
      </c>
      <c r="AA158" s="41" t="s">
        <v>139</v>
      </c>
      <c r="AB158" s="44"/>
      <c r="AC158" s="45"/>
      <c r="AD158" s="45"/>
      <c r="AE158" s="46"/>
      <c r="AF158" s="45"/>
      <c r="AG158" s="45"/>
      <c r="AH158" s="45"/>
      <c r="AI158" s="3" t="s">
        <v>1583</v>
      </c>
    </row>
    <row r="159" spans="1:35" ht="27">
      <c r="A159" s="144">
        <f t="shared" si="2"/>
        <v>157</v>
      </c>
      <c r="B159" s="148"/>
      <c r="C159" s="148"/>
      <c r="D159" s="148"/>
      <c r="E159" s="148"/>
      <c r="F159" s="148"/>
      <c r="G159" s="148"/>
      <c r="H159" s="148"/>
      <c r="I159" s="148"/>
      <c r="J159" s="100" t="s">
        <v>2101</v>
      </c>
      <c r="K159" s="99" t="str">
        <f>_xlfn.XLOOKUP(L159,'99_マスタ'!$D$5:$D$18,'99_マスタ'!$C$5:$C$18,"")</f>
        <v>02_生販在</v>
      </c>
      <c r="L159" s="99" t="s">
        <v>2302</v>
      </c>
      <c r="M159" s="99" t="s">
        <v>2146</v>
      </c>
      <c r="N159" s="126" t="s">
        <v>2147</v>
      </c>
      <c r="O159" s="40" t="s">
        <v>2148</v>
      </c>
      <c r="P159" s="40"/>
      <c r="Q159" s="40" t="s">
        <v>2171</v>
      </c>
      <c r="R159" s="41" t="s">
        <v>139</v>
      </c>
      <c r="S159" s="41" t="s">
        <v>139</v>
      </c>
      <c r="T159" s="41" t="s">
        <v>139</v>
      </c>
      <c r="U159" s="41" t="s">
        <v>2173</v>
      </c>
      <c r="V159" s="42" t="s">
        <v>139</v>
      </c>
      <c r="W159" s="43" t="s">
        <v>139</v>
      </c>
      <c r="X159" s="41" t="s">
        <v>139</v>
      </c>
      <c r="Y159" s="41" t="s">
        <v>139</v>
      </c>
      <c r="Z159" s="41" t="s">
        <v>2172</v>
      </c>
      <c r="AA159" s="41" t="s">
        <v>139</v>
      </c>
      <c r="AB159" s="44"/>
      <c r="AC159" s="45"/>
      <c r="AD159" s="45"/>
      <c r="AE159" s="46"/>
      <c r="AF159" s="45"/>
      <c r="AG159" s="45"/>
      <c r="AH159" s="45"/>
      <c r="AI159" s="3" t="s">
        <v>1583</v>
      </c>
    </row>
    <row r="160" spans="1:35" ht="81">
      <c r="A160" s="144">
        <f t="shared" si="2"/>
        <v>158</v>
      </c>
      <c r="B160" s="148"/>
      <c r="C160" s="148"/>
      <c r="D160" s="148"/>
      <c r="E160" s="148"/>
      <c r="F160" s="148"/>
      <c r="G160" s="148"/>
      <c r="H160" s="148"/>
      <c r="I160" s="148"/>
      <c r="J160" s="103" t="s">
        <v>2101</v>
      </c>
      <c r="K160" s="102" t="str">
        <f>_xlfn.XLOOKUP(L160,'99_マスタ'!$D$5:$D$18,'99_マスタ'!$C$5:$C$18,"")</f>
        <v>02_生販在</v>
      </c>
      <c r="L160" s="102" t="s">
        <v>2302</v>
      </c>
      <c r="M160" s="102" t="s">
        <v>1754</v>
      </c>
      <c r="N160" s="127" t="s">
        <v>139</v>
      </c>
      <c r="O160" s="60" t="s">
        <v>1755</v>
      </c>
      <c r="P160" s="60" t="s">
        <v>1956</v>
      </c>
      <c r="Q160" s="60" t="s">
        <v>1756</v>
      </c>
      <c r="R160" s="48" t="s">
        <v>139</v>
      </c>
      <c r="S160" s="48" t="s">
        <v>139</v>
      </c>
      <c r="T160" s="79" t="s">
        <v>1757</v>
      </c>
      <c r="U160" s="48" t="s">
        <v>139</v>
      </c>
      <c r="V160" s="49" t="s">
        <v>139</v>
      </c>
      <c r="W160" s="50" t="s">
        <v>139</v>
      </c>
      <c r="X160" s="48" t="s">
        <v>139</v>
      </c>
      <c r="Y160" s="79" t="s">
        <v>1125</v>
      </c>
      <c r="Z160" s="48" t="s">
        <v>139</v>
      </c>
      <c r="AA160" s="48" t="s">
        <v>139</v>
      </c>
      <c r="AB160" s="44"/>
      <c r="AC160" s="45"/>
      <c r="AD160" s="45"/>
      <c r="AE160" s="46"/>
      <c r="AF160" s="45"/>
      <c r="AG160" s="45"/>
      <c r="AH160" s="45"/>
      <c r="AI160" s="3" t="s">
        <v>1583</v>
      </c>
    </row>
    <row r="161" spans="1:35" ht="27">
      <c r="A161" s="144">
        <f t="shared" si="2"/>
        <v>159</v>
      </c>
      <c r="B161" s="148"/>
      <c r="C161" s="148"/>
      <c r="D161" s="148"/>
      <c r="E161" s="148"/>
      <c r="F161" s="148"/>
      <c r="G161" s="148"/>
      <c r="H161" s="148"/>
      <c r="I161" s="148"/>
      <c r="J161" s="100" t="s">
        <v>2101</v>
      </c>
      <c r="K161" s="99" t="str">
        <f>_xlfn.XLOOKUP(L161,'99_マスタ'!$D$5:$D$18,'99_マスタ'!$C$5:$C$18,"")</f>
        <v>02_生販在</v>
      </c>
      <c r="L161" s="99" t="s">
        <v>2302</v>
      </c>
      <c r="M161" s="99" t="s">
        <v>2152</v>
      </c>
      <c r="N161" s="126" t="s">
        <v>1637</v>
      </c>
      <c r="O161" s="40" t="s">
        <v>2153</v>
      </c>
      <c r="P161" s="40"/>
      <c r="Q161" s="40" t="s">
        <v>2171</v>
      </c>
      <c r="R161" s="41" t="s">
        <v>139</v>
      </c>
      <c r="S161" s="41" t="s">
        <v>139</v>
      </c>
      <c r="T161" s="41" t="s">
        <v>139</v>
      </c>
      <c r="U161" s="41" t="s">
        <v>2173</v>
      </c>
      <c r="V161" s="42" t="s">
        <v>139</v>
      </c>
      <c r="W161" s="43" t="s">
        <v>139</v>
      </c>
      <c r="X161" s="41" t="s">
        <v>139</v>
      </c>
      <c r="Y161" s="41" t="s">
        <v>139</v>
      </c>
      <c r="Z161" s="41" t="s">
        <v>2172</v>
      </c>
      <c r="AA161" s="41" t="s">
        <v>139</v>
      </c>
      <c r="AB161" s="44"/>
      <c r="AC161" s="45"/>
      <c r="AD161" s="45"/>
      <c r="AE161" s="46"/>
      <c r="AF161" s="45"/>
      <c r="AG161" s="45"/>
      <c r="AH161" s="45"/>
      <c r="AI161" s="3" t="s">
        <v>1583</v>
      </c>
    </row>
    <row r="162" spans="1:35" ht="40.5">
      <c r="A162" s="144">
        <f t="shared" si="2"/>
        <v>160</v>
      </c>
      <c r="B162" s="148"/>
      <c r="C162" s="148"/>
      <c r="D162" s="148"/>
      <c r="E162" s="148"/>
      <c r="F162" s="148"/>
      <c r="G162" s="148"/>
      <c r="H162" s="148"/>
      <c r="I162" s="148"/>
      <c r="J162" s="100" t="s">
        <v>2101</v>
      </c>
      <c r="K162" s="99" t="str">
        <f>_xlfn.XLOOKUP(L162,'99_マスタ'!$D$5:$D$18,'99_マスタ'!$C$5:$C$18,"")</f>
        <v>02_生販在</v>
      </c>
      <c r="L162" s="99" t="s">
        <v>2302</v>
      </c>
      <c r="M162" s="99" t="s">
        <v>2339</v>
      </c>
      <c r="N162" s="126" t="s">
        <v>1637</v>
      </c>
      <c r="O162" s="40" t="s">
        <v>2340</v>
      </c>
      <c r="P162" s="40"/>
      <c r="Q162" s="40" t="s">
        <v>2171</v>
      </c>
      <c r="R162" s="41" t="s">
        <v>139</v>
      </c>
      <c r="S162" s="41" t="s">
        <v>139</v>
      </c>
      <c r="T162" s="41" t="s">
        <v>139</v>
      </c>
      <c r="U162" s="41" t="s">
        <v>2334</v>
      </c>
      <c r="V162" s="42" t="s">
        <v>139</v>
      </c>
      <c r="W162" s="43" t="s">
        <v>139</v>
      </c>
      <c r="X162" s="41" t="s">
        <v>139</v>
      </c>
      <c r="Y162" s="41" t="s">
        <v>139</v>
      </c>
      <c r="Z162" s="41" t="s">
        <v>708</v>
      </c>
      <c r="AA162" s="41" t="s">
        <v>139</v>
      </c>
      <c r="AB162" s="44"/>
      <c r="AC162" s="45"/>
      <c r="AD162" s="45"/>
      <c r="AE162" s="46"/>
      <c r="AF162" s="45"/>
      <c r="AG162" s="45"/>
      <c r="AH162" s="45"/>
      <c r="AI162" s="3" t="s">
        <v>1583</v>
      </c>
    </row>
    <row r="163" spans="1:35" ht="27">
      <c r="A163" s="144">
        <f t="shared" si="2"/>
        <v>161</v>
      </c>
      <c r="B163" s="148"/>
      <c r="C163" s="148"/>
      <c r="D163" s="148"/>
      <c r="E163" s="148"/>
      <c r="F163" s="148"/>
      <c r="G163" s="148"/>
      <c r="H163" s="148"/>
      <c r="I163" s="148"/>
      <c r="J163" s="100" t="s">
        <v>2101</v>
      </c>
      <c r="K163" s="99" t="str">
        <f>_xlfn.XLOOKUP(L163,'99_マスタ'!$D$5:$D$18,'99_マスタ'!$C$5:$C$18,"")</f>
        <v>02_生販在</v>
      </c>
      <c r="L163" s="99" t="s">
        <v>2302</v>
      </c>
      <c r="M163" s="99" t="s">
        <v>2149</v>
      </c>
      <c r="N163" s="126" t="s">
        <v>1637</v>
      </c>
      <c r="O163" s="40" t="s">
        <v>2150</v>
      </c>
      <c r="P163" s="40" t="s">
        <v>2151</v>
      </c>
      <c r="Q163" s="40" t="s">
        <v>2171</v>
      </c>
      <c r="R163" s="41" t="s">
        <v>139</v>
      </c>
      <c r="S163" s="41" t="s">
        <v>139</v>
      </c>
      <c r="T163" s="41" t="s">
        <v>139</v>
      </c>
      <c r="U163" s="41" t="s">
        <v>2173</v>
      </c>
      <c r="V163" s="42" t="s">
        <v>139</v>
      </c>
      <c r="W163" s="43" t="s">
        <v>139</v>
      </c>
      <c r="X163" s="41" t="s">
        <v>139</v>
      </c>
      <c r="Y163" s="41" t="s">
        <v>139</v>
      </c>
      <c r="Z163" s="41" t="s">
        <v>2172</v>
      </c>
      <c r="AA163" s="41" t="s">
        <v>139</v>
      </c>
      <c r="AB163" s="44"/>
      <c r="AC163" s="45"/>
      <c r="AD163" s="45"/>
      <c r="AE163" s="46"/>
      <c r="AF163" s="45"/>
      <c r="AG163" s="45"/>
      <c r="AH163" s="45"/>
      <c r="AI163" s="3" t="s">
        <v>1583</v>
      </c>
    </row>
    <row r="164" spans="1:35" ht="27">
      <c r="A164" s="144">
        <f t="shared" si="2"/>
        <v>162</v>
      </c>
      <c r="B164" s="148"/>
      <c r="C164" s="148"/>
      <c r="D164" s="148"/>
      <c r="E164" s="148"/>
      <c r="F164" s="148"/>
      <c r="G164" s="148"/>
      <c r="H164" s="148"/>
      <c r="I164" s="148"/>
      <c r="J164" s="100" t="s">
        <v>2101</v>
      </c>
      <c r="K164" s="99" t="str">
        <f>_xlfn.XLOOKUP(L164,'99_マスタ'!$D$5:$D$18,'99_マスタ'!$C$5:$C$18,"")</f>
        <v>02_生販在</v>
      </c>
      <c r="L164" s="99" t="s">
        <v>2302</v>
      </c>
      <c r="M164" s="99" t="s">
        <v>2341</v>
      </c>
      <c r="N164" s="126" t="s">
        <v>1637</v>
      </c>
      <c r="O164" s="40" t="s">
        <v>2342</v>
      </c>
      <c r="P164" s="40"/>
      <c r="Q164" s="40" t="s">
        <v>2171</v>
      </c>
      <c r="R164" s="41" t="s">
        <v>139</v>
      </c>
      <c r="S164" s="41" t="s">
        <v>139</v>
      </c>
      <c r="T164" s="41" t="s">
        <v>139</v>
      </c>
      <c r="U164" s="41" t="s">
        <v>2334</v>
      </c>
      <c r="V164" s="42" t="s">
        <v>139</v>
      </c>
      <c r="W164" s="43" t="s">
        <v>139</v>
      </c>
      <c r="X164" s="41" t="s">
        <v>139</v>
      </c>
      <c r="Y164" s="41" t="s">
        <v>139</v>
      </c>
      <c r="Z164" s="41" t="s">
        <v>708</v>
      </c>
      <c r="AA164" s="41" t="s">
        <v>139</v>
      </c>
      <c r="AB164" s="44"/>
      <c r="AC164" s="45"/>
      <c r="AD164" s="45"/>
      <c r="AE164" s="46"/>
      <c r="AF164" s="45"/>
      <c r="AG164" s="45"/>
      <c r="AH164" s="45"/>
      <c r="AI164" s="3" t="s">
        <v>1583</v>
      </c>
    </row>
    <row r="165" spans="1:35" ht="27">
      <c r="A165" s="144">
        <f t="shared" si="2"/>
        <v>163</v>
      </c>
      <c r="B165" s="148"/>
      <c r="C165" s="148"/>
      <c r="D165" s="148"/>
      <c r="E165" s="148"/>
      <c r="F165" s="148"/>
      <c r="G165" s="148"/>
      <c r="H165" s="148"/>
      <c r="I165" s="148"/>
      <c r="J165" s="100" t="s">
        <v>2101</v>
      </c>
      <c r="K165" s="99" t="str">
        <f>_xlfn.XLOOKUP(L165,'99_マスタ'!$D$5:$D$18,'99_マスタ'!$C$5:$C$18,"")</f>
        <v>02_生販在</v>
      </c>
      <c r="L165" s="99" t="s">
        <v>2302</v>
      </c>
      <c r="M165" s="99" t="s">
        <v>2155</v>
      </c>
      <c r="N165" s="126" t="s">
        <v>2156</v>
      </c>
      <c r="O165" s="40" t="s">
        <v>2157</v>
      </c>
      <c r="P165" s="40"/>
      <c r="Q165" s="40" t="s">
        <v>2171</v>
      </c>
      <c r="R165" s="41" t="s">
        <v>139</v>
      </c>
      <c r="S165" s="41" t="s">
        <v>139</v>
      </c>
      <c r="T165" s="41" t="s">
        <v>139</v>
      </c>
      <c r="U165" s="41" t="s">
        <v>2173</v>
      </c>
      <c r="V165" s="42" t="s">
        <v>139</v>
      </c>
      <c r="W165" s="43" t="s">
        <v>139</v>
      </c>
      <c r="X165" s="41" t="s">
        <v>139</v>
      </c>
      <c r="Y165" s="41" t="s">
        <v>139</v>
      </c>
      <c r="Z165" s="41" t="s">
        <v>2172</v>
      </c>
      <c r="AA165" s="41" t="s">
        <v>139</v>
      </c>
      <c r="AB165" s="44"/>
      <c r="AC165" s="45"/>
      <c r="AD165" s="45"/>
      <c r="AE165" s="46"/>
      <c r="AF165" s="45"/>
      <c r="AG165" s="45"/>
      <c r="AH165" s="45"/>
      <c r="AI165" s="3" t="s">
        <v>1583</v>
      </c>
    </row>
    <row r="166" spans="1:35" ht="27">
      <c r="A166" s="144">
        <f t="shared" si="2"/>
        <v>164</v>
      </c>
      <c r="B166" s="148"/>
      <c r="C166" s="148"/>
      <c r="D166" s="148"/>
      <c r="E166" s="148"/>
      <c r="F166" s="148"/>
      <c r="G166" s="148"/>
      <c r="H166" s="148"/>
      <c r="I166" s="148"/>
      <c r="J166" s="100" t="s">
        <v>2101</v>
      </c>
      <c r="K166" s="99" t="str">
        <f>_xlfn.XLOOKUP(L166,'99_マスタ'!$D$5:$D$18,'99_マスタ'!$C$5:$C$18,"")</f>
        <v>02_生販在</v>
      </c>
      <c r="L166" s="101" t="s">
        <v>2302</v>
      </c>
      <c r="M166" s="99" t="s">
        <v>2337</v>
      </c>
      <c r="N166" s="126" t="s">
        <v>1637</v>
      </c>
      <c r="O166" s="40" t="s">
        <v>2338</v>
      </c>
      <c r="P166" s="40"/>
      <c r="Q166" s="40" t="s">
        <v>2171</v>
      </c>
      <c r="R166" s="41" t="s">
        <v>139</v>
      </c>
      <c r="S166" s="41" t="s">
        <v>139</v>
      </c>
      <c r="T166" s="41" t="s">
        <v>139</v>
      </c>
      <c r="U166" s="41" t="s">
        <v>2334</v>
      </c>
      <c r="V166" s="42" t="s">
        <v>139</v>
      </c>
      <c r="W166" s="43" t="s">
        <v>139</v>
      </c>
      <c r="X166" s="41" t="s">
        <v>139</v>
      </c>
      <c r="Y166" s="41" t="s">
        <v>139</v>
      </c>
      <c r="Z166" s="41" t="s">
        <v>708</v>
      </c>
      <c r="AA166" s="41" t="s">
        <v>139</v>
      </c>
      <c r="AB166" s="44"/>
      <c r="AC166" s="45"/>
      <c r="AD166" s="45"/>
      <c r="AE166" s="46"/>
      <c r="AF166" s="45"/>
      <c r="AG166" s="45"/>
      <c r="AH166" s="45"/>
      <c r="AI166" s="3" t="s">
        <v>1583</v>
      </c>
    </row>
    <row r="167" spans="1:35" ht="40.5">
      <c r="A167" s="144">
        <f t="shared" si="2"/>
        <v>165</v>
      </c>
      <c r="B167" s="148"/>
      <c r="C167" s="148"/>
      <c r="D167" s="148"/>
      <c r="E167" s="148"/>
      <c r="F167" s="148"/>
      <c r="G167" s="148"/>
      <c r="H167" s="148"/>
      <c r="I167" s="148"/>
      <c r="J167" s="100" t="s">
        <v>2101</v>
      </c>
      <c r="K167" s="99" t="str">
        <f>_xlfn.XLOOKUP(L167,'99_マスタ'!$D$5:$D$18,'99_マスタ'!$C$5:$C$18,"")</f>
        <v>02_生販在</v>
      </c>
      <c r="L167" s="101" t="s">
        <v>2302</v>
      </c>
      <c r="M167" s="99" t="s">
        <v>2142</v>
      </c>
      <c r="N167" s="126" t="s">
        <v>2329</v>
      </c>
      <c r="O167" s="40" t="s">
        <v>2143</v>
      </c>
      <c r="P167" s="40"/>
      <c r="Q167" s="40" t="s">
        <v>2171</v>
      </c>
      <c r="R167" s="41" t="s">
        <v>139</v>
      </c>
      <c r="S167" s="41" t="s">
        <v>139</v>
      </c>
      <c r="T167" s="41" t="s">
        <v>139</v>
      </c>
      <c r="U167" s="41" t="s">
        <v>2173</v>
      </c>
      <c r="V167" s="42" t="s">
        <v>139</v>
      </c>
      <c r="W167" s="43" t="s">
        <v>139</v>
      </c>
      <c r="X167" s="41" t="s">
        <v>139</v>
      </c>
      <c r="Y167" s="41" t="s">
        <v>139</v>
      </c>
      <c r="Z167" s="41" t="s">
        <v>2331</v>
      </c>
      <c r="AA167" s="41" t="s">
        <v>139</v>
      </c>
      <c r="AB167" s="44"/>
      <c r="AC167" s="45"/>
      <c r="AD167" s="45"/>
      <c r="AE167" s="46"/>
      <c r="AF167" s="45"/>
      <c r="AG167" s="45"/>
      <c r="AH167" s="45"/>
      <c r="AI167" s="3" t="s">
        <v>1583</v>
      </c>
    </row>
    <row r="168" spans="1:35" ht="27">
      <c r="A168" s="144">
        <f t="shared" si="2"/>
        <v>166</v>
      </c>
      <c r="B168" s="148"/>
      <c r="C168" s="148"/>
      <c r="D168" s="148"/>
      <c r="E168" s="148"/>
      <c r="F168" s="148"/>
      <c r="G168" s="148"/>
      <c r="H168" s="148"/>
      <c r="I168" s="148"/>
      <c r="J168" s="100" t="s">
        <v>2101</v>
      </c>
      <c r="K168" s="99" t="str">
        <f>_xlfn.XLOOKUP(L168,'99_マスタ'!$D$5:$D$18,'99_マスタ'!$C$5:$C$18,"")</f>
        <v>02_生販在</v>
      </c>
      <c r="L168" s="99" t="s">
        <v>2302</v>
      </c>
      <c r="M168" s="99" t="s">
        <v>2161</v>
      </c>
      <c r="N168" s="126" t="s">
        <v>1637</v>
      </c>
      <c r="O168" s="40" t="s">
        <v>2162</v>
      </c>
      <c r="P168" s="40"/>
      <c r="Q168" s="40" t="s">
        <v>2171</v>
      </c>
      <c r="R168" s="41" t="s">
        <v>139</v>
      </c>
      <c r="S168" s="41" t="s">
        <v>139</v>
      </c>
      <c r="T168" s="41" t="s">
        <v>139</v>
      </c>
      <c r="U168" s="41" t="s">
        <v>2173</v>
      </c>
      <c r="V168" s="42" t="s">
        <v>139</v>
      </c>
      <c r="W168" s="43" t="s">
        <v>139</v>
      </c>
      <c r="X168" s="41" t="s">
        <v>139</v>
      </c>
      <c r="Y168" s="41" t="s">
        <v>139</v>
      </c>
      <c r="Z168" s="41" t="s">
        <v>2172</v>
      </c>
      <c r="AA168" s="41" t="s">
        <v>139</v>
      </c>
      <c r="AB168" s="44"/>
      <c r="AC168" s="45"/>
      <c r="AD168" s="45"/>
      <c r="AE168" s="46"/>
      <c r="AF168" s="45"/>
      <c r="AG168" s="45"/>
      <c r="AH168" s="45"/>
      <c r="AI168" s="3" t="s">
        <v>1583</v>
      </c>
    </row>
    <row r="169" spans="1:35" ht="27">
      <c r="A169" s="144">
        <f t="shared" si="2"/>
        <v>167</v>
      </c>
      <c r="B169" s="148"/>
      <c r="C169" s="148"/>
      <c r="D169" s="148"/>
      <c r="E169" s="148"/>
      <c r="F169" s="148"/>
      <c r="G169" s="148"/>
      <c r="H169" s="148"/>
      <c r="I169" s="148"/>
      <c r="J169" s="100" t="s">
        <v>2101</v>
      </c>
      <c r="K169" s="99" t="str">
        <f>_xlfn.XLOOKUP(L169,'99_マスタ'!$D$5:$D$18,'99_マスタ'!$C$5:$C$18,"")</f>
        <v>02_生販在</v>
      </c>
      <c r="L169" s="99" t="s">
        <v>2302</v>
      </c>
      <c r="M169" s="99" t="s">
        <v>2158</v>
      </c>
      <c r="N169" s="126" t="s">
        <v>1637</v>
      </c>
      <c r="O169" s="40" t="s">
        <v>2159</v>
      </c>
      <c r="P169" s="40" t="s">
        <v>2160</v>
      </c>
      <c r="Q169" s="40" t="s">
        <v>2171</v>
      </c>
      <c r="R169" s="41" t="s">
        <v>139</v>
      </c>
      <c r="S169" s="41" t="s">
        <v>139</v>
      </c>
      <c r="T169" s="41" t="s">
        <v>139</v>
      </c>
      <c r="U169" s="41" t="s">
        <v>2173</v>
      </c>
      <c r="V169" s="42" t="s">
        <v>139</v>
      </c>
      <c r="W169" s="43" t="s">
        <v>139</v>
      </c>
      <c r="X169" s="41" t="s">
        <v>139</v>
      </c>
      <c r="Y169" s="41" t="s">
        <v>139</v>
      </c>
      <c r="Z169" s="41" t="s">
        <v>2172</v>
      </c>
      <c r="AA169" s="41" t="s">
        <v>139</v>
      </c>
      <c r="AB169" s="44"/>
      <c r="AC169" s="45"/>
      <c r="AD169" s="45"/>
      <c r="AE169" s="46"/>
      <c r="AF169" s="45"/>
      <c r="AG169" s="45"/>
      <c r="AH169" s="45"/>
      <c r="AI169" s="3" t="s">
        <v>1583</v>
      </c>
    </row>
    <row r="170" spans="1:35">
      <c r="A170" s="144">
        <f t="shared" si="2"/>
        <v>168</v>
      </c>
      <c r="B170" s="148"/>
      <c r="C170" s="148"/>
      <c r="D170" s="148"/>
      <c r="E170" s="148"/>
      <c r="F170" s="148"/>
      <c r="G170" s="148"/>
      <c r="H170" s="148"/>
      <c r="I170" s="148"/>
      <c r="J170" s="108" t="s">
        <v>2101</v>
      </c>
      <c r="K170" s="99" t="str">
        <f>_xlfn.XLOOKUP(L170,'99_マスタ'!$D$5:$D$18,'99_マスタ'!$C$5:$C$18,"")</f>
        <v>02_生販在</v>
      </c>
      <c r="L170" s="99" t="s">
        <v>2302</v>
      </c>
      <c r="M170" s="99" t="s">
        <v>2115</v>
      </c>
      <c r="N170" s="126" t="s">
        <v>1637</v>
      </c>
      <c r="O170" s="61"/>
      <c r="P170" s="62" t="s">
        <v>2116</v>
      </c>
      <c r="Q170" s="61"/>
      <c r="R170" s="41" t="s">
        <v>139</v>
      </c>
      <c r="S170" s="41" t="s">
        <v>139</v>
      </c>
      <c r="T170" s="41" t="s">
        <v>139</v>
      </c>
      <c r="U170" s="41" t="s">
        <v>2123</v>
      </c>
      <c r="V170" s="42" t="s">
        <v>139</v>
      </c>
      <c r="W170" s="43" t="s">
        <v>139</v>
      </c>
      <c r="X170" s="41" t="s">
        <v>139</v>
      </c>
      <c r="Y170" s="41" t="s">
        <v>139</v>
      </c>
      <c r="Z170" s="41" t="s">
        <v>711</v>
      </c>
      <c r="AA170" s="41" t="s">
        <v>139</v>
      </c>
      <c r="AB170" s="44"/>
      <c r="AC170" s="45"/>
      <c r="AD170" s="45"/>
      <c r="AE170" s="46"/>
      <c r="AF170" s="45"/>
      <c r="AG170" s="45"/>
      <c r="AH170" s="45"/>
      <c r="AI170" s="3" t="s">
        <v>1583</v>
      </c>
    </row>
    <row r="171" spans="1:35" ht="81">
      <c r="A171" s="144">
        <f t="shared" si="2"/>
        <v>169</v>
      </c>
      <c r="B171" s="148"/>
      <c r="C171" s="148"/>
      <c r="D171" s="148"/>
      <c r="E171" s="148"/>
      <c r="F171" s="148"/>
      <c r="G171" s="148"/>
      <c r="H171" s="148"/>
      <c r="I171" s="148"/>
      <c r="J171" s="103" t="s">
        <v>2101</v>
      </c>
      <c r="K171" s="102" t="str">
        <f>_xlfn.XLOOKUP(L171,'99_マスタ'!$D$5:$D$18,'99_マスタ'!$C$5:$C$18,"")</f>
        <v>02_生販在</v>
      </c>
      <c r="L171" s="102" t="s">
        <v>2302</v>
      </c>
      <c r="M171" s="102" t="s">
        <v>2049</v>
      </c>
      <c r="N171" s="127" t="s">
        <v>139</v>
      </c>
      <c r="O171" s="60" t="s">
        <v>1814</v>
      </c>
      <c r="P171" s="60" t="s">
        <v>1900</v>
      </c>
      <c r="Q171" s="60" t="s">
        <v>2050</v>
      </c>
      <c r="R171" s="48" t="s">
        <v>139</v>
      </c>
      <c r="S171" s="48" t="s">
        <v>139</v>
      </c>
      <c r="T171" s="79" t="s">
        <v>1815</v>
      </c>
      <c r="U171" s="48" t="s">
        <v>139</v>
      </c>
      <c r="V171" s="49" t="s">
        <v>139</v>
      </c>
      <c r="W171" s="50" t="s">
        <v>139</v>
      </c>
      <c r="X171" s="48" t="s">
        <v>139</v>
      </c>
      <c r="Y171" s="79" t="s">
        <v>1125</v>
      </c>
      <c r="Z171" s="48" t="s">
        <v>139</v>
      </c>
      <c r="AA171" s="48" t="s">
        <v>139</v>
      </c>
      <c r="AB171" s="44"/>
      <c r="AC171" s="45"/>
      <c r="AD171" s="45"/>
      <c r="AE171" s="46"/>
      <c r="AF171" s="45"/>
      <c r="AG171" s="45"/>
      <c r="AH171" s="45"/>
      <c r="AI171" s="3" t="s">
        <v>1583</v>
      </c>
    </row>
    <row r="172" spans="1:35" ht="27">
      <c r="A172" s="144">
        <f t="shared" si="2"/>
        <v>170</v>
      </c>
      <c r="B172" s="148"/>
      <c r="C172" s="148"/>
      <c r="D172" s="148"/>
      <c r="E172" s="148"/>
      <c r="F172" s="148"/>
      <c r="G172" s="148"/>
      <c r="H172" s="148"/>
      <c r="I172" s="148"/>
      <c r="J172" s="103" t="s">
        <v>2101</v>
      </c>
      <c r="K172" s="100" t="str">
        <f>_xlfn.XLOOKUP(L172,'99_マスタ'!$D$5:$D$18,'99_マスタ'!$C$5:$C$18,"")</f>
        <v>02_生販在</v>
      </c>
      <c r="L172" s="100" t="s">
        <v>2302</v>
      </c>
      <c r="M172" s="100" t="s">
        <v>2020</v>
      </c>
      <c r="N172" s="126" t="s">
        <v>1897</v>
      </c>
      <c r="O172" s="40" t="s">
        <v>1925</v>
      </c>
      <c r="P172" s="40"/>
      <c r="Q172" s="40" t="s">
        <v>822</v>
      </c>
      <c r="R172" s="41" t="s">
        <v>139</v>
      </c>
      <c r="S172" s="41" t="s">
        <v>139</v>
      </c>
      <c r="T172" s="41" t="s">
        <v>1083</v>
      </c>
      <c r="U172" s="41" t="s">
        <v>139</v>
      </c>
      <c r="V172" s="42" t="s">
        <v>1891</v>
      </c>
      <c r="W172" s="43" t="s">
        <v>139</v>
      </c>
      <c r="X172" s="41" t="s">
        <v>139</v>
      </c>
      <c r="Y172" s="41" t="s">
        <v>1084</v>
      </c>
      <c r="Z172" s="41" t="s">
        <v>139</v>
      </c>
      <c r="AA172" s="41" t="s">
        <v>1596</v>
      </c>
      <c r="AB172" s="44"/>
      <c r="AC172" s="45"/>
      <c r="AD172" s="45"/>
      <c r="AE172" s="46"/>
      <c r="AF172" s="45"/>
      <c r="AG172" s="45"/>
      <c r="AH172" s="45"/>
      <c r="AI172" s="3" t="s">
        <v>1583</v>
      </c>
    </row>
    <row r="173" spans="1:35">
      <c r="A173" s="144">
        <f t="shared" si="2"/>
        <v>171</v>
      </c>
      <c r="B173" s="148"/>
      <c r="C173" s="148"/>
      <c r="D173" s="148"/>
      <c r="E173" s="148"/>
      <c r="F173" s="148"/>
      <c r="G173" s="148"/>
      <c r="H173" s="148"/>
      <c r="I173" s="148"/>
      <c r="J173" s="103" t="s">
        <v>2101</v>
      </c>
      <c r="K173" s="100" t="str">
        <f>_xlfn.XLOOKUP(L173,'99_マスタ'!$D$5:$D$18,'99_マスタ'!$C$5:$C$18,"")</f>
        <v>02_生販在</v>
      </c>
      <c r="L173" s="100" t="s">
        <v>2302</v>
      </c>
      <c r="M173" s="100" t="s">
        <v>2021</v>
      </c>
      <c r="N173" s="126" t="s">
        <v>1637</v>
      </c>
      <c r="O173" s="62" t="s">
        <v>2029</v>
      </c>
      <c r="P173" s="40"/>
      <c r="Q173" s="40" t="s">
        <v>2023</v>
      </c>
      <c r="R173" s="41" t="s">
        <v>139</v>
      </c>
      <c r="S173" s="41" t="s">
        <v>139</v>
      </c>
      <c r="T173" s="41" t="s">
        <v>139</v>
      </c>
      <c r="U173" s="41" t="s">
        <v>139</v>
      </c>
      <c r="V173" s="42" t="s">
        <v>1891</v>
      </c>
      <c r="W173" s="43" t="s">
        <v>139</v>
      </c>
      <c r="X173" s="41" t="s">
        <v>139</v>
      </c>
      <c r="Y173" s="41" t="s">
        <v>139</v>
      </c>
      <c r="Z173" s="41" t="s">
        <v>139</v>
      </c>
      <c r="AA173" s="41" t="s">
        <v>1596</v>
      </c>
      <c r="AB173" s="44"/>
      <c r="AC173" s="45"/>
      <c r="AD173" s="45"/>
      <c r="AE173" s="46"/>
      <c r="AF173" s="45"/>
      <c r="AG173" s="45"/>
      <c r="AH173" s="45"/>
      <c r="AI173" s="3" t="s">
        <v>1583</v>
      </c>
    </row>
    <row r="174" spans="1:35">
      <c r="A174" s="144">
        <f t="shared" si="2"/>
        <v>172</v>
      </c>
      <c r="B174" s="148"/>
      <c r="C174" s="148"/>
      <c r="D174" s="148"/>
      <c r="E174" s="148"/>
      <c r="F174" s="148"/>
      <c r="G174" s="148"/>
      <c r="H174" s="148"/>
      <c r="I174" s="148"/>
      <c r="J174" s="103" t="s">
        <v>2101</v>
      </c>
      <c r="K174" s="100" t="str">
        <f>_xlfn.XLOOKUP(L174,'99_マスタ'!$D$5:$D$18,'99_マスタ'!$C$5:$C$18,"")</f>
        <v>02_生販在</v>
      </c>
      <c r="L174" s="100" t="s">
        <v>2302</v>
      </c>
      <c r="M174" s="100" t="s">
        <v>2022</v>
      </c>
      <c r="N174" s="126" t="s">
        <v>1637</v>
      </c>
      <c r="O174" s="62" t="s">
        <v>2027</v>
      </c>
      <c r="P174" s="62" t="s">
        <v>2028</v>
      </c>
      <c r="Q174" s="40" t="s">
        <v>2024</v>
      </c>
      <c r="R174" s="41" t="s">
        <v>139</v>
      </c>
      <c r="S174" s="41" t="s">
        <v>139</v>
      </c>
      <c r="T174" s="41" t="s">
        <v>139</v>
      </c>
      <c r="U174" s="41" t="s">
        <v>139</v>
      </c>
      <c r="V174" s="42" t="s">
        <v>1891</v>
      </c>
      <c r="W174" s="43" t="s">
        <v>139</v>
      </c>
      <c r="X174" s="41" t="s">
        <v>139</v>
      </c>
      <c r="Y174" s="41" t="s">
        <v>139</v>
      </c>
      <c r="Z174" s="41" t="s">
        <v>139</v>
      </c>
      <c r="AA174" s="41" t="s">
        <v>1596</v>
      </c>
      <c r="AB174" s="44"/>
      <c r="AC174" s="45"/>
      <c r="AD174" s="45"/>
      <c r="AE174" s="46"/>
      <c r="AF174" s="45"/>
      <c r="AG174" s="45"/>
      <c r="AH174" s="45"/>
      <c r="AI174" s="3" t="s">
        <v>1583</v>
      </c>
    </row>
    <row r="175" spans="1:35">
      <c r="A175" s="144">
        <f t="shared" si="2"/>
        <v>173</v>
      </c>
      <c r="B175" s="148"/>
      <c r="C175" s="148"/>
      <c r="D175" s="148"/>
      <c r="E175" s="148"/>
      <c r="F175" s="148"/>
      <c r="G175" s="148"/>
      <c r="H175" s="148"/>
      <c r="I175" s="148"/>
      <c r="J175" s="98" t="s">
        <v>2101</v>
      </c>
      <c r="K175" s="99" t="str">
        <f>_xlfn.XLOOKUP(L175,'99_マスタ'!$D$5:$D$18,'99_マスタ'!$C$5:$C$18,"")</f>
        <v>02_生販在</v>
      </c>
      <c r="L175" s="99" t="s">
        <v>2302</v>
      </c>
      <c r="M175" s="99" t="s">
        <v>2124</v>
      </c>
      <c r="N175" s="126" t="s">
        <v>1637</v>
      </c>
      <c r="O175" s="40" t="s">
        <v>2125</v>
      </c>
      <c r="P175" s="40"/>
      <c r="Q175" s="40" t="s">
        <v>284</v>
      </c>
      <c r="R175" s="41" t="s">
        <v>139</v>
      </c>
      <c r="S175" s="41" t="s">
        <v>139</v>
      </c>
      <c r="T175" s="41" t="s">
        <v>139</v>
      </c>
      <c r="U175" s="41" t="s">
        <v>2123</v>
      </c>
      <c r="V175" s="42" t="s">
        <v>139</v>
      </c>
      <c r="W175" s="43" t="s">
        <v>139</v>
      </c>
      <c r="X175" s="41" t="s">
        <v>139</v>
      </c>
      <c r="Y175" s="41" t="s">
        <v>139</v>
      </c>
      <c r="Z175" s="41" t="s">
        <v>2131</v>
      </c>
      <c r="AA175" s="41" t="s">
        <v>139</v>
      </c>
      <c r="AB175" s="44"/>
      <c r="AC175" s="45"/>
      <c r="AD175" s="45"/>
      <c r="AE175" s="46"/>
      <c r="AF175" s="45"/>
      <c r="AG175" s="45"/>
      <c r="AH175" s="45"/>
      <c r="AI175" s="3" t="s">
        <v>1583</v>
      </c>
    </row>
    <row r="176" spans="1:35" ht="29.5">
      <c r="A176" s="144">
        <f t="shared" si="2"/>
        <v>174</v>
      </c>
      <c r="B176" s="148"/>
      <c r="C176" s="148"/>
      <c r="D176" s="148"/>
      <c r="E176" s="148"/>
      <c r="F176" s="148"/>
      <c r="G176" s="148"/>
      <c r="H176" s="148"/>
      <c r="I176" s="148"/>
      <c r="J176" s="100" t="s">
        <v>2101</v>
      </c>
      <c r="K176" s="99" t="str">
        <f>_xlfn.XLOOKUP(L176,'99_マスタ'!$D$5:$D$18,'99_マスタ'!$C$5:$C$18,"")</f>
        <v>02_生販在</v>
      </c>
      <c r="L176" s="102" t="s">
        <v>2302</v>
      </c>
      <c r="M176" s="99" t="s">
        <v>709</v>
      </c>
      <c r="N176" s="126" t="s">
        <v>139</v>
      </c>
      <c r="O176" s="40" t="s">
        <v>1922</v>
      </c>
      <c r="P176" s="40"/>
      <c r="Q176" s="40" t="s">
        <v>284</v>
      </c>
      <c r="R176" s="41" t="s">
        <v>139</v>
      </c>
      <c r="S176" s="41" t="s">
        <v>139</v>
      </c>
      <c r="T176" s="41" t="s">
        <v>710</v>
      </c>
      <c r="U176" s="41" t="s">
        <v>139</v>
      </c>
      <c r="V176" s="42" t="s">
        <v>139</v>
      </c>
      <c r="W176" s="43" t="s">
        <v>139</v>
      </c>
      <c r="X176" s="41" t="s">
        <v>139</v>
      </c>
      <c r="Y176" s="41" t="s">
        <v>711</v>
      </c>
      <c r="Z176" s="41" t="s">
        <v>139</v>
      </c>
      <c r="AA176" s="41" t="s">
        <v>139</v>
      </c>
      <c r="AB176" s="44"/>
      <c r="AC176" s="45"/>
      <c r="AD176" s="45"/>
      <c r="AE176" s="46"/>
      <c r="AF176" s="45"/>
      <c r="AG176" s="45"/>
      <c r="AH176" s="45"/>
      <c r="AI176" s="3" t="s">
        <v>1583</v>
      </c>
    </row>
    <row r="177" spans="1:35" ht="27">
      <c r="A177" s="144">
        <f t="shared" si="2"/>
        <v>175</v>
      </c>
      <c r="B177" s="148"/>
      <c r="C177" s="148"/>
      <c r="D177" s="148"/>
      <c r="E177" s="148"/>
      <c r="F177" s="148"/>
      <c r="G177" s="148"/>
      <c r="H177" s="148"/>
      <c r="I177" s="148"/>
      <c r="J177" s="100" t="s">
        <v>2101</v>
      </c>
      <c r="K177" s="99" t="str">
        <f>_xlfn.XLOOKUP(L177,'99_マスタ'!$D$5:$D$18,'99_マスタ'!$C$5:$C$18,"")</f>
        <v>02_生販在</v>
      </c>
      <c r="L177" s="102" t="s">
        <v>2302</v>
      </c>
      <c r="M177" s="99" t="s">
        <v>2118</v>
      </c>
      <c r="N177" s="126" t="s">
        <v>139</v>
      </c>
      <c r="O177" s="40" t="s">
        <v>2119</v>
      </c>
      <c r="P177" s="40"/>
      <c r="Q177" s="40" t="s">
        <v>284</v>
      </c>
      <c r="R177" s="41" t="s">
        <v>139</v>
      </c>
      <c r="S177" s="41" t="s">
        <v>139</v>
      </c>
      <c r="T177" s="41" t="s">
        <v>710</v>
      </c>
      <c r="U177" s="41" t="s">
        <v>139</v>
      </c>
      <c r="V177" s="42" t="s">
        <v>139</v>
      </c>
      <c r="W177" s="43" t="s">
        <v>139</v>
      </c>
      <c r="X177" s="41" t="s">
        <v>139</v>
      </c>
      <c r="Y177" s="41" t="s">
        <v>711</v>
      </c>
      <c r="Z177" s="41" t="s">
        <v>139</v>
      </c>
      <c r="AA177" s="41" t="s">
        <v>139</v>
      </c>
      <c r="AB177" s="44"/>
      <c r="AC177" s="45"/>
      <c r="AD177" s="45"/>
      <c r="AE177" s="46"/>
      <c r="AF177" s="45"/>
      <c r="AG177" s="45"/>
      <c r="AH177" s="45"/>
      <c r="AI177" s="3" t="s">
        <v>1583</v>
      </c>
    </row>
    <row r="178" spans="1:35" ht="27">
      <c r="A178" s="144">
        <f t="shared" si="2"/>
        <v>176</v>
      </c>
      <c r="B178" s="148"/>
      <c r="C178" s="148"/>
      <c r="D178" s="148"/>
      <c r="E178" s="148"/>
      <c r="F178" s="148"/>
      <c r="G178" s="148"/>
      <c r="H178" s="148"/>
      <c r="I178" s="148"/>
      <c r="J178" s="98" t="s">
        <v>2101</v>
      </c>
      <c r="K178" s="100" t="str">
        <f>_xlfn.XLOOKUP(L178,'99_マスタ'!$D$5:$D$18,'99_マスタ'!$C$5:$C$18,"")</f>
        <v>02_生販在</v>
      </c>
      <c r="L178" s="100" t="s">
        <v>2302</v>
      </c>
      <c r="M178" s="100" t="s">
        <v>2365</v>
      </c>
      <c r="N178" s="126" t="s">
        <v>1637</v>
      </c>
      <c r="O178" s="40" t="s">
        <v>2366</v>
      </c>
      <c r="P178" s="59" t="s">
        <v>2367</v>
      </c>
      <c r="Q178" s="40" t="s">
        <v>2364</v>
      </c>
      <c r="R178" s="41" t="s">
        <v>139</v>
      </c>
      <c r="S178" s="41" t="s">
        <v>139</v>
      </c>
      <c r="T178" s="41" t="s">
        <v>139</v>
      </c>
      <c r="U178" s="41" t="s">
        <v>2359</v>
      </c>
      <c r="V178" s="42" t="s">
        <v>139</v>
      </c>
      <c r="W178" s="43" t="s">
        <v>139</v>
      </c>
      <c r="X178" s="41" t="s">
        <v>139</v>
      </c>
      <c r="Y178" s="41" t="s">
        <v>139</v>
      </c>
      <c r="Z178" s="41" t="s">
        <v>2358</v>
      </c>
      <c r="AA178" s="41" t="s">
        <v>139</v>
      </c>
      <c r="AB178" s="44"/>
      <c r="AC178" s="45"/>
      <c r="AD178" s="45"/>
      <c r="AE178" s="46"/>
      <c r="AF178" s="45"/>
      <c r="AG178" s="45"/>
      <c r="AH178" s="45"/>
      <c r="AI178" s="3" t="s">
        <v>1583</v>
      </c>
    </row>
    <row r="179" spans="1:35" ht="27">
      <c r="A179" s="144">
        <f t="shared" si="2"/>
        <v>177</v>
      </c>
      <c r="B179" s="148"/>
      <c r="C179" s="148"/>
      <c r="D179" s="148"/>
      <c r="E179" s="148"/>
      <c r="F179" s="148"/>
      <c r="G179" s="148"/>
      <c r="H179" s="148"/>
      <c r="I179" s="148"/>
      <c r="J179" s="98" t="s">
        <v>2101</v>
      </c>
      <c r="K179" s="100" t="str">
        <f>_xlfn.XLOOKUP(L179,'99_マスタ'!$D$5:$D$18,'99_マスタ'!$C$5:$C$18,"")</f>
        <v>02_生販在</v>
      </c>
      <c r="L179" s="100" t="s">
        <v>2302</v>
      </c>
      <c r="M179" s="100" t="s">
        <v>2362</v>
      </c>
      <c r="N179" s="126" t="s">
        <v>1637</v>
      </c>
      <c r="O179" s="40" t="s">
        <v>2363</v>
      </c>
      <c r="P179" s="59"/>
      <c r="Q179" s="40" t="s">
        <v>2364</v>
      </c>
      <c r="R179" s="41" t="s">
        <v>139</v>
      </c>
      <c r="S179" s="41" t="s">
        <v>139</v>
      </c>
      <c r="T179" s="41" t="s">
        <v>139</v>
      </c>
      <c r="U179" s="41" t="s">
        <v>2359</v>
      </c>
      <c r="V179" s="42" t="s">
        <v>139</v>
      </c>
      <c r="W179" s="43" t="s">
        <v>139</v>
      </c>
      <c r="X179" s="41" t="s">
        <v>139</v>
      </c>
      <c r="Y179" s="41" t="s">
        <v>139</v>
      </c>
      <c r="Z179" s="41" t="s">
        <v>2358</v>
      </c>
      <c r="AA179" s="41" t="s">
        <v>139</v>
      </c>
      <c r="AB179" s="44"/>
      <c r="AC179" s="45"/>
      <c r="AD179" s="45"/>
      <c r="AE179" s="46"/>
      <c r="AF179" s="45"/>
      <c r="AG179" s="45"/>
      <c r="AH179" s="45"/>
      <c r="AI179" s="3" t="s">
        <v>1583</v>
      </c>
    </row>
    <row r="180" spans="1:35" ht="40.5">
      <c r="A180" s="144">
        <f t="shared" si="2"/>
        <v>178</v>
      </c>
      <c r="B180" s="148"/>
      <c r="C180" s="148"/>
      <c r="D180" s="148"/>
      <c r="E180" s="148"/>
      <c r="F180" s="148"/>
      <c r="G180" s="148"/>
      <c r="H180" s="148"/>
      <c r="I180" s="148"/>
      <c r="J180" s="98" t="s">
        <v>2101</v>
      </c>
      <c r="K180" s="100" t="str">
        <f>_xlfn.XLOOKUP(L180,'99_マスタ'!$D$5:$D$18,'99_マスタ'!$C$5:$C$18,"")</f>
        <v>02_生販在</v>
      </c>
      <c r="L180" s="100" t="s">
        <v>2302</v>
      </c>
      <c r="M180" s="100" t="s">
        <v>2368</v>
      </c>
      <c r="N180" s="126" t="s">
        <v>1637</v>
      </c>
      <c r="O180" s="40" t="s">
        <v>2369</v>
      </c>
      <c r="P180" s="59" t="s">
        <v>2370</v>
      </c>
      <c r="Q180" s="40" t="s">
        <v>2364</v>
      </c>
      <c r="R180" s="41" t="s">
        <v>139</v>
      </c>
      <c r="S180" s="41" t="s">
        <v>139</v>
      </c>
      <c r="T180" s="41" t="s">
        <v>139</v>
      </c>
      <c r="U180" s="41" t="s">
        <v>2359</v>
      </c>
      <c r="V180" s="42" t="s">
        <v>139</v>
      </c>
      <c r="W180" s="43" t="s">
        <v>139</v>
      </c>
      <c r="X180" s="41" t="s">
        <v>139</v>
      </c>
      <c r="Y180" s="41" t="s">
        <v>139</v>
      </c>
      <c r="Z180" s="41" t="s">
        <v>2358</v>
      </c>
      <c r="AA180" s="41" t="s">
        <v>139</v>
      </c>
      <c r="AB180" s="44"/>
      <c r="AC180" s="45"/>
      <c r="AD180" s="45"/>
      <c r="AE180" s="46"/>
      <c r="AF180" s="45"/>
      <c r="AG180" s="45"/>
      <c r="AH180" s="45"/>
      <c r="AI180" s="3" t="s">
        <v>1583</v>
      </c>
    </row>
    <row r="181" spans="1:35" ht="40.5">
      <c r="A181" s="144">
        <f t="shared" si="2"/>
        <v>179</v>
      </c>
      <c r="B181" s="148"/>
      <c r="C181" s="148"/>
      <c r="D181" s="148"/>
      <c r="E181" s="148"/>
      <c r="F181" s="148"/>
      <c r="G181" s="148"/>
      <c r="H181" s="148"/>
      <c r="I181" s="148"/>
      <c r="J181" s="98" t="s">
        <v>2101</v>
      </c>
      <c r="K181" s="100" t="str">
        <f>_xlfn.XLOOKUP(L181,'99_マスタ'!$D$5:$D$18,'99_マスタ'!$C$5:$C$18,"")</f>
        <v>02_生販在</v>
      </c>
      <c r="L181" s="100" t="s">
        <v>2302</v>
      </c>
      <c r="M181" s="100" t="s">
        <v>2353</v>
      </c>
      <c r="N181" s="126" t="s">
        <v>1637</v>
      </c>
      <c r="O181" s="40" t="s">
        <v>2354</v>
      </c>
      <c r="P181" s="59" t="s">
        <v>2356</v>
      </c>
      <c r="Q181" s="40" t="s">
        <v>2355</v>
      </c>
      <c r="R181" s="41" t="s">
        <v>139</v>
      </c>
      <c r="S181" s="41" t="s">
        <v>139</v>
      </c>
      <c r="T181" s="41" t="s">
        <v>139</v>
      </c>
      <c r="U181" s="41" t="s">
        <v>2359</v>
      </c>
      <c r="V181" s="42" t="s">
        <v>139</v>
      </c>
      <c r="W181" s="43" t="s">
        <v>139</v>
      </c>
      <c r="X181" s="41" t="s">
        <v>139</v>
      </c>
      <c r="Y181" s="41" t="s">
        <v>139</v>
      </c>
      <c r="Z181" s="41" t="s">
        <v>2358</v>
      </c>
      <c r="AA181" s="41" t="s">
        <v>139</v>
      </c>
      <c r="AB181" s="44"/>
      <c r="AC181" s="45"/>
      <c r="AD181" s="45"/>
      <c r="AE181" s="46"/>
      <c r="AF181" s="45"/>
      <c r="AG181" s="45"/>
      <c r="AH181" s="45"/>
      <c r="AI181" s="3" t="s">
        <v>1583</v>
      </c>
    </row>
    <row r="182" spans="1:35" ht="54">
      <c r="A182" s="144">
        <f t="shared" si="2"/>
        <v>180</v>
      </c>
      <c r="B182" s="148"/>
      <c r="C182" s="148"/>
      <c r="D182" s="148"/>
      <c r="E182" s="148"/>
      <c r="F182" s="148"/>
      <c r="G182" s="148"/>
      <c r="H182" s="148"/>
      <c r="I182" s="148"/>
      <c r="J182" s="103" t="s">
        <v>2101</v>
      </c>
      <c r="K182" s="102" t="str">
        <f>_xlfn.XLOOKUP(L182,'99_マスタ'!$D$5:$D$18,'99_マスタ'!$C$5:$C$18,"")</f>
        <v>02_生販在</v>
      </c>
      <c r="L182" s="102" t="s">
        <v>2302</v>
      </c>
      <c r="M182" s="102" t="s">
        <v>1816</v>
      </c>
      <c r="N182" s="127" t="s">
        <v>139</v>
      </c>
      <c r="O182" s="60" t="s">
        <v>2026</v>
      </c>
      <c r="P182" s="60" t="s">
        <v>2025</v>
      </c>
      <c r="Q182" s="60" t="s">
        <v>2082</v>
      </c>
      <c r="R182" s="48" t="s">
        <v>139</v>
      </c>
      <c r="S182" s="48" t="s">
        <v>139</v>
      </c>
      <c r="T182" s="79" t="s">
        <v>1817</v>
      </c>
      <c r="U182" s="48" t="s">
        <v>139</v>
      </c>
      <c r="V182" s="49" t="s">
        <v>139</v>
      </c>
      <c r="W182" s="50" t="s">
        <v>139</v>
      </c>
      <c r="X182" s="48" t="s">
        <v>139</v>
      </c>
      <c r="Y182" s="79" t="s">
        <v>1125</v>
      </c>
      <c r="Z182" s="48" t="s">
        <v>139</v>
      </c>
      <c r="AA182" s="48" t="s">
        <v>139</v>
      </c>
      <c r="AB182" s="44"/>
      <c r="AC182" s="45"/>
      <c r="AD182" s="45"/>
      <c r="AE182" s="46"/>
      <c r="AF182" s="45"/>
      <c r="AG182" s="45"/>
      <c r="AH182" s="45"/>
      <c r="AI182" s="3" t="s">
        <v>1583</v>
      </c>
    </row>
    <row r="183" spans="1:35" ht="67.5">
      <c r="A183" s="144">
        <f t="shared" si="2"/>
        <v>181</v>
      </c>
      <c r="B183" s="148"/>
      <c r="C183" s="148"/>
      <c r="D183" s="148"/>
      <c r="E183" s="148"/>
      <c r="F183" s="148"/>
      <c r="G183" s="148"/>
      <c r="H183" s="148"/>
      <c r="I183" s="148"/>
      <c r="J183" s="103" t="s">
        <v>2101</v>
      </c>
      <c r="K183" s="102" t="str">
        <f>_xlfn.XLOOKUP(L183,'99_マスタ'!$D$5:$D$18,'99_マスタ'!$C$5:$C$18,"")</f>
        <v>02_生販在</v>
      </c>
      <c r="L183" s="102" t="s">
        <v>2302</v>
      </c>
      <c r="M183" s="102" t="s">
        <v>1818</v>
      </c>
      <c r="N183" s="127" t="s">
        <v>139</v>
      </c>
      <c r="O183" s="60" t="s">
        <v>1819</v>
      </c>
      <c r="P183" s="60" t="s">
        <v>2030</v>
      </c>
      <c r="Q183" s="60" t="s">
        <v>1820</v>
      </c>
      <c r="R183" s="48" t="s">
        <v>139</v>
      </c>
      <c r="S183" s="48" t="s">
        <v>139</v>
      </c>
      <c r="T183" s="79" t="s">
        <v>1821</v>
      </c>
      <c r="U183" s="48" t="s">
        <v>139</v>
      </c>
      <c r="V183" s="49" t="s">
        <v>139</v>
      </c>
      <c r="W183" s="50" t="s">
        <v>139</v>
      </c>
      <c r="X183" s="48" t="s">
        <v>139</v>
      </c>
      <c r="Y183" s="79" t="s">
        <v>1125</v>
      </c>
      <c r="Z183" s="48" t="s">
        <v>139</v>
      </c>
      <c r="AA183" s="48" t="s">
        <v>139</v>
      </c>
      <c r="AB183" s="44"/>
      <c r="AC183" s="45"/>
      <c r="AD183" s="45"/>
      <c r="AE183" s="46"/>
      <c r="AF183" s="45"/>
      <c r="AG183" s="45"/>
      <c r="AH183" s="45"/>
      <c r="AI183" s="3" t="s">
        <v>1583</v>
      </c>
    </row>
    <row r="184" spans="1:35">
      <c r="A184" s="144">
        <f t="shared" si="2"/>
        <v>182</v>
      </c>
      <c r="B184" s="148"/>
      <c r="C184" s="148"/>
      <c r="D184" s="148"/>
      <c r="E184" s="148"/>
      <c r="F184" s="148"/>
      <c r="G184" s="148"/>
      <c r="H184" s="148"/>
      <c r="I184" s="148"/>
      <c r="J184" s="98" t="s">
        <v>2101</v>
      </c>
      <c r="K184" s="65" t="str">
        <f>_xlfn.XLOOKUP(L184,'99_マスタ'!$D$5:$D$18,'99_マスタ'!$C$5:$C$18,"")</f>
        <v>02_生販在</v>
      </c>
      <c r="L184" s="100" t="s">
        <v>2302</v>
      </c>
      <c r="M184" s="69" t="s">
        <v>2099</v>
      </c>
      <c r="N184" s="126" t="s">
        <v>1637</v>
      </c>
      <c r="O184" s="62" t="s">
        <v>2036</v>
      </c>
      <c r="P184" s="62" t="s">
        <v>2037</v>
      </c>
      <c r="Q184" s="40" t="s">
        <v>2093</v>
      </c>
      <c r="R184" s="41" t="s">
        <v>139</v>
      </c>
      <c r="S184" s="41" t="s">
        <v>139</v>
      </c>
      <c r="T184" s="41" t="s">
        <v>139</v>
      </c>
      <c r="U184" s="41" t="s">
        <v>139</v>
      </c>
      <c r="V184" s="42" t="s">
        <v>1891</v>
      </c>
      <c r="W184" s="43" t="s">
        <v>139</v>
      </c>
      <c r="X184" s="41" t="s">
        <v>139</v>
      </c>
      <c r="Y184" s="41" t="s">
        <v>139</v>
      </c>
      <c r="Z184" s="41" t="s">
        <v>139</v>
      </c>
      <c r="AA184" s="41" t="s">
        <v>1892</v>
      </c>
      <c r="AB184" s="44" t="s">
        <v>2038</v>
      </c>
      <c r="AC184" s="45"/>
      <c r="AD184" s="45"/>
      <c r="AE184" s="46"/>
      <c r="AF184" s="45"/>
      <c r="AG184" s="45"/>
      <c r="AH184" s="45"/>
      <c r="AI184" s="3" t="s">
        <v>1583</v>
      </c>
    </row>
    <row r="185" spans="1:35" ht="27">
      <c r="A185" s="144">
        <f t="shared" si="2"/>
        <v>183</v>
      </c>
      <c r="B185" s="148"/>
      <c r="C185" s="148"/>
      <c r="D185" s="148"/>
      <c r="E185" s="148"/>
      <c r="F185" s="148"/>
      <c r="G185" s="148"/>
      <c r="H185" s="148"/>
      <c r="I185" s="148"/>
      <c r="J185" s="98" t="s">
        <v>2101</v>
      </c>
      <c r="K185" s="102" t="str">
        <f>_xlfn.XLOOKUP(L185,'99_マスタ'!$D$5:$D$18,'99_マスタ'!$C$5:$C$18,"")</f>
        <v>02_生販在</v>
      </c>
      <c r="L185" s="102" t="s">
        <v>2302</v>
      </c>
      <c r="M185" s="102" t="s">
        <v>1091</v>
      </c>
      <c r="N185" s="126" t="s">
        <v>139</v>
      </c>
      <c r="O185" s="40" t="s">
        <v>1092</v>
      </c>
      <c r="P185" s="40"/>
      <c r="Q185" s="40" t="s">
        <v>822</v>
      </c>
      <c r="R185" s="41" t="s">
        <v>139</v>
      </c>
      <c r="S185" s="41" t="s">
        <v>139</v>
      </c>
      <c r="T185" s="41" t="s">
        <v>1083</v>
      </c>
      <c r="U185" s="41" t="s">
        <v>139</v>
      </c>
      <c r="V185" s="42" t="s">
        <v>139</v>
      </c>
      <c r="W185" s="43" t="s">
        <v>139</v>
      </c>
      <c r="X185" s="41" t="s">
        <v>139</v>
      </c>
      <c r="Y185" s="41" t="s">
        <v>1093</v>
      </c>
      <c r="Z185" s="41" t="s">
        <v>139</v>
      </c>
      <c r="AA185" s="41" t="s">
        <v>139</v>
      </c>
      <c r="AB185" s="44"/>
      <c r="AC185" s="45"/>
      <c r="AD185" s="45"/>
      <c r="AE185" s="46"/>
      <c r="AF185" s="45"/>
      <c r="AG185" s="45"/>
      <c r="AH185" s="45"/>
      <c r="AI185" s="3" t="s">
        <v>1583</v>
      </c>
    </row>
    <row r="186" spans="1:35" ht="54">
      <c r="A186" s="144">
        <f t="shared" si="0"/>
        <v>184</v>
      </c>
      <c r="B186" s="148"/>
      <c r="C186" s="148"/>
      <c r="D186" s="148"/>
      <c r="E186" s="148"/>
      <c r="F186" s="148"/>
      <c r="G186" s="148"/>
      <c r="H186" s="148"/>
      <c r="I186" s="148"/>
      <c r="J186" s="98" t="s">
        <v>2101</v>
      </c>
      <c r="K186" s="100" t="str">
        <f>_xlfn.XLOOKUP(L186,'99_マスタ'!$D$5:$D$18,'99_マスタ'!$C$5:$C$18,"")</f>
        <v>02_生販在</v>
      </c>
      <c r="L186" s="101" t="s">
        <v>2303</v>
      </c>
      <c r="M186" s="100" t="s">
        <v>2794</v>
      </c>
      <c r="N186" s="126" t="s">
        <v>1637</v>
      </c>
      <c r="O186" s="40" t="s">
        <v>2795</v>
      </c>
      <c r="P186" s="40"/>
      <c r="Q186" s="40" t="s">
        <v>1645</v>
      </c>
      <c r="R186" s="41" t="s">
        <v>2797</v>
      </c>
      <c r="S186" s="41" t="s">
        <v>139</v>
      </c>
      <c r="T186" s="41" t="s">
        <v>139</v>
      </c>
      <c r="U186" s="41" t="s">
        <v>139</v>
      </c>
      <c r="V186" s="42" t="s">
        <v>139</v>
      </c>
      <c r="W186" s="43" t="s">
        <v>218</v>
      </c>
      <c r="X186" s="41" t="s">
        <v>139</v>
      </c>
      <c r="Y186" s="41" t="s">
        <v>139</v>
      </c>
      <c r="Z186" s="41" t="s">
        <v>139</v>
      </c>
      <c r="AA186" s="41" t="s">
        <v>139</v>
      </c>
      <c r="AB186" s="44"/>
      <c r="AC186" s="45"/>
      <c r="AD186" s="45"/>
      <c r="AE186" s="46"/>
      <c r="AF186" s="45"/>
      <c r="AG186" s="45"/>
      <c r="AH186" s="45"/>
      <c r="AI186" s="3" t="s">
        <v>1583</v>
      </c>
    </row>
    <row r="187" spans="1:35">
      <c r="A187" s="144">
        <f t="shared" si="2"/>
        <v>185</v>
      </c>
      <c r="B187" s="148"/>
      <c r="C187" s="148"/>
      <c r="D187" s="148"/>
      <c r="E187" s="148"/>
      <c r="F187" s="148"/>
      <c r="G187" s="148"/>
      <c r="H187" s="148"/>
      <c r="I187" s="148"/>
      <c r="J187" s="98" t="s">
        <v>2101</v>
      </c>
      <c r="K187" s="99" t="str">
        <f>_xlfn.XLOOKUP(L187,'99_マスタ'!$D$5:$D$18,'99_マスタ'!$C$5:$C$18,"")</f>
        <v>02_生販在</v>
      </c>
      <c r="L187" s="99" t="s">
        <v>2303</v>
      </c>
      <c r="M187" s="99" t="s">
        <v>2117</v>
      </c>
      <c r="N187" s="126" t="s">
        <v>1637</v>
      </c>
      <c r="O187" s="61"/>
      <c r="P187" s="62"/>
      <c r="Q187" s="61" t="s">
        <v>2114</v>
      </c>
      <c r="R187" s="41" t="s">
        <v>139</v>
      </c>
      <c r="S187" s="41" t="s">
        <v>139</v>
      </c>
      <c r="T187" s="41" t="s">
        <v>139</v>
      </c>
      <c r="U187" s="41" t="s">
        <v>2123</v>
      </c>
      <c r="V187" s="42" t="s">
        <v>139</v>
      </c>
      <c r="W187" s="43" t="s">
        <v>139</v>
      </c>
      <c r="X187" s="41" t="s">
        <v>139</v>
      </c>
      <c r="Y187" s="41" t="s">
        <v>139</v>
      </c>
      <c r="Z187" s="41" t="s">
        <v>711</v>
      </c>
      <c r="AA187" s="41" t="s">
        <v>139</v>
      </c>
      <c r="AB187" s="44"/>
      <c r="AC187" s="45"/>
      <c r="AD187" s="45"/>
      <c r="AE187" s="46"/>
      <c r="AF187" s="45"/>
      <c r="AG187" s="45"/>
      <c r="AH187" s="45"/>
      <c r="AI187" s="3" t="s">
        <v>1583</v>
      </c>
    </row>
    <row r="188" spans="1:35">
      <c r="A188" s="144">
        <f t="shared" si="2"/>
        <v>186</v>
      </c>
      <c r="B188" s="148"/>
      <c r="C188" s="148"/>
      <c r="D188" s="148"/>
      <c r="E188" s="148"/>
      <c r="F188" s="148"/>
      <c r="G188" s="148"/>
      <c r="H188" s="148"/>
      <c r="I188" s="148"/>
      <c r="J188" s="98" t="s">
        <v>2101</v>
      </c>
      <c r="K188" s="101" t="str">
        <f>_xlfn.XLOOKUP(L188,'99_マスタ'!$D$5:$D$18,'99_マスタ'!$C$5:$C$18,"")</f>
        <v>02_生販在</v>
      </c>
      <c r="L188" s="64" t="s">
        <v>2303</v>
      </c>
      <c r="M188" s="64" t="s">
        <v>2741</v>
      </c>
      <c r="N188" s="54" t="s">
        <v>1637</v>
      </c>
      <c r="O188" s="72"/>
      <c r="P188" s="41"/>
      <c r="Q188" s="41" t="s">
        <v>192</v>
      </c>
      <c r="R188" s="41" t="s">
        <v>139</v>
      </c>
      <c r="S188" s="41" t="s">
        <v>2742</v>
      </c>
      <c r="T188" s="41" t="s">
        <v>139</v>
      </c>
      <c r="U188" s="41" t="s">
        <v>139</v>
      </c>
      <c r="V188" s="42" t="s">
        <v>139</v>
      </c>
      <c r="W188" s="53" t="s">
        <v>139</v>
      </c>
      <c r="X188" s="54" t="s">
        <v>1492</v>
      </c>
      <c r="Y188" s="54" t="s">
        <v>139</v>
      </c>
      <c r="Z188" s="54" t="s">
        <v>139</v>
      </c>
      <c r="AA188" s="54" t="s">
        <v>139</v>
      </c>
      <c r="AB188" s="55" t="s">
        <v>2740</v>
      </c>
      <c r="AC188" s="56"/>
      <c r="AD188" s="56"/>
      <c r="AE188" s="57"/>
      <c r="AF188" s="56"/>
      <c r="AG188" s="56"/>
      <c r="AH188" s="56"/>
      <c r="AI188" s="3" t="s">
        <v>1583</v>
      </c>
    </row>
    <row r="189" spans="1:35" ht="54">
      <c r="A189" s="144">
        <f t="shared" ref="A189:A258" si="3">ROW()-2</f>
        <v>187</v>
      </c>
      <c r="B189" s="148"/>
      <c r="C189" s="148"/>
      <c r="D189" s="148"/>
      <c r="E189" s="148"/>
      <c r="F189" s="148"/>
      <c r="G189" s="148"/>
      <c r="H189" s="148"/>
      <c r="I189" s="148"/>
      <c r="J189" s="103" t="s">
        <v>2101</v>
      </c>
      <c r="K189" s="100" t="str">
        <f>_xlfn.XLOOKUP(L189,'99_マスタ'!$D$5:$D$18,'99_マスタ'!$C$5:$C$18,"")</f>
        <v>02_生販在</v>
      </c>
      <c r="L189" s="100" t="s">
        <v>2303</v>
      </c>
      <c r="M189" s="100" t="s">
        <v>2737</v>
      </c>
      <c r="N189" s="126" t="s">
        <v>1637</v>
      </c>
      <c r="O189" s="62" t="s">
        <v>2738</v>
      </c>
      <c r="P189" s="47"/>
      <c r="Q189" s="40" t="s">
        <v>1645</v>
      </c>
      <c r="R189" s="41" t="s">
        <v>139</v>
      </c>
      <c r="S189" s="41" t="s">
        <v>2739</v>
      </c>
      <c r="T189" s="41" t="s">
        <v>139</v>
      </c>
      <c r="U189" s="41" t="s">
        <v>139</v>
      </c>
      <c r="V189" s="42" t="s">
        <v>139</v>
      </c>
      <c r="W189" s="43" t="s">
        <v>139</v>
      </c>
      <c r="X189" s="41" t="s">
        <v>1482</v>
      </c>
      <c r="Y189" s="41" t="s">
        <v>139</v>
      </c>
      <c r="Z189" s="41" t="s">
        <v>139</v>
      </c>
      <c r="AA189" s="41" t="s">
        <v>139</v>
      </c>
      <c r="AB189" s="44" t="s">
        <v>2740</v>
      </c>
      <c r="AC189" s="45"/>
      <c r="AD189" s="45"/>
      <c r="AE189" s="46"/>
      <c r="AF189" s="45"/>
      <c r="AG189" s="45"/>
      <c r="AH189" s="45"/>
      <c r="AI189" s="3" t="s">
        <v>1583</v>
      </c>
    </row>
    <row r="190" spans="1:35" ht="27">
      <c r="A190" s="144">
        <f t="shared" si="0"/>
        <v>188</v>
      </c>
      <c r="B190" s="148"/>
      <c r="C190" s="148"/>
      <c r="D190" s="148"/>
      <c r="E190" s="148"/>
      <c r="F190" s="148"/>
      <c r="G190" s="148"/>
      <c r="H190" s="148"/>
      <c r="I190" s="148"/>
      <c r="J190" s="98" t="s">
        <v>2101</v>
      </c>
      <c r="K190" s="101" t="str">
        <f>_xlfn.XLOOKUP(L190,'99_マスタ'!$D$5:$D$18,'99_マスタ'!$C$5:$C$18,"")</f>
        <v>02_生販在</v>
      </c>
      <c r="L190" s="101" t="s">
        <v>2303</v>
      </c>
      <c r="M190" s="64" t="s">
        <v>794</v>
      </c>
      <c r="N190" s="126" t="s">
        <v>139</v>
      </c>
      <c r="O190" s="40" t="s">
        <v>795</v>
      </c>
      <c r="P190" s="40" t="s">
        <v>796</v>
      </c>
      <c r="Q190" s="40" t="s">
        <v>797</v>
      </c>
      <c r="R190" s="41" t="s">
        <v>139</v>
      </c>
      <c r="S190" s="41" t="s">
        <v>139</v>
      </c>
      <c r="T190" s="41" t="s">
        <v>139</v>
      </c>
      <c r="U190" s="41" t="s">
        <v>798</v>
      </c>
      <c r="V190" s="42" t="s">
        <v>139</v>
      </c>
      <c r="W190" s="43" t="s">
        <v>139</v>
      </c>
      <c r="X190" s="41" t="s">
        <v>139</v>
      </c>
      <c r="Y190" s="41" t="s">
        <v>139</v>
      </c>
      <c r="Z190" s="41" t="s">
        <v>229</v>
      </c>
      <c r="AA190" s="41" t="s">
        <v>139</v>
      </c>
      <c r="AB190" s="44"/>
      <c r="AC190" s="45"/>
      <c r="AD190" s="45"/>
      <c r="AE190" s="46"/>
      <c r="AF190" s="45"/>
      <c r="AG190" s="45"/>
      <c r="AH190" s="45"/>
      <c r="AI190" s="3" t="s">
        <v>1583</v>
      </c>
    </row>
    <row r="191" spans="1:35">
      <c r="A191" s="144">
        <f t="shared" si="3"/>
        <v>189</v>
      </c>
      <c r="B191" s="148"/>
      <c r="C191" s="148"/>
      <c r="D191" s="148"/>
      <c r="E191" s="148"/>
      <c r="F191" s="148"/>
      <c r="G191" s="148"/>
      <c r="H191" s="148"/>
      <c r="I191" s="148"/>
      <c r="J191" s="98" t="s">
        <v>2101</v>
      </c>
      <c r="K191" s="101" t="str">
        <f>_xlfn.XLOOKUP(L191,'99_マスタ'!$D$5:$D$18,'99_マスタ'!$C$5:$C$18,"")</f>
        <v>02_生販在</v>
      </c>
      <c r="L191" s="64" t="s">
        <v>2303</v>
      </c>
      <c r="M191" s="64" t="s">
        <v>195</v>
      </c>
      <c r="N191" s="54" t="s">
        <v>196</v>
      </c>
      <c r="O191" s="41" t="s">
        <v>197</v>
      </c>
      <c r="P191" s="41" t="s">
        <v>198</v>
      </c>
      <c r="Q191" s="41" t="s">
        <v>192</v>
      </c>
      <c r="R191" s="41" t="s">
        <v>199</v>
      </c>
      <c r="S191" s="41" t="s">
        <v>139</v>
      </c>
      <c r="T191" s="41" t="s">
        <v>139</v>
      </c>
      <c r="U191" s="41" t="s">
        <v>139</v>
      </c>
      <c r="V191" s="42" t="s">
        <v>139</v>
      </c>
      <c r="W191" s="53" t="s">
        <v>200</v>
      </c>
      <c r="X191" s="54" t="s">
        <v>139</v>
      </c>
      <c r="Y191" s="54" t="s">
        <v>139</v>
      </c>
      <c r="Z191" s="54" t="s">
        <v>139</v>
      </c>
      <c r="AA191" s="54" t="s">
        <v>139</v>
      </c>
      <c r="AB191" s="55"/>
      <c r="AC191" s="56"/>
      <c r="AD191" s="56"/>
      <c r="AE191" s="57"/>
      <c r="AF191" s="56"/>
      <c r="AG191" s="56"/>
      <c r="AH191" s="56"/>
      <c r="AI191" s="3" t="s">
        <v>1583</v>
      </c>
    </row>
    <row r="192" spans="1:35" ht="27">
      <c r="A192" s="144">
        <f t="shared" si="3"/>
        <v>190</v>
      </c>
      <c r="B192" s="148"/>
      <c r="C192" s="148"/>
      <c r="D192" s="148"/>
      <c r="E192" s="148"/>
      <c r="F192" s="148"/>
      <c r="G192" s="148"/>
      <c r="H192" s="148"/>
      <c r="I192" s="148"/>
      <c r="J192" s="98" t="s">
        <v>2101</v>
      </c>
      <c r="K192" s="101" t="str">
        <f>_xlfn.XLOOKUP(L192,'99_マスタ'!$D$5:$D$18,'99_マスタ'!$C$5:$C$18,"")</f>
        <v>02_生販在</v>
      </c>
      <c r="L192" s="64" t="s">
        <v>2303</v>
      </c>
      <c r="M192" s="64" t="s">
        <v>2841</v>
      </c>
      <c r="N192" s="54" t="s">
        <v>1637</v>
      </c>
      <c r="O192" s="41" t="s">
        <v>2842</v>
      </c>
      <c r="P192" s="41" t="s">
        <v>2844</v>
      </c>
      <c r="Q192" s="41" t="s">
        <v>192</v>
      </c>
      <c r="R192" s="41" t="s">
        <v>2845</v>
      </c>
      <c r="S192" s="41" t="s">
        <v>139</v>
      </c>
      <c r="T192" s="41" t="s">
        <v>139</v>
      </c>
      <c r="U192" s="41" t="s">
        <v>139</v>
      </c>
      <c r="V192" s="41" t="s">
        <v>139</v>
      </c>
      <c r="W192" s="53" t="s">
        <v>2846</v>
      </c>
      <c r="X192" s="54" t="s">
        <v>139</v>
      </c>
      <c r="Y192" s="54" t="s">
        <v>139</v>
      </c>
      <c r="Z192" s="54" t="s">
        <v>139</v>
      </c>
      <c r="AA192" s="54" t="s">
        <v>139</v>
      </c>
      <c r="AB192" s="55"/>
      <c r="AC192" s="56"/>
      <c r="AD192" s="56"/>
      <c r="AE192" s="57"/>
      <c r="AF192" s="56"/>
      <c r="AG192" s="56"/>
      <c r="AH192" s="56"/>
      <c r="AI192" s="3" t="s">
        <v>1583</v>
      </c>
    </row>
    <row r="193" spans="1:35" ht="27">
      <c r="A193" s="144">
        <f t="shared" si="3"/>
        <v>191</v>
      </c>
      <c r="B193" s="148"/>
      <c r="C193" s="148"/>
      <c r="D193" s="148"/>
      <c r="E193" s="148"/>
      <c r="F193" s="148"/>
      <c r="G193" s="148"/>
      <c r="H193" s="148"/>
      <c r="I193" s="148"/>
      <c r="J193" s="98" t="s">
        <v>2101</v>
      </c>
      <c r="K193" s="101" t="str">
        <f>_xlfn.XLOOKUP(L193,'99_マスタ'!$D$5:$D$18,'99_マスタ'!$C$5:$C$18,"")</f>
        <v>02_生販在</v>
      </c>
      <c r="L193" s="64" t="s">
        <v>2303</v>
      </c>
      <c r="M193" s="64" t="s">
        <v>188</v>
      </c>
      <c r="N193" s="54" t="s">
        <v>189</v>
      </c>
      <c r="O193" s="41" t="s">
        <v>190</v>
      </c>
      <c r="P193" s="41" t="s">
        <v>191</v>
      </c>
      <c r="Q193" s="41" t="s">
        <v>192</v>
      </c>
      <c r="R193" s="41" t="s">
        <v>193</v>
      </c>
      <c r="S193" s="41" t="s">
        <v>139</v>
      </c>
      <c r="T193" s="41" t="s">
        <v>139</v>
      </c>
      <c r="U193" s="41" t="s">
        <v>139</v>
      </c>
      <c r="V193" s="41" t="s">
        <v>139</v>
      </c>
      <c r="W193" s="53" t="s">
        <v>194</v>
      </c>
      <c r="X193" s="54" t="s">
        <v>139</v>
      </c>
      <c r="Y193" s="54" t="s">
        <v>139</v>
      </c>
      <c r="Z193" s="54" t="s">
        <v>139</v>
      </c>
      <c r="AA193" s="54" t="s">
        <v>139</v>
      </c>
      <c r="AB193" s="55"/>
      <c r="AC193" s="56"/>
      <c r="AD193" s="56"/>
      <c r="AE193" s="57"/>
      <c r="AF193" s="56"/>
      <c r="AG193" s="56"/>
      <c r="AH193" s="56"/>
      <c r="AI193" s="3" t="s">
        <v>1583</v>
      </c>
    </row>
    <row r="194" spans="1:35" ht="40.5">
      <c r="A194" s="144">
        <f t="shared" si="3"/>
        <v>192</v>
      </c>
      <c r="B194" s="148"/>
      <c r="C194" s="148"/>
      <c r="D194" s="148"/>
      <c r="E194" s="148"/>
      <c r="F194" s="148"/>
      <c r="G194" s="148"/>
      <c r="H194" s="148"/>
      <c r="I194" s="148"/>
      <c r="J194" s="98" t="s">
        <v>2101</v>
      </c>
      <c r="K194" s="101" t="str">
        <f>_xlfn.XLOOKUP(L194,'99_マスタ'!$D$5:$D$18,'99_マスタ'!$C$5:$C$18,"")</f>
        <v>02_生販在</v>
      </c>
      <c r="L194" s="64" t="s">
        <v>2303</v>
      </c>
      <c r="M194" s="64" t="s">
        <v>209</v>
      </c>
      <c r="N194" s="54" t="s">
        <v>210</v>
      </c>
      <c r="O194" s="41" t="s">
        <v>211</v>
      </c>
      <c r="P194" s="41" t="s">
        <v>212</v>
      </c>
      <c r="Q194" s="41" t="s">
        <v>192</v>
      </c>
      <c r="R194" s="41" t="s">
        <v>2831</v>
      </c>
      <c r="S194" s="41" t="s">
        <v>139</v>
      </c>
      <c r="T194" s="41" t="s">
        <v>139</v>
      </c>
      <c r="U194" s="41" t="s">
        <v>227</v>
      </c>
      <c r="V194" s="41" t="s">
        <v>139</v>
      </c>
      <c r="W194" s="53" t="s">
        <v>213</v>
      </c>
      <c r="X194" s="54" t="s">
        <v>139</v>
      </c>
      <c r="Y194" s="54" t="s">
        <v>139</v>
      </c>
      <c r="Z194" s="54" t="s">
        <v>1635</v>
      </c>
      <c r="AA194" s="54" t="s">
        <v>139</v>
      </c>
      <c r="AB194" s="55"/>
      <c r="AC194" s="56"/>
      <c r="AD194" s="56"/>
      <c r="AE194" s="57"/>
      <c r="AF194" s="56"/>
      <c r="AG194" s="56"/>
      <c r="AH194" s="56"/>
      <c r="AI194" s="3" t="s">
        <v>1583</v>
      </c>
    </row>
    <row r="195" spans="1:35" ht="27">
      <c r="A195" s="144">
        <f t="shared" si="3"/>
        <v>193</v>
      </c>
      <c r="B195" s="148"/>
      <c r="C195" s="148"/>
      <c r="D195" s="148"/>
      <c r="E195" s="148"/>
      <c r="F195" s="148"/>
      <c r="G195" s="148"/>
      <c r="H195" s="148"/>
      <c r="I195" s="148"/>
      <c r="J195" s="98" t="s">
        <v>2101</v>
      </c>
      <c r="K195" s="101" t="str">
        <f>_xlfn.XLOOKUP(L195,'99_マスタ'!$D$5:$D$18,'99_マスタ'!$C$5:$C$18,"")</f>
        <v>02_生販在</v>
      </c>
      <c r="L195" s="64" t="s">
        <v>2303</v>
      </c>
      <c r="M195" s="64" t="s">
        <v>201</v>
      </c>
      <c r="N195" s="54" t="s">
        <v>139</v>
      </c>
      <c r="O195" s="41" t="s">
        <v>202</v>
      </c>
      <c r="P195" s="41" t="s">
        <v>203</v>
      </c>
      <c r="Q195" s="41" t="s">
        <v>192</v>
      </c>
      <c r="R195" s="41" t="s">
        <v>204</v>
      </c>
      <c r="S195" s="41" t="s">
        <v>139</v>
      </c>
      <c r="T195" s="41" t="s">
        <v>139</v>
      </c>
      <c r="U195" s="41" t="s">
        <v>139</v>
      </c>
      <c r="V195" s="41" t="s">
        <v>139</v>
      </c>
      <c r="W195" s="53" t="s">
        <v>200</v>
      </c>
      <c r="X195" s="54" t="s">
        <v>139</v>
      </c>
      <c r="Y195" s="54" t="s">
        <v>139</v>
      </c>
      <c r="Z195" s="54" t="s">
        <v>139</v>
      </c>
      <c r="AA195" s="54" t="s">
        <v>139</v>
      </c>
      <c r="AB195" s="55"/>
      <c r="AC195" s="56"/>
      <c r="AD195" s="56"/>
      <c r="AE195" s="57"/>
      <c r="AF195" s="56"/>
      <c r="AG195" s="56"/>
      <c r="AH195" s="56"/>
      <c r="AI195" s="3" t="s">
        <v>1583</v>
      </c>
    </row>
    <row r="196" spans="1:35">
      <c r="A196" s="144">
        <f t="shared" si="3"/>
        <v>194</v>
      </c>
      <c r="B196" s="148"/>
      <c r="C196" s="148"/>
      <c r="D196" s="148"/>
      <c r="E196" s="148"/>
      <c r="F196" s="148"/>
      <c r="G196" s="148"/>
      <c r="H196" s="148"/>
      <c r="I196" s="148"/>
      <c r="J196" s="98" t="s">
        <v>2101</v>
      </c>
      <c r="K196" s="101" t="str">
        <f>_xlfn.XLOOKUP(L196,'99_マスタ'!$D$5:$D$18,'99_マスタ'!$C$5:$C$18,"")</f>
        <v>02_生販在</v>
      </c>
      <c r="L196" s="64" t="s">
        <v>2303</v>
      </c>
      <c r="M196" s="64" t="s">
        <v>205</v>
      </c>
      <c r="N196" s="54" t="s">
        <v>139</v>
      </c>
      <c r="O196" s="41" t="s">
        <v>206</v>
      </c>
      <c r="P196" s="41" t="s">
        <v>207</v>
      </c>
      <c r="Q196" s="41" t="s">
        <v>192</v>
      </c>
      <c r="R196" s="41" t="s">
        <v>208</v>
      </c>
      <c r="S196" s="41" t="s">
        <v>139</v>
      </c>
      <c r="T196" s="41" t="s">
        <v>139</v>
      </c>
      <c r="U196" s="41" t="s">
        <v>139</v>
      </c>
      <c r="V196" s="41" t="s">
        <v>139</v>
      </c>
      <c r="W196" s="53" t="s">
        <v>200</v>
      </c>
      <c r="X196" s="54" t="s">
        <v>139</v>
      </c>
      <c r="Y196" s="54" t="s">
        <v>139</v>
      </c>
      <c r="Z196" s="54" t="s">
        <v>139</v>
      </c>
      <c r="AA196" s="54" t="s">
        <v>139</v>
      </c>
      <c r="AB196" s="55"/>
      <c r="AC196" s="56"/>
      <c r="AD196" s="56"/>
      <c r="AE196" s="57"/>
      <c r="AF196" s="56"/>
      <c r="AG196" s="56"/>
      <c r="AH196" s="56"/>
      <c r="AI196" s="3" t="s">
        <v>1583</v>
      </c>
    </row>
    <row r="197" spans="1:35" ht="40.5">
      <c r="A197" s="144">
        <f t="shared" si="3"/>
        <v>195</v>
      </c>
      <c r="B197" s="148"/>
      <c r="C197" s="148"/>
      <c r="D197" s="148"/>
      <c r="E197" s="148"/>
      <c r="F197" s="148"/>
      <c r="G197" s="148"/>
      <c r="H197" s="148"/>
      <c r="I197" s="148"/>
      <c r="J197" s="98" t="s">
        <v>2101</v>
      </c>
      <c r="K197" s="101" t="str">
        <f>_xlfn.XLOOKUP(L197,'99_マスタ'!$D$5:$D$18,'99_マスタ'!$C$5:$C$18,"")</f>
        <v>02_生販在</v>
      </c>
      <c r="L197" s="118" t="s">
        <v>2303</v>
      </c>
      <c r="M197" s="118" t="s">
        <v>926</v>
      </c>
      <c r="N197" s="126" t="s">
        <v>139</v>
      </c>
      <c r="O197" s="40" t="s">
        <v>927</v>
      </c>
      <c r="P197" s="40" t="s">
        <v>928</v>
      </c>
      <c r="Q197" s="40" t="s">
        <v>929</v>
      </c>
      <c r="R197" s="41" t="s">
        <v>139</v>
      </c>
      <c r="S197" s="41" t="s">
        <v>2725</v>
      </c>
      <c r="T197" s="41" t="s">
        <v>139</v>
      </c>
      <c r="U197" s="41" t="s">
        <v>925</v>
      </c>
      <c r="V197" s="41" t="s">
        <v>139</v>
      </c>
      <c r="W197" s="43" t="s">
        <v>139</v>
      </c>
      <c r="X197" s="41" t="s">
        <v>2724</v>
      </c>
      <c r="Y197" s="41" t="s">
        <v>139</v>
      </c>
      <c r="Z197" s="41" t="s">
        <v>895</v>
      </c>
      <c r="AA197" s="41" t="s">
        <v>139</v>
      </c>
      <c r="AB197" s="44"/>
      <c r="AC197" s="45"/>
      <c r="AD197" s="45"/>
      <c r="AE197" s="46"/>
      <c r="AF197" s="45"/>
      <c r="AG197" s="45"/>
      <c r="AH197" s="45"/>
      <c r="AI197" s="3" t="s">
        <v>1583</v>
      </c>
    </row>
    <row r="198" spans="1:35" ht="40.5">
      <c r="A198" s="144">
        <f t="shared" si="3"/>
        <v>196</v>
      </c>
      <c r="B198" s="148"/>
      <c r="C198" s="148"/>
      <c r="D198" s="148"/>
      <c r="E198" s="148"/>
      <c r="F198" s="148"/>
      <c r="G198" s="148"/>
      <c r="H198" s="148"/>
      <c r="I198" s="148"/>
      <c r="J198" s="98" t="s">
        <v>2101</v>
      </c>
      <c r="K198" s="101" t="str">
        <f>_xlfn.XLOOKUP(L198,'99_マスタ'!$D$5:$D$18,'99_マスタ'!$C$5:$C$18,"")</f>
        <v>02_生販在</v>
      </c>
      <c r="L198" s="64" t="s">
        <v>2303</v>
      </c>
      <c r="M198" s="64" t="s">
        <v>2860</v>
      </c>
      <c r="N198" s="54" t="s">
        <v>1637</v>
      </c>
      <c r="O198" s="41" t="s">
        <v>2861</v>
      </c>
      <c r="P198" s="41" t="s">
        <v>2862</v>
      </c>
      <c r="Q198" s="41" t="s">
        <v>192</v>
      </c>
      <c r="R198" s="41" t="s">
        <v>2845</v>
      </c>
      <c r="S198" s="41" t="s">
        <v>139</v>
      </c>
      <c r="T198" s="41" t="s">
        <v>139</v>
      </c>
      <c r="U198" s="41" t="s">
        <v>139</v>
      </c>
      <c r="V198" s="41" t="s">
        <v>139</v>
      </c>
      <c r="W198" s="53" t="s">
        <v>2905</v>
      </c>
      <c r="X198" s="54" t="s">
        <v>139</v>
      </c>
      <c r="Y198" s="54" t="s">
        <v>139</v>
      </c>
      <c r="Z198" s="54" t="s">
        <v>139</v>
      </c>
      <c r="AA198" s="54" t="s">
        <v>139</v>
      </c>
      <c r="AB198" s="55"/>
      <c r="AC198" s="56"/>
      <c r="AD198" s="56"/>
      <c r="AE198" s="57"/>
      <c r="AF198" s="56"/>
      <c r="AG198" s="56"/>
      <c r="AH198" s="56"/>
      <c r="AI198" s="3" t="s">
        <v>1583</v>
      </c>
    </row>
    <row r="199" spans="1:35" ht="40.5">
      <c r="A199" s="144">
        <f t="shared" si="3"/>
        <v>197</v>
      </c>
      <c r="B199" s="148"/>
      <c r="C199" s="148"/>
      <c r="D199" s="148"/>
      <c r="E199" s="148"/>
      <c r="F199" s="148"/>
      <c r="G199" s="148"/>
      <c r="H199" s="148"/>
      <c r="I199" s="148"/>
      <c r="J199" s="98" t="s">
        <v>2101</v>
      </c>
      <c r="K199" s="101" t="str">
        <f>_xlfn.XLOOKUP(L199,'99_マスタ'!$D$5:$D$18,'99_マスタ'!$C$5:$C$18,"")</f>
        <v>02_生販在</v>
      </c>
      <c r="L199" s="64" t="s">
        <v>2303</v>
      </c>
      <c r="M199" s="64" t="s">
        <v>2863</v>
      </c>
      <c r="N199" s="54" t="s">
        <v>1637</v>
      </c>
      <c r="O199" s="41" t="s">
        <v>2864</v>
      </c>
      <c r="P199" s="41"/>
      <c r="Q199" s="41" t="s">
        <v>192</v>
      </c>
      <c r="R199" s="41" t="s">
        <v>2845</v>
      </c>
      <c r="S199" s="41" t="s">
        <v>139</v>
      </c>
      <c r="T199" s="41" t="s">
        <v>139</v>
      </c>
      <c r="U199" s="41" t="s">
        <v>139</v>
      </c>
      <c r="V199" s="41" t="s">
        <v>139</v>
      </c>
      <c r="W199" s="53" t="s">
        <v>2905</v>
      </c>
      <c r="X199" s="54" t="s">
        <v>139</v>
      </c>
      <c r="Y199" s="54" t="s">
        <v>139</v>
      </c>
      <c r="Z199" s="54" t="s">
        <v>139</v>
      </c>
      <c r="AA199" s="54" t="s">
        <v>139</v>
      </c>
      <c r="AB199" s="55"/>
      <c r="AC199" s="56"/>
      <c r="AD199" s="56"/>
      <c r="AE199" s="57"/>
      <c r="AF199" s="56"/>
      <c r="AG199" s="56"/>
      <c r="AH199" s="56"/>
      <c r="AI199" s="3" t="s">
        <v>1583</v>
      </c>
    </row>
    <row r="200" spans="1:35" ht="40.5">
      <c r="A200" s="144">
        <f t="shared" si="3"/>
        <v>198</v>
      </c>
      <c r="B200" s="148"/>
      <c r="C200" s="148"/>
      <c r="D200" s="148"/>
      <c r="E200" s="148"/>
      <c r="F200" s="148"/>
      <c r="G200" s="148"/>
      <c r="H200" s="148"/>
      <c r="I200" s="148"/>
      <c r="J200" s="98" t="s">
        <v>2101</v>
      </c>
      <c r="K200" s="100" t="str">
        <f>_xlfn.XLOOKUP(L200,'99_マスタ'!$D$5:$D$18,'99_マスタ'!$C$5:$C$18,"")</f>
        <v>02_生販在</v>
      </c>
      <c r="L200" s="69" t="s">
        <v>2303</v>
      </c>
      <c r="M200" s="100" t="s">
        <v>2720</v>
      </c>
      <c r="N200" s="126" t="s">
        <v>1637</v>
      </c>
      <c r="O200" s="40" t="s">
        <v>2721</v>
      </c>
      <c r="P200" s="40"/>
      <c r="Q200" s="40" t="s">
        <v>1895</v>
      </c>
      <c r="R200" s="41" t="s">
        <v>139</v>
      </c>
      <c r="S200" s="41" t="s">
        <v>2710</v>
      </c>
      <c r="T200" s="41" t="s">
        <v>139</v>
      </c>
      <c r="U200" s="41" t="s">
        <v>139</v>
      </c>
      <c r="V200" s="41" t="s">
        <v>139</v>
      </c>
      <c r="W200" s="74" t="s">
        <v>139</v>
      </c>
      <c r="X200" s="41" t="s">
        <v>1486</v>
      </c>
      <c r="Y200" s="41" t="s">
        <v>139</v>
      </c>
      <c r="Z200" s="41" t="s">
        <v>139</v>
      </c>
      <c r="AA200" s="41" t="s">
        <v>139</v>
      </c>
      <c r="AB200" s="44"/>
      <c r="AC200" s="45"/>
      <c r="AD200" s="45"/>
      <c r="AE200" s="46"/>
      <c r="AF200" s="45"/>
      <c r="AG200" s="45"/>
      <c r="AH200" s="45"/>
      <c r="AI200" s="3" t="s">
        <v>1583</v>
      </c>
    </row>
    <row r="201" spans="1:35" ht="27">
      <c r="A201" s="144">
        <f t="shared" si="3"/>
        <v>199</v>
      </c>
      <c r="B201" s="148"/>
      <c r="C201" s="148"/>
      <c r="D201" s="148"/>
      <c r="E201" s="148"/>
      <c r="F201" s="148"/>
      <c r="G201" s="148"/>
      <c r="H201" s="148"/>
      <c r="I201" s="148"/>
      <c r="J201" s="108" t="s">
        <v>2101</v>
      </c>
      <c r="K201" s="51" t="str">
        <f>_xlfn.XLOOKUP(L201,'99_マスタ'!$D$5:$D$18,'99_マスタ'!$C$5:$C$18,"")</f>
        <v>02_生販在</v>
      </c>
      <c r="L201" s="114" t="s">
        <v>2303</v>
      </c>
      <c r="M201" s="66" t="s">
        <v>510</v>
      </c>
      <c r="N201" s="54" t="s">
        <v>139</v>
      </c>
      <c r="O201" s="41" t="s">
        <v>511</v>
      </c>
      <c r="P201" s="41"/>
      <c r="Q201" s="41" t="s">
        <v>192</v>
      </c>
      <c r="R201" s="41" t="s">
        <v>512</v>
      </c>
      <c r="S201" s="41" t="s">
        <v>139</v>
      </c>
      <c r="T201" s="41" t="s">
        <v>139</v>
      </c>
      <c r="U201" s="41" t="s">
        <v>139</v>
      </c>
      <c r="V201" s="41" t="s">
        <v>139</v>
      </c>
      <c r="W201" s="73" t="s">
        <v>133</v>
      </c>
      <c r="X201" s="54" t="s">
        <v>139</v>
      </c>
      <c r="Y201" s="54" t="s">
        <v>139</v>
      </c>
      <c r="Z201" s="54" t="s">
        <v>139</v>
      </c>
      <c r="AA201" s="54" t="s">
        <v>139</v>
      </c>
      <c r="AB201" s="55"/>
      <c r="AC201" s="56"/>
      <c r="AD201" s="56"/>
      <c r="AE201" s="57"/>
      <c r="AF201" s="56"/>
      <c r="AG201" s="56"/>
      <c r="AH201" s="56"/>
      <c r="AI201" s="3" t="s">
        <v>1583</v>
      </c>
    </row>
    <row r="202" spans="1:35" ht="27">
      <c r="A202" s="144">
        <f t="shared" si="3"/>
        <v>200</v>
      </c>
      <c r="B202" s="148"/>
      <c r="C202" s="148"/>
      <c r="D202" s="148"/>
      <c r="E202" s="148"/>
      <c r="F202" s="148"/>
      <c r="G202" s="148"/>
      <c r="H202" s="148"/>
      <c r="I202" s="148"/>
      <c r="J202" s="98" t="s">
        <v>2101</v>
      </c>
      <c r="K202" s="101" t="str">
        <f>_xlfn.XLOOKUP(L202,'99_マスタ'!$D$5:$D$18,'99_マスタ'!$C$5:$C$18,"")</f>
        <v>02_生販在</v>
      </c>
      <c r="L202" s="113" t="s">
        <v>2303</v>
      </c>
      <c r="M202" s="113" t="s">
        <v>1151</v>
      </c>
      <c r="N202" s="126" t="s">
        <v>1152</v>
      </c>
      <c r="O202" s="40" t="s">
        <v>1153</v>
      </c>
      <c r="P202" s="40" t="s">
        <v>1154</v>
      </c>
      <c r="Q202" s="40" t="s">
        <v>266</v>
      </c>
      <c r="R202" s="41" t="s">
        <v>1150</v>
      </c>
      <c r="S202" s="41" t="s">
        <v>139</v>
      </c>
      <c r="T202" s="41" t="s">
        <v>139</v>
      </c>
      <c r="U202" s="41" t="s">
        <v>139</v>
      </c>
      <c r="V202" s="41" t="s">
        <v>139</v>
      </c>
      <c r="W202" s="43" t="s">
        <v>235</v>
      </c>
      <c r="X202" s="41" t="s">
        <v>139</v>
      </c>
      <c r="Y202" s="41" t="s">
        <v>139</v>
      </c>
      <c r="Z202" s="41" t="s">
        <v>139</v>
      </c>
      <c r="AA202" s="41" t="s">
        <v>139</v>
      </c>
      <c r="AB202" s="44"/>
      <c r="AC202" s="45"/>
      <c r="AD202" s="45"/>
      <c r="AE202" s="46"/>
      <c r="AF202" s="45"/>
      <c r="AG202" s="45"/>
      <c r="AH202" s="45"/>
      <c r="AI202" s="3" t="s">
        <v>1583</v>
      </c>
    </row>
    <row r="203" spans="1:35">
      <c r="A203" s="144">
        <f t="shared" si="3"/>
        <v>201</v>
      </c>
      <c r="B203" s="148"/>
      <c r="C203" s="148"/>
      <c r="D203" s="148"/>
      <c r="E203" s="148"/>
      <c r="F203" s="148"/>
      <c r="G203" s="148"/>
      <c r="H203" s="148"/>
      <c r="I203" s="148"/>
      <c r="J203" s="98" t="s">
        <v>2101</v>
      </c>
      <c r="K203" s="101" t="str">
        <f>_xlfn.XLOOKUP(L203,'99_マスタ'!$D$5:$D$18,'99_マスタ'!$C$5:$C$18,"")</f>
        <v>02_生販在</v>
      </c>
      <c r="L203" s="64" t="s">
        <v>2303</v>
      </c>
      <c r="M203" s="64" t="s">
        <v>268</v>
      </c>
      <c r="N203" s="54" t="s">
        <v>139</v>
      </c>
      <c r="O203" s="41" t="s">
        <v>269</v>
      </c>
      <c r="P203" s="41" t="s">
        <v>270</v>
      </c>
      <c r="Q203" s="41" t="s">
        <v>266</v>
      </c>
      <c r="R203" s="41" t="s">
        <v>271</v>
      </c>
      <c r="S203" s="41" t="s">
        <v>139</v>
      </c>
      <c r="T203" s="41" t="s">
        <v>139</v>
      </c>
      <c r="U203" s="41" t="s">
        <v>139</v>
      </c>
      <c r="V203" s="41" t="s">
        <v>139</v>
      </c>
      <c r="W203" s="53" t="s">
        <v>213</v>
      </c>
      <c r="X203" s="54" t="s">
        <v>139</v>
      </c>
      <c r="Y203" s="54" t="s">
        <v>139</v>
      </c>
      <c r="Z203" s="54" t="s">
        <v>139</v>
      </c>
      <c r="AA203" s="54" t="s">
        <v>139</v>
      </c>
      <c r="AB203" s="55"/>
      <c r="AC203" s="56"/>
      <c r="AD203" s="56"/>
      <c r="AE203" s="57"/>
      <c r="AF203" s="56"/>
      <c r="AG203" s="56"/>
      <c r="AH203" s="56"/>
      <c r="AI203" s="3" t="s">
        <v>1583</v>
      </c>
    </row>
    <row r="204" spans="1:35">
      <c r="A204" s="144">
        <f t="shared" si="3"/>
        <v>202</v>
      </c>
      <c r="B204" s="148"/>
      <c r="C204" s="148"/>
      <c r="D204" s="148"/>
      <c r="E204" s="148"/>
      <c r="F204" s="148"/>
      <c r="G204" s="148"/>
      <c r="H204" s="148"/>
      <c r="I204" s="148"/>
      <c r="J204" s="98" t="s">
        <v>2101</v>
      </c>
      <c r="K204" s="101" t="str">
        <f>_xlfn.XLOOKUP(L204,'99_マスタ'!$D$5:$D$18,'99_マスタ'!$C$5:$C$18,"")</f>
        <v>02_生販在</v>
      </c>
      <c r="L204" s="81" t="s">
        <v>2303</v>
      </c>
      <c r="M204" s="81" t="s">
        <v>308</v>
      </c>
      <c r="N204" s="54" t="s">
        <v>139</v>
      </c>
      <c r="O204" s="41" t="s">
        <v>309</v>
      </c>
      <c r="P204" s="41" t="s">
        <v>310</v>
      </c>
      <c r="Q204" s="41" t="s">
        <v>192</v>
      </c>
      <c r="R204" s="41" t="s">
        <v>311</v>
      </c>
      <c r="S204" s="41" t="s">
        <v>139</v>
      </c>
      <c r="T204" s="41" t="s">
        <v>139</v>
      </c>
      <c r="U204" s="41" t="s">
        <v>139</v>
      </c>
      <c r="V204" s="41" t="s">
        <v>139</v>
      </c>
      <c r="W204" s="53" t="s">
        <v>133</v>
      </c>
      <c r="X204" s="54" t="s">
        <v>139</v>
      </c>
      <c r="Y204" s="54" t="s">
        <v>139</v>
      </c>
      <c r="Z204" s="54" t="s">
        <v>139</v>
      </c>
      <c r="AA204" s="54" t="s">
        <v>139</v>
      </c>
      <c r="AB204" s="55"/>
      <c r="AC204" s="56"/>
      <c r="AD204" s="56"/>
      <c r="AE204" s="57"/>
      <c r="AF204" s="56"/>
      <c r="AG204" s="56"/>
      <c r="AH204" s="56"/>
      <c r="AI204" s="3" t="s">
        <v>1583</v>
      </c>
    </row>
    <row r="205" spans="1:35" ht="27">
      <c r="A205" s="144">
        <f t="shared" si="3"/>
        <v>203</v>
      </c>
      <c r="B205" s="148"/>
      <c r="C205" s="148"/>
      <c r="D205" s="148"/>
      <c r="E205" s="148"/>
      <c r="F205" s="148"/>
      <c r="G205" s="148"/>
      <c r="H205" s="148"/>
      <c r="I205" s="148"/>
      <c r="J205" s="98" t="s">
        <v>2101</v>
      </c>
      <c r="K205" s="101" t="str">
        <f>_xlfn.XLOOKUP(L205,'99_マスタ'!$D$5:$D$18,'99_マスタ'!$C$5:$C$18,"")</f>
        <v>02_生販在</v>
      </c>
      <c r="L205" s="64" t="s">
        <v>2303</v>
      </c>
      <c r="M205" s="64" t="s">
        <v>263</v>
      </c>
      <c r="N205" s="54" t="s">
        <v>139</v>
      </c>
      <c r="O205" s="41" t="s">
        <v>264</v>
      </c>
      <c r="P205" s="41" t="s">
        <v>265</v>
      </c>
      <c r="Q205" s="41" t="s">
        <v>266</v>
      </c>
      <c r="R205" s="41" t="s">
        <v>267</v>
      </c>
      <c r="S205" s="41" t="s">
        <v>139</v>
      </c>
      <c r="T205" s="41" t="s">
        <v>139</v>
      </c>
      <c r="U205" s="41" t="s">
        <v>139</v>
      </c>
      <c r="V205" s="41" t="s">
        <v>139</v>
      </c>
      <c r="W205" s="73" t="s">
        <v>218</v>
      </c>
      <c r="X205" s="54" t="s">
        <v>139</v>
      </c>
      <c r="Y205" s="54" t="s">
        <v>139</v>
      </c>
      <c r="Z205" s="54" t="s">
        <v>139</v>
      </c>
      <c r="AA205" s="54" t="s">
        <v>139</v>
      </c>
      <c r="AB205" s="55"/>
      <c r="AC205" s="56"/>
      <c r="AD205" s="56"/>
      <c r="AE205" s="57"/>
      <c r="AF205" s="56"/>
      <c r="AG205" s="56"/>
      <c r="AH205" s="56"/>
      <c r="AI205" s="3" t="s">
        <v>1583</v>
      </c>
    </row>
    <row r="206" spans="1:35" ht="54">
      <c r="A206" s="144">
        <f t="shared" si="0"/>
        <v>204</v>
      </c>
      <c r="B206" s="148"/>
      <c r="C206" s="148"/>
      <c r="D206" s="148"/>
      <c r="E206" s="148"/>
      <c r="F206" s="148"/>
      <c r="G206" s="148"/>
      <c r="H206" s="148"/>
      <c r="I206" s="148"/>
      <c r="J206" s="98" t="s">
        <v>2101</v>
      </c>
      <c r="K206" s="100" t="str">
        <f>_xlfn.XLOOKUP(L206,'99_マスタ'!$D$5:$D$18,'99_マスタ'!$C$5:$C$18,"")</f>
        <v>02_生販在</v>
      </c>
      <c r="L206" s="101" t="s">
        <v>2303</v>
      </c>
      <c r="M206" s="100" t="s">
        <v>2718</v>
      </c>
      <c r="N206" s="126" t="s">
        <v>2722</v>
      </c>
      <c r="O206" s="40" t="s">
        <v>2719</v>
      </c>
      <c r="P206" s="40"/>
      <c r="Q206" s="40" t="s">
        <v>1645</v>
      </c>
      <c r="R206" s="41" t="s">
        <v>139</v>
      </c>
      <c r="S206" s="41" t="s">
        <v>2710</v>
      </c>
      <c r="T206" s="41" t="s">
        <v>139</v>
      </c>
      <c r="U206" s="41" t="s">
        <v>139</v>
      </c>
      <c r="V206" s="42" t="s">
        <v>139</v>
      </c>
      <c r="W206" s="43" t="s">
        <v>139</v>
      </c>
      <c r="X206" s="41" t="s">
        <v>1486</v>
      </c>
      <c r="Y206" s="41" t="s">
        <v>139</v>
      </c>
      <c r="Z206" s="41" t="s">
        <v>139</v>
      </c>
      <c r="AA206" s="41" t="s">
        <v>139</v>
      </c>
      <c r="AB206" s="44"/>
      <c r="AC206" s="45"/>
      <c r="AD206" s="45"/>
      <c r="AE206" s="46"/>
      <c r="AF206" s="45"/>
      <c r="AG206" s="45"/>
      <c r="AH206" s="45"/>
      <c r="AI206" s="3" t="s">
        <v>1583</v>
      </c>
    </row>
    <row r="207" spans="1:35" ht="40.5">
      <c r="A207" s="144">
        <f t="shared" si="0"/>
        <v>205</v>
      </c>
      <c r="B207" s="148"/>
      <c r="C207" s="148"/>
      <c r="D207" s="148"/>
      <c r="E207" s="148"/>
      <c r="F207" s="148"/>
      <c r="G207" s="148"/>
      <c r="H207" s="148"/>
      <c r="I207" s="148"/>
      <c r="J207" s="98" t="s">
        <v>2101</v>
      </c>
      <c r="K207" s="65" t="str">
        <f>_xlfn.XLOOKUP(L207,'99_マスタ'!$D$5:$D$18,'99_マスタ'!$C$5:$C$18,"")</f>
        <v>02_生販在</v>
      </c>
      <c r="L207" s="101" t="s">
        <v>2303</v>
      </c>
      <c r="M207" s="101" t="s">
        <v>1001</v>
      </c>
      <c r="N207" s="126" t="s">
        <v>1002</v>
      </c>
      <c r="O207" s="40" t="s">
        <v>1003</v>
      </c>
      <c r="P207" s="40" t="s">
        <v>1004</v>
      </c>
      <c r="Q207" s="40" t="s">
        <v>161</v>
      </c>
      <c r="R207" s="41" t="s">
        <v>139</v>
      </c>
      <c r="S207" s="41" t="s">
        <v>139</v>
      </c>
      <c r="T207" s="41" t="s">
        <v>139</v>
      </c>
      <c r="U207" s="41" t="s">
        <v>1005</v>
      </c>
      <c r="V207" s="42" t="s">
        <v>139</v>
      </c>
      <c r="W207" s="43" t="s">
        <v>139</v>
      </c>
      <c r="X207" s="41" t="s">
        <v>139</v>
      </c>
      <c r="Y207" s="41" t="s">
        <v>139</v>
      </c>
      <c r="Z207" s="41" t="s">
        <v>1006</v>
      </c>
      <c r="AA207" s="41" t="s">
        <v>139</v>
      </c>
      <c r="AB207" s="44"/>
      <c r="AC207" s="45"/>
      <c r="AD207" s="45"/>
      <c r="AE207" s="46"/>
      <c r="AF207" s="45"/>
      <c r="AG207" s="45"/>
      <c r="AH207" s="45"/>
      <c r="AI207" s="3" t="s">
        <v>1583</v>
      </c>
    </row>
    <row r="208" spans="1:35" ht="40.5">
      <c r="A208" s="144">
        <f t="shared" si="0"/>
        <v>206</v>
      </c>
      <c r="B208" s="148"/>
      <c r="C208" s="148"/>
      <c r="D208" s="148"/>
      <c r="E208" s="148"/>
      <c r="F208" s="148"/>
      <c r="G208" s="148"/>
      <c r="H208" s="148"/>
      <c r="I208" s="148"/>
      <c r="J208" s="98" t="s">
        <v>2101</v>
      </c>
      <c r="K208" s="65" t="str">
        <f>_xlfn.XLOOKUP(L208,'99_マスタ'!$D$5:$D$18,'99_マスタ'!$C$5:$C$18,"")</f>
        <v>02_生販在</v>
      </c>
      <c r="L208" s="101" t="s">
        <v>2303</v>
      </c>
      <c r="M208" s="100" t="s">
        <v>1007</v>
      </c>
      <c r="N208" s="126" t="s">
        <v>2008</v>
      </c>
      <c r="O208" s="40" t="s">
        <v>1008</v>
      </c>
      <c r="P208" s="40" t="s">
        <v>1009</v>
      </c>
      <c r="Q208" s="40" t="s">
        <v>161</v>
      </c>
      <c r="R208" s="41" t="s">
        <v>139</v>
      </c>
      <c r="S208" s="41" t="s">
        <v>139</v>
      </c>
      <c r="T208" s="41" t="s">
        <v>139</v>
      </c>
      <c r="U208" s="41" t="s">
        <v>1010</v>
      </c>
      <c r="V208" s="42" t="s">
        <v>2006</v>
      </c>
      <c r="W208" s="43" t="s">
        <v>139</v>
      </c>
      <c r="X208" s="41" t="s">
        <v>139</v>
      </c>
      <c r="Y208" s="41" t="s">
        <v>139</v>
      </c>
      <c r="Z208" s="41" t="s">
        <v>1006</v>
      </c>
      <c r="AA208" s="41" t="s">
        <v>2007</v>
      </c>
      <c r="AB208" s="44"/>
      <c r="AC208" s="45"/>
      <c r="AD208" s="45"/>
      <c r="AE208" s="46"/>
      <c r="AF208" s="45"/>
      <c r="AG208" s="45"/>
      <c r="AH208" s="45"/>
      <c r="AI208" s="3" t="s">
        <v>1583</v>
      </c>
    </row>
    <row r="209" spans="1:35" ht="27">
      <c r="A209" s="144">
        <f t="shared" si="3"/>
        <v>207</v>
      </c>
      <c r="B209" s="148"/>
      <c r="C209" s="148"/>
      <c r="D209" s="148"/>
      <c r="E209" s="148"/>
      <c r="F209" s="148"/>
      <c r="G209" s="148"/>
      <c r="H209" s="148"/>
      <c r="I209" s="148"/>
      <c r="J209" s="108" t="s">
        <v>2101</v>
      </c>
      <c r="K209" s="51" t="str">
        <f>_xlfn.XLOOKUP(L209,'99_マスタ'!$D$5:$D$18,'99_マスタ'!$C$5:$C$18,"")</f>
        <v>02_生販在</v>
      </c>
      <c r="L209" s="114" t="s">
        <v>2303</v>
      </c>
      <c r="M209" s="66" t="s">
        <v>516</v>
      </c>
      <c r="N209" s="54" t="s">
        <v>139</v>
      </c>
      <c r="O209" s="41" t="s">
        <v>517</v>
      </c>
      <c r="P209" s="41"/>
      <c r="Q209" s="41" t="s">
        <v>161</v>
      </c>
      <c r="R209" s="41" t="s">
        <v>518</v>
      </c>
      <c r="S209" s="41" t="s">
        <v>139</v>
      </c>
      <c r="T209" s="41" t="s">
        <v>139</v>
      </c>
      <c r="U209" s="41" t="s">
        <v>139</v>
      </c>
      <c r="V209" s="42" t="s">
        <v>139</v>
      </c>
      <c r="W209" s="53" t="s">
        <v>163</v>
      </c>
      <c r="X209" s="54" t="s">
        <v>139</v>
      </c>
      <c r="Y209" s="54" t="s">
        <v>139</v>
      </c>
      <c r="Z209" s="54" t="s">
        <v>139</v>
      </c>
      <c r="AA209" s="54" t="s">
        <v>139</v>
      </c>
      <c r="AB209" s="55"/>
      <c r="AC209" s="56"/>
      <c r="AD209" s="56"/>
      <c r="AE209" s="57"/>
      <c r="AF209" s="56"/>
      <c r="AG209" s="56"/>
      <c r="AH209" s="56"/>
      <c r="AI209" s="3" t="s">
        <v>1583</v>
      </c>
    </row>
    <row r="210" spans="1:35">
      <c r="A210" s="144">
        <f t="shared" si="0"/>
        <v>208</v>
      </c>
      <c r="B210" s="148"/>
      <c r="C210" s="148"/>
      <c r="D210" s="148"/>
      <c r="E210" s="148"/>
      <c r="F210" s="148"/>
      <c r="G210" s="148"/>
      <c r="H210" s="148"/>
      <c r="I210" s="148"/>
      <c r="J210" s="98" t="s">
        <v>2101</v>
      </c>
      <c r="K210" s="51" t="str">
        <f>_xlfn.XLOOKUP(L210,'99_マスタ'!$D$5:$D$18,'99_マスタ'!$C$5:$C$18,"")</f>
        <v>02_生販在</v>
      </c>
      <c r="L210" s="101" t="s">
        <v>2303</v>
      </c>
      <c r="M210" s="66" t="s">
        <v>513</v>
      </c>
      <c r="N210" s="54" t="s">
        <v>139</v>
      </c>
      <c r="O210" s="41" t="s">
        <v>514</v>
      </c>
      <c r="P210" s="41" t="s">
        <v>515</v>
      </c>
      <c r="Q210" s="41" t="s">
        <v>161</v>
      </c>
      <c r="R210" s="41" t="s">
        <v>378</v>
      </c>
      <c r="S210" s="41" t="s">
        <v>139</v>
      </c>
      <c r="T210" s="41" t="s">
        <v>139</v>
      </c>
      <c r="U210" s="41" t="s">
        <v>139</v>
      </c>
      <c r="V210" s="42" t="s">
        <v>139</v>
      </c>
      <c r="W210" s="53" t="s">
        <v>163</v>
      </c>
      <c r="X210" s="54" t="s">
        <v>139</v>
      </c>
      <c r="Y210" s="54" t="s">
        <v>139</v>
      </c>
      <c r="Z210" s="54" t="s">
        <v>139</v>
      </c>
      <c r="AA210" s="54" t="s">
        <v>139</v>
      </c>
      <c r="AB210" s="55"/>
      <c r="AC210" s="56"/>
      <c r="AD210" s="56"/>
      <c r="AE210" s="57"/>
      <c r="AF210" s="56"/>
      <c r="AG210" s="56"/>
      <c r="AH210" s="56"/>
      <c r="AI210" s="3" t="s">
        <v>1583</v>
      </c>
    </row>
    <row r="211" spans="1:35" ht="40.5">
      <c r="A211" s="144">
        <f t="shared" si="0"/>
        <v>209</v>
      </c>
      <c r="B211" s="148"/>
      <c r="C211" s="148"/>
      <c r="D211" s="148"/>
      <c r="E211" s="148"/>
      <c r="F211" s="148"/>
      <c r="G211" s="148"/>
      <c r="H211" s="148"/>
      <c r="I211" s="148"/>
      <c r="J211" s="98" t="s">
        <v>2101</v>
      </c>
      <c r="K211" s="101" t="str">
        <f>_xlfn.XLOOKUP(L211,'99_マスタ'!$D$5:$D$18,'99_マスタ'!$C$5:$C$18,"")</f>
        <v>02_生販在</v>
      </c>
      <c r="L211" s="101" t="s">
        <v>2303</v>
      </c>
      <c r="M211" s="101" t="s">
        <v>1337</v>
      </c>
      <c r="N211" s="126" t="s">
        <v>1338</v>
      </c>
      <c r="O211" s="40" t="s">
        <v>1339</v>
      </c>
      <c r="P211" s="40" t="s">
        <v>1340</v>
      </c>
      <c r="Q211" s="40" t="s">
        <v>161</v>
      </c>
      <c r="R211" s="41" t="s">
        <v>1341</v>
      </c>
      <c r="S211" s="41" t="s">
        <v>139</v>
      </c>
      <c r="T211" s="41" t="s">
        <v>139</v>
      </c>
      <c r="U211" s="41" t="s">
        <v>139</v>
      </c>
      <c r="V211" s="42" t="s">
        <v>139</v>
      </c>
      <c r="W211" s="43" t="s">
        <v>117</v>
      </c>
      <c r="X211" s="41" t="s">
        <v>139</v>
      </c>
      <c r="Y211" s="41" t="s">
        <v>139</v>
      </c>
      <c r="Z211" s="41" t="s">
        <v>139</v>
      </c>
      <c r="AA211" s="41" t="s">
        <v>139</v>
      </c>
      <c r="AB211" s="44"/>
      <c r="AC211" s="45"/>
      <c r="AD211" s="45"/>
      <c r="AE211" s="46"/>
      <c r="AF211" s="45"/>
      <c r="AG211" s="45"/>
      <c r="AH211" s="45"/>
      <c r="AI211" s="3" t="s">
        <v>1583</v>
      </c>
    </row>
    <row r="212" spans="1:35">
      <c r="A212" s="144">
        <f t="shared" si="3"/>
        <v>210</v>
      </c>
      <c r="B212" s="148"/>
      <c r="C212" s="148"/>
      <c r="D212" s="148"/>
      <c r="E212" s="148"/>
      <c r="F212" s="148"/>
      <c r="G212" s="148"/>
      <c r="H212" s="148"/>
      <c r="I212" s="148"/>
      <c r="J212" s="108" t="s">
        <v>2101</v>
      </c>
      <c r="K212" s="101" t="str">
        <f>_xlfn.XLOOKUP(L212,'99_マスタ'!$D$5:$D$18,'99_マスタ'!$C$5:$C$18,"")</f>
        <v>02_生販在</v>
      </c>
      <c r="L212" s="81" t="s">
        <v>2303</v>
      </c>
      <c r="M212" s="81" t="s">
        <v>359</v>
      </c>
      <c r="N212" s="54" t="s">
        <v>139</v>
      </c>
      <c r="O212" s="41" t="s">
        <v>360</v>
      </c>
      <c r="P212" s="41"/>
      <c r="Q212" s="41" t="s">
        <v>192</v>
      </c>
      <c r="R212" s="41" t="s">
        <v>358</v>
      </c>
      <c r="S212" s="41" t="s">
        <v>139</v>
      </c>
      <c r="T212" s="41" t="s">
        <v>139</v>
      </c>
      <c r="U212" s="41" t="s">
        <v>139</v>
      </c>
      <c r="V212" s="41" t="s">
        <v>139</v>
      </c>
      <c r="W212" s="53" t="s">
        <v>2888</v>
      </c>
      <c r="X212" s="54" t="s">
        <v>139</v>
      </c>
      <c r="Y212" s="54" t="s">
        <v>139</v>
      </c>
      <c r="Z212" s="54" t="s">
        <v>139</v>
      </c>
      <c r="AA212" s="54" t="s">
        <v>139</v>
      </c>
      <c r="AB212" s="55"/>
      <c r="AC212" s="56"/>
      <c r="AD212" s="56"/>
      <c r="AE212" s="57"/>
      <c r="AF212" s="56"/>
      <c r="AG212" s="56"/>
      <c r="AH212" s="56"/>
      <c r="AI212" s="3" t="s">
        <v>1583</v>
      </c>
    </row>
    <row r="213" spans="1:35" ht="27">
      <c r="A213" s="144">
        <f t="shared" si="3"/>
        <v>211</v>
      </c>
      <c r="B213" s="148"/>
      <c r="C213" s="148"/>
      <c r="D213" s="148"/>
      <c r="E213" s="148"/>
      <c r="F213" s="148"/>
      <c r="G213" s="148"/>
      <c r="H213" s="148"/>
      <c r="I213" s="148"/>
      <c r="J213" s="98" t="s">
        <v>2101</v>
      </c>
      <c r="K213" s="101" t="str">
        <f>_xlfn.XLOOKUP(L213,'99_マスタ'!$D$5:$D$18,'99_マスタ'!$C$5:$C$18,"")</f>
        <v>02_生販在</v>
      </c>
      <c r="L213" s="101" t="s">
        <v>2303</v>
      </c>
      <c r="M213" s="101" t="s">
        <v>1292</v>
      </c>
      <c r="N213" s="126" t="s">
        <v>1293</v>
      </c>
      <c r="O213" s="40" t="s">
        <v>1294</v>
      </c>
      <c r="P213" s="40" t="s">
        <v>1295</v>
      </c>
      <c r="Q213" s="40" t="s">
        <v>161</v>
      </c>
      <c r="R213" s="41" t="s">
        <v>1296</v>
      </c>
      <c r="S213" s="41" t="s">
        <v>139</v>
      </c>
      <c r="T213" s="41" t="s">
        <v>139</v>
      </c>
      <c r="U213" s="41" t="s">
        <v>139</v>
      </c>
      <c r="V213" s="41" t="s">
        <v>139</v>
      </c>
      <c r="W213" s="43" t="s">
        <v>117</v>
      </c>
      <c r="X213" s="41" t="s">
        <v>139</v>
      </c>
      <c r="Y213" s="41" t="s">
        <v>139</v>
      </c>
      <c r="Z213" s="41" t="s">
        <v>139</v>
      </c>
      <c r="AA213" s="41" t="s">
        <v>139</v>
      </c>
      <c r="AB213" s="44"/>
      <c r="AC213" s="45"/>
      <c r="AD213" s="45"/>
      <c r="AE213" s="46"/>
      <c r="AF213" s="45"/>
      <c r="AG213" s="45"/>
      <c r="AH213" s="45"/>
      <c r="AI213" s="3" t="s">
        <v>1583</v>
      </c>
    </row>
    <row r="214" spans="1:35">
      <c r="A214" s="144">
        <f t="shared" si="3"/>
        <v>212</v>
      </c>
      <c r="B214" s="148"/>
      <c r="C214" s="148"/>
      <c r="D214" s="148"/>
      <c r="E214" s="148"/>
      <c r="F214" s="148"/>
      <c r="G214" s="148"/>
      <c r="H214" s="148"/>
      <c r="I214" s="148"/>
      <c r="J214" s="108" t="s">
        <v>2101</v>
      </c>
      <c r="K214" s="51" t="str">
        <f>_xlfn.XLOOKUP(L214,'99_マスタ'!$D$5:$D$18,'99_マスタ'!$C$5:$C$18,"")</f>
        <v>02_生販在</v>
      </c>
      <c r="L214" s="69" t="s">
        <v>2303</v>
      </c>
      <c r="M214" s="69" t="s">
        <v>2054</v>
      </c>
      <c r="N214" s="54" t="s">
        <v>1637</v>
      </c>
      <c r="O214" s="72"/>
      <c r="P214" s="72"/>
      <c r="Q214" s="41" t="s">
        <v>2056</v>
      </c>
      <c r="R214" s="41" t="s">
        <v>139</v>
      </c>
      <c r="S214" s="41" t="s">
        <v>139</v>
      </c>
      <c r="T214" s="41" t="s">
        <v>139</v>
      </c>
      <c r="U214" s="41" t="s">
        <v>139</v>
      </c>
      <c r="V214" s="42" t="s">
        <v>1891</v>
      </c>
      <c r="W214" s="53" t="s">
        <v>139</v>
      </c>
      <c r="X214" s="54" t="s">
        <v>139</v>
      </c>
      <c r="Y214" s="54" t="s">
        <v>139</v>
      </c>
      <c r="Z214" s="54" t="s">
        <v>139</v>
      </c>
      <c r="AA214" s="54" t="s">
        <v>1596</v>
      </c>
      <c r="AB214" s="55"/>
      <c r="AC214" s="56"/>
      <c r="AD214" s="56"/>
      <c r="AE214" s="57"/>
      <c r="AF214" s="56"/>
      <c r="AG214" s="56"/>
      <c r="AH214" s="56"/>
      <c r="AI214" s="3" t="s">
        <v>1583</v>
      </c>
    </row>
    <row r="215" spans="1:35">
      <c r="A215" s="144">
        <f t="shared" si="3"/>
        <v>213</v>
      </c>
      <c r="B215" s="148"/>
      <c r="C215" s="148"/>
      <c r="D215" s="148"/>
      <c r="E215" s="148"/>
      <c r="F215" s="148"/>
      <c r="G215" s="148"/>
      <c r="H215" s="148"/>
      <c r="I215" s="148"/>
      <c r="J215" s="98" t="s">
        <v>2101</v>
      </c>
      <c r="K215" s="101" t="str">
        <f>_xlfn.XLOOKUP(L215,'99_マスタ'!$D$5:$D$18,'99_マスタ'!$C$5:$C$18,"")</f>
        <v>02_生販在</v>
      </c>
      <c r="L215" s="81" t="s">
        <v>2303</v>
      </c>
      <c r="M215" s="81" t="s">
        <v>355</v>
      </c>
      <c r="N215" s="54" t="s">
        <v>139</v>
      </c>
      <c r="O215" s="41" t="s">
        <v>356</v>
      </c>
      <c r="P215" s="41" t="s">
        <v>357</v>
      </c>
      <c r="Q215" s="41" t="s">
        <v>161</v>
      </c>
      <c r="R215" s="41" t="s">
        <v>358</v>
      </c>
      <c r="S215" s="41" t="s">
        <v>2710</v>
      </c>
      <c r="T215" s="41" t="s">
        <v>139</v>
      </c>
      <c r="U215" s="41" t="s">
        <v>139</v>
      </c>
      <c r="V215" s="41" t="s">
        <v>139</v>
      </c>
      <c r="W215" s="73" t="s">
        <v>163</v>
      </c>
      <c r="X215" s="54" t="s">
        <v>1486</v>
      </c>
      <c r="Y215" s="54" t="s">
        <v>139</v>
      </c>
      <c r="Z215" s="54" t="s">
        <v>139</v>
      </c>
      <c r="AA215" s="54" t="s">
        <v>139</v>
      </c>
      <c r="AB215" s="55"/>
      <c r="AC215" s="56"/>
      <c r="AD215" s="56"/>
      <c r="AE215" s="57"/>
      <c r="AF215" s="56"/>
      <c r="AG215" s="56"/>
      <c r="AH215" s="56"/>
      <c r="AI215" s="3" t="s">
        <v>1583</v>
      </c>
    </row>
    <row r="216" spans="1:35" ht="27">
      <c r="A216" s="144">
        <f t="shared" si="3"/>
        <v>214</v>
      </c>
      <c r="B216" s="148"/>
      <c r="C216" s="148"/>
      <c r="D216" s="148"/>
      <c r="E216" s="148"/>
      <c r="F216" s="148"/>
      <c r="G216" s="148"/>
      <c r="H216" s="148"/>
      <c r="I216" s="148"/>
      <c r="J216" s="98" t="s">
        <v>2101</v>
      </c>
      <c r="K216" s="101" t="str">
        <f>_xlfn.XLOOKUP(L216,'99_マスタ'!$D$5:$D$18,'99_マスタ'!$C$5:$C$18,"")</f>
        <v>02_生販在</v>
      </c>
      <c r="L216" s="118" t="s">
        <v>2303</v>
      </c>
      <c r="M216" s="118" t="s">
        <v>921</v>
      </c>
      <c r="N216" s="126" t="s">
        <v>2933</v>
      </c>
      <c r="O216" s="40" t="s">
        <v>922</v>
      </c>
      <c r="P216" s="40" t="s">
        <v>923</v>
      </c>
      <c r="Q216" s="40" t="s">
        <v>161</v>
      </c>
      <c r="R216" s="41" t="s">
        <v>139</v>
      </c>
      <c r="S216" s="41" t="s">
        <v>924</v>
      </c>
      <c r="T216" s="41" t="s">
        <v>139</v>
      </c>
      <c r="U216" s="41" t="s">
        <v>925</v>
      </c>
      <c r="V216" s="41" t="s">
        <v>139</v>
      </c>
      <c r="W216" s="74" t="s">
        <v>139</v>
      </c>
      <c r="X216" s="41" t="s">
        <v>915</v>
      </c>
      <c r="Y216" s="41" t="s">
        <v>139</v>
      </c>
      <c r="Z216" s="41" t="s">
        <v>895</v>
      </c>
      <c r="AA216" s="41" t="s">
        <v>139</v>
      </c>
      <c r="AB216" s="44"/>
      <c r="AC216" s="45"/>
      <c r="AD216" s="45"/>
      <c r="AE216" s="46"/>
      <c r="AF216" s="45"/>
      <c r="AG216" s="45"/>
      <c r="AH216" s="45"/>
      <c r="AI216" s="3" t="s">
        <v>1583</v>
      </c>
    </row>
    <row r="217" spans="1:35">
      <c r="A217" s="144">
        <f t="shared" si="3"/>
        <v>215</v>
      </c>
      <c r="B217" s="148"/>
      <c r="C217" s="148"/>
      <c r="D217" s="148"/>
      <c r="E217" s="148"/>
      <c r="F217" s="148"/>
      <c r="G217" s="148"/>
      <c r="H217" s="148"/>
      <c r="I217" s="148"/>
      <c r="J217" s="103" t="s">
        <v>2101</v>
      </c>
      <c r="K217" s="51" t="str">
        <f>_xlfn.XLOOKUP(L217,'99_マスタ'!$D$5:$D$18,'99_マスタ'!$C$5:$C$18,"")</f>
        <v>02_生販在</v>
      </c>
      <c r="L217" s="69" t="s">
        <v>2303</v>
      </c>
      <c r="M217" s="69" t="s">
        <v>2067</v>
      </c>
      <c r="N217" s="126" t="s">
        <v>1637</v>
      </c>
      <c r="O217" s="40" t="s">
        <v>2068</v>
      </c>
      <c r="P217" s="40"/>
      <c r="Q217" s="62" t="s">
        <v>1637</v>
      </c>
      <c r="R217" s="41" t="s">
        <v>139</v>
      </c>
      <c r="S217" s="41" t="s">
        <v>139</v>
      </c>
      <c r="T217" s="41" t="s">
        <v>139</v>
      </c>
      <c r="U217" s="41" t="s">
        <v>139</v>
      </c>
      <c r="V217" s="42" t="s">
        <v>1891</v>
      </c>
      <c r="W217" s="43" t="s">
        <v>139</v>
      </c>
      <c r="X217" s="41" t="s">
        <v>139</v>
      </c>
      <c r="Y217" s="41" t="s">
        <v>139</v>
      </c>
      <c r="Z217" s="41" t="s">
        <v>139</v>
      </c>
      <c r="AA217" s="41" t="s">
        <v>1892</v>
      </c>
      <c r="AB217" s="44"/>
      <c r="AC217" s="45"/>
      <c r="AD217" s="45"/>
      <c r="AE217" s="46"/>
      <c r="AF217" s="45"/>
      <c r="AG217" s="45"/>
      <c r="AH217" s="45"/>
      <c r="AI217" s="3" t="s">
        <v>1583</v>
      </c>
    </row>
    <row r="218" spans="1:35" ht="40.5">
      <c r="A218" s="144">
        <f t="shared" si="3"/>
        <v>216</v>
      </c>
      <c r="B218" s="148"/>
      <c r="C218" s="148"/>
      <c r="D218" s="148"/>
      <c r="E218" s="148"/>
      <c r="F218" s="148"/>
      <c r="G218" s="148"/>
      <c r="H218" s="148"/>
      <c r="I218" s="148"/>
      <c r="J218" s="98" t="s">
        <v>2101</v>
      </c>
      <c r="K218" s="100" t="str">
        <f>_xlfn.XLOOKUP(L218,'99_マスタ'!$D$5:$D$18,'99_マスタ'!$C$5:$C$18,"")</f>
        <v>02_生販在</v>
      </c>
      <c r="L218" s="100" t="s">
        <v>2303</v>
      </c>
      <c r="M218" s="100" t="s">
        <v>2929</v>
      </c>
      <c r="N218" s="126" t="s">
        <v>1637</v>
      </c>
      <c r="O218" s="40" t="s">
        <v>2930</v>
      </c>
      <c r="P218" s="62" t="s">
        <v>2931</v>
      </c>
      <c r="Q218" s="40" t="s">
        <v>2932</v>
      </c>
      <c r="R218" s="41" t="s">
        <v>2928</v>
      </c>
      <c r="S218" s="41" t="s">
        <v>139</v>
      </c>
      <c r="T218" s="41" t="s">
        <v>139</v>
      </c>
      <c r="U218" s="41" t="s">
        <v>139</v>
      </c>
      <c r="V218" s="42" t="s">
        <v>139</v>
      </c>
      <c r="W218" s="43" t="s">
        <v>117</v>
      </c>
      <c r="X218" s="41" t="s">
        <v>139</v>
      </c>
      <c r="Y218" s="41" t="s">
        <v>139</v>
      </c>
      <c r="Z218" s="41" t="s">
        <v>139</v>
      </c>
      <c r="AA218" s="41" t="s">
        <v>139</v>
      </c>
      <c r="AB218" s="44"/>
      <c r="AC218" s="45"/>
      <c r="AD218" s="45"/>
      <c r="AE218" s="46"/>
      <c r="AF218" s="45"/>
      <c r="AG218" s="45"/>
      <c r="AH218" s="45"/>
      <c r="AI218" s="3" t="s">
        <v>1583</v>
      </c>
    </row>
    <row r="219" spans="1:35" ht="40.5">
      <c r="A219" s="144">
        <f t="shared" si="3"/>
        <v>217</v>
      </c>
      <c r="B219" s="148"/>
      <c r="C219" s="148"/>
      <c r="D219" s="148"/>
      <c r="E219" s="148"/>
      <c r="F219" s="148"/>
      <c r="G219" s="148"/>
      <c r="H219" s="148"/>
      <c r="I219" s="148"/>
      <c r="J219" s="98" t="s">
        <v>2101</v>
      </c>
      <c r="K219" s="100" t="str">
        <f>_xlfn.XLOOKUP(L219,'99_マスタ'!$D$5:$D$18,'99_マスタ'!$C$5:$C$18,"")</f>
        <v>02_生販在</v>
      </c>
      <c r="L219" s="100" t="s">
        <v>2303</v>
      </c>
      <c r="M219" s="100" t="s">
        <v>2925</v>
      </c>
      <c r="N219" s="126" t="s">
        <v>1637</v>
      </c>
      <c r="O219" s="40" t="s">
        <v>2926</v>
      </c>
      <c r="P219" s="62" t="s">
        <v>2927</v>
      </c>
      <c r="Q219" s="40" t="s">
        <v>1645</v>
      </c>
      <c r="R219" s="41" t="s">
        <v>2928</v>
      </c>
      <c r="S219" s="41" t="s">
        <v>139</v>
      </c>
      <c r="T219" s="41" t="s">
        <v>139</v>
      </c>
      <c r="U219" s="41" t="s">
        <v>139</v>
      </c>
      <c r="V219" s="42" t="s">
        <v>139</v>
      </c>
      <c r="W219" s="43" t="s">
        <v>117</v>
      </c>
      <c r="X219" s="41" t="s">
        <v>139</v>
      </c>
      <c r="Y219" s="41" t="s">
        <v>139</v>
      </c>
      <c r="Z219" s="41" t="s">
        <v>139</v>
      </c>
      <c r="AA219" s="41" t="s">
        <v>139</v>
      </c>
      <c r="AB219" s="44"/>
      <c r="AC219" s="45"/>
      <c r="AD219" s="45"/>
      <c r="AE219" s="46"/>
      <c r="AF219" s="45"/>
      <c r="AG219" s="45"/>
      <c r="AH219" s="45"/>
      <c r="AI219" s="3" t="s">
        <v>1583</v>
      </c>
    </row>
    <row r="220" spans="1:35" ht="40.5">
      <c r="A220" s="144">
        <f t="shared" si="3"/>
        <v>218</v>
      </c>
      <c r="B220" s="148"/>
      <c r="C220" s="148"/>
      <c r="D220" s="148"/>
      <c r="E220" s="148"/>
      <c r="F220" s="148"/>
      <c r="G220" s="148"/>
      <c r="H220" s="148"/>
      <c r="I220" s="148"/>
      <c r="J220" s="98" t="s">
        <v>2101</v>
      </c>
      <c r="K220" s="99" t="str">
        <f>_xlfn.XLOOKUP(L220,'99_マスタ'!$D$5:$D$18,'99_マスタ'!$C$5:$C$18,"")</f>
        <v>02_生販在</v>
      </c>
      <c r="L220" s="99" t="s">
        <v>2303</v>
      </c>
      <c r="M220" s="99" t="s">
        <v>1242</v>
      </c>
      <c r="N220" s="126" t="s">
        <v>1243</v>
      </c>
      <c r="O220" s="62" t="s">
        <v>1244</v>
      </c>
      <c r="P220" s="62" t="s">
        <v>1245</v>
      </c>
      <c r="Q220" s="40" t="s">
        <v>1246</v>
      </c>
      <c r="R220" s="41" t="s">
        <v>1247</v>
      </c>
      <c r="S220" s="41" t="s">
        <v>139</v>
      </c>
      <c r="T220" s="41" t="s">
        <v>139</v>
      </c>
      <c r="U220" s="41" t="s">
        <v>1248</v>
      </c>
      <c r="V220" s="42" t="s">
        <v>139</v>
      </c>
      <c r="W220" s="43" t="s">
        <v>163</v>
      </c>
      <c r="X220" s="41" t="s">
        <v>139</v>
      </c>
      <c r="Y220" s="41" t="s">
        <v>139</v>
      </c>
      <c r="Z220" s="41" t="s">
        <v>1241</v>
      </c>
      <c r="AA220" s="41" t="s">
        <v>139</v>
      </c>
      <c r="AB220" s="44"/>
      <c r="AC220" s="45"/>
      <c r="AD220" s="45"/>
      <c r="AE220" s="46"/>
      <c r="AF220" s="45"/>
      <c r="AG220" s="45"/>
      <c r="AH220" s="45"/>
      <c r="AI220" s="3" t="s">
        <v>1583</v>
      </c>
    </row>
    <row r="221" spans="1:35" ht="40.5">
      <c r="A221" s="144">
        <f t="shared" si="3"/>
        <v>219</v>
      </c>
      <c r="B221" s="148"/>
      <c r="C221" s="148"/>
      <c r="D221" s="148"/>
      <c r="E221" s="148"/>
      <c r="F221" s="148"/>
      <c r="G221" s="148"/>
      <c r="H221" s="148"/>
      <c r="I221" s="148"/>
      <c r="J221" s="98" t="s">
        <v>2101</v>
      </c>
      <c r="K221" s="118" t="str">
        <f>_xlfn.XLOOKUP(L221,'99_マスタ'!$D$5:$D$18,'99_マスタ'!$C$5:$C$18,"")</f>
        <v>02_生販在</v>
      </c>
      <c r="L221" s="118" t="s">
        <v>2303</v>
      </c>
      <c r="M221" s="118" t="s">
        <v>911</v>
      </c>
      <c r="N221" s="126" t="s">
        <v>2937</v>
      </c>
      <c r="O221" s="40" t="s">
        <v>912</v>
      </c>
      <c r="P221" s="58" t="s">
        <v>2938</v>
      </c>
      <c r="Q221" s="40" t="s">
        <v>161</v>
      </c>
      <c r="R221" s="41" t="s">
        <v>139</v>
      </c>
      <c r="S221" s="41" t="s">
        <v>913</v>
      </c>
      <c r="T221" s="41" t="s">
        <v>139</v>
      </c>
      <c r="U221" s="41" t="s">
        <v>914</v>
      </c>
      <c r="V221" s="42" t="s">
        <v>139</v>
      </c>
      <c r="W221" s="43" t="s">
        <v>139</v>
      </c>
      <c r="X221" s="41" t="s">
        <v>915</v>
      </c>
      <c r="Y221" s="41" t="s">
        <v>139</v>
      </c>
      <c r="Z221" s="41" t="s">
        <v>895</v>
      </c>
      <c r="AA221" s="41" t="s">
        <v>139</v>
      </c>
      <c r="AB221" s="44"/>
      <c r="AC221" s="45"/>
      <c r="AD221" s="45"/>
      <c r="AE221" s="46"/>
      <c r="AF221" s="45"/>
      <c r="AG221" s="45"/>
      <c r="AH221" s="45"/>
      <c r="AI221" s="3" t="s">
        <v>1583</v>
      </c>
    </row>
    <row r="222" spans="1:35" ht="40.5">
      <c r="A222" s="144">
        <f t="shared" si="3"/>
        <v>220</v>
      </c>
      <c r="B222" s="148"/>
      <c r="C222" s="148"/>
      <c r="D222" s="148"/>
      <c r="E222" s="148"/>
      <c r="F222" s="148"/>
      <c r="G222" s="148"/>
      <c r="H222" s="148"/>
      <c r="I222" s="148"/>
      <c r="J222" s="98" t="s">
        <v>2101</v>
      </c>
      <c r="K222" s="99" t="str">
        <f>_xlfn.XLOOKUP(L222,'99_マスタ'!$D$5:$D$18,'99_マスタ'!$C$5:$C$18,"")</f>
        <v>02_生販在</v>
      </c>
      <c r="L222" s="99" t="s">
        <v>2303</v>
      </c>
      <c r="M222" s="99" t="s">
        <v>3097</v>
      </c>
      <c r="N222" s="126" t="s">
        <v>1236</v>
      </c>
      <c r="O222" s="40" t="s">
        <v>1237</v>
      </c>
      <c r="P222" s="40" t="s">
        <v>1238</v>
      </c>
      <c r="Q222" s="40" t="s">
        <v>161</v>
      </c>
      <c r="R222" s="41" t="s">
        <v>1239</v>
      </c>
      <c r="S222" s="41" t="s">
        <v>139</v>
      </c>
      <c r="T222" s="41" t="s">
        <v>139</v>
      </c>
      <c r="U222" s="41" t="s">
        <v>1240</v>
      </c>
      <c r="V222" s="42" t="s">
        <v>139</v>
      </c>
      <c r="W222" s="43" t="s">
        <v>163</v>
      </c>
      <c r="X222" s="41" t="s">
        <v>139</v>
      </c>
      <c r="Y222" s="41" t="s">
        <v>139</v>
      </c>
      <c r="Z222" s="41" t="s">
        <v>1241</v>
      </c>
      <c r="AA222" s="41" t="s">
        <v>139</v>
      </c>
      <c r="AB222" s="44"/>
      <c r="AC222" s="45"/>
      <c r="AD222" s="45"/>
      <c r="AE222" s="46"/>
      <c r="AF222" s="45"/>
      <c r="AG222" s="45"/>
      <c r="AH222" s="45"/>
      <c r="AI222" s="3" t="s">
        <v>1583</v>
      </c>
    </row>
    <row r="223" spans="1:35" ht="54">
      <c r="A223" s="144">
        <f t="shared" si="3"/>
        <v>221</v>
      </c>
      <c r="B223" s="148"/>
      <c r="C223" s="148"/>
      <c r="D223" s="148"/>
      <c r="E223" s="148"/>
      <c r="F223" s="148"/>
      <c r="G223" s="148"/>
      <c r="H223" s="148"/>
      <c r="I223" s="148"/>
      <c r="J223" s="98" t="s">
        <v>2101</v>
      </c>
      <c r="K223" s="99" t="str">
        <f>_xlfn.XLOOKUP(L223,'99_マスタ'!$D$5:$D$18,'99_マスタ'!$C$5:$C$18,"")</f>
        <v>02_生販在</v>
      </c>
      <c r="L223" s="99" t="s">
        <v>2303</v>
      </c>
      <c r="M223" s="99" t="s">
        <v>1249</v>
      </c>
      <c r="N223" s="126" t="s">
        <v>3271</v>
      </c>
      <c r="O223" s="40" t="s">
        <v>1250</v>
      </c>
      <c r="P223" s="40" t="s">
        <v>1251</v>
      </c>
      <c r="Q223" s="40" t="s">
        <v>1895</v>
      </c>
      <c r="R223" s="41" t="s">
        <v>1252</v>
      </c>
      <c r="S223" s="41" t="s">
        <v>1253</v>
      </c>
      <c r="T223" s="41" t="s">
        <v>139</v>
      </c>
      <c r="U223" s="41" t="s">
        <v>1254</v>
      </c>
      <c r="V223" s="41" t="s">
        <v>139</v>
      </c>
      <c r="W223" s="43" t="s">
        <v>361</v>
      </c>
      <c r="X223" s="41" t="s">
        <v>1255</v>
      </c>
      <c r="Y223" s="41" t="s">
        <v>139</v>
      </c>
      <c r="Z223" s="41" t="s">
        <v>1256</v>
      </c>
      <c r="AA223" s="41" t="s">
        <v>139</v>
      </c>
      <c r="AB223" s="44"/>
      <c r="AC223" s="45"/>
      <c r="AD223" s="45"/>
      <c r="AE223" s="46"/>
      <c r="AF223" s="45"/>
      <c r="AG223" s="45"/>
      <c r="AH223" s="45"/>
      <c r="AI223" s="3" t="s">
        <v>1583</v>
      </c>
    </row>
    <row r="224" spans="1:35" ht="40.5">
      <c r="A224" s="144">
        <f t="shared" si="3"/>
        <v>222</v>
      </c>
      <c r="B224" s="148"/>
      <c r="C224" s="148"/>
      <c r="D224" s="148"/>
      <c r="E224" s="148"/>
      <c r="F224" s="148"/>
      <c r="G224" s="148"/>
      <c r="H224" s="148"/>
      <c r="I224" s="148"/>
      <c r="J224" s="98" t="s">
        <v>2101</v>
      </c>
      <c r="K224" s="100" t="str">
        <f>_xlfn.XLOOKUP(L224,'99_マスタ'!$D$5:$D$18,'99_マスタ'!$C$5:$C$18,"")</f>
        <v>02_生販在</v>
      </c>
      <c r="L224" s="100" t="s">
        <v>2303</v>
      </c>
      <c r="M224" s="100" t="s">
        <v>2921</v>
      </c>
      <c r="N224" s="126" t="s">
        <v>1637</v>
      </c>
      <c r="O224" s="62" t="s">
        <v>2922</v>
      </c>
      <c r="P224" s="62" t="s">
        <v>2923</v>
      </c>
      <c r="Q224" s="40" t="s">
        <v>1666</v>
      </c>
      <c r="R224" s="41" t="s">
        <v>2924</v>
      </c>
      <c r="S224" s="41" t="s">
        <v>139</v>
      </c>
      <c r="T224" s="41" t="s">
        <v>139</v>
      </c>
      <c r="U224" s="41" t="s">
        <v>139</v>
      </c>
      <c r="V224" s="41" t="s">
        <v>139</v>
      </c>
      <c r="W224" s="43" t="s">
        <v>117</v>
      </c>
      <c r="X224" s="41" t="s">
        <v>139</v>
      </c>
      <c r="Y224" s="41" t="s">
        <v>139</v>
      </c>
      <c r="Z224" s="41" t="s">
        <v>139</v>
      </c>
      <c r="AA224" s="41" t="s">
        <v>139</v>
      </c>
      <c r="AB224" s="44"/>
      <c r="AC224" s="45"/>
      <c r="AD224" s="45"/>
      <c r="AE224" s="46"/>
      <c r="AF224" s="45"/>
      <c r="AG224" s="45"/>
      <c r="AH224" s="45"/>
      <c r="AI224" s="3" t="s">
        <v>1583</v>
      </c>
    </row>
    <row r="225" spans="1:35" ht="54">
      <c r="A225" s="144">
        <f t="shared" si="3"/>
        <v>223</v>
      </c>
      <c r="B225" s="148"/>
      <c r="C225" s="148"/>
      <c r="D225" s="148"/>
      <c r="E225" s="148"/>
      <c r="F225" s="148"/>
      <c r="G225" s="148"/>
      <c r="H225" s="148"/>
      <c r="I225" s="148"/>
      <c r="J225" s="98" t="s">
        <v>2101</v>
      </c>
      <c r="K225" s="101" t="str">
        <f>_xlfn.XLOOKUP(L225,'99_マスタ'!$D$5:$D$18,'99_マスタ'!$C$5:$C$18,"")</f>
        <v>02_生販在</v>
      </c>
      <c r="L225" s="101" t="s">
        <v>2303</v>
      </c>
      <c r="M225" s="101" t="s">
        <v>1287</v>
      </c>
      <c r="N225" s="126" t="s">
        <v>1288</v>
      </c>
      <c r="O225" s="40" t="s">
        <v>1289</v>
      </c>
      <c r="P225" s="40" t="s">
        <v>1290</v>
      </c>
      <c r="Q225" s="40" t="s">
        <v>161</v>
      </c>
      <c r="R225" s="41" t="s">
        <v>1291</v>
      </c>
      <c r="S225" s="41" t="s">
        <v>139</v>
      </c>
      <c r="T225" s="41" t="s">
        <v>139</v>
      </c>
      <c r="U225" s="41" t="s">
        <v>139</v>
      </c>
      <c r="V225" s="41" t="s">
        <v>139</v>
      </c>
      <c r="W225" s="43" t="s">
        <v>117</v>
      </c>
      <c r="X225" s="41" t="s">
        <v>139</v>
      </c>
      <c r="Y225" s="41" t="s">
        <v>139</v>
      </c>
      <c r="Z225" s="41" t="s">
        <v>139</v>
      </c>
      <c r="AA225" s="41" t="s">
        <v>139</v>
      </c>
      <c r="AB225" s="44"/>
      <c r="AC225" s="45"/>
      <c r="AD225" s="45"/>
      <c r="AE225" s="46"/>
      <c r="AF225" s="45"/>
      <c r="AG225" s="45"/>
      <c r="AH225" s="45"/>
      <c r="AI225" s="3" t="s">
        <v>1583</v>
      </c>
    </row>
    <row r="226" spans="1:35" ht="40.5">
      <c r="A226" s="144">
        <f t="shared" si="3"/>
        <v>224</v>
      </c>
      <c r="B226" s="148"/>
      <c r="C226" s="148"/>
      <c r="D226" s="148"/>
      <c r="E226" s="148"/>
      <c r="F226" s="148"/>
      <c r="G226" s="148"/>
      <c r="H226" s="148"/>
      <c r="I226" s="148"/>
      <c r="J226" s="98" t="s">
        <v>2101</v>
      </c>
      <c r="K226" s="101" t="str">
        <f>_xlfn.XLOOKUP(L226,'99_マスタ'!$D$5:$D$18,'99_マスタ'!$C$5:$C$18,"")</f>
        <v>02_生販在</v>
      </c>
      <c r="L226" s="81" t="s">
        <v>2303</v>
      </c>
      <c r="M226" s="81" t="s">
        <v>350</v>
      </c>
      <c r="N226" s="54" t="s">
        <v>351</v>
      </c>
      <c r="O226" s="41" t="s">
        <v>352</v>
      </c>
      <c r="P226" s="72" t="s">
        <v>353</v>
      </c>
      <c r="Q226" s="41" t="s">
        <v>161</v>
      </c>
      <c r="R226" s="41" t="s">
        <v>354</v>
      </c>
      <c r="S226" s="41" t="s">
        <v>139</v>
      </c>
      <c r="T226" s="41" t="s">
        <v>139</v>
      </c>
      <c r="U226" s="41" t="s">
        <v>1635</v>
      </c>
      <c r="V226" s="41" t="s">
        <v>139</v>
      </c>
      <c r="W226" s="73" t="s">
        <v>114</v>
      </c>
      <c r="X226" s="54" t="s">
        <v>139</v>
      </c>
      <c r="Y226" s="54" t="s">
        <v>139</v>
      </c>
      <c r="Z226" s="54" t="s">
        <v>1635</v>
      </c>
      <c r="AA226" s="54" t="s">
        <v>139</v>
      </c>
      <c r="AB226" s="55"/>
      <c r="AC226" s="56"/>
      <c r="AD226" s="56"/>
      <c r="AE226" s="57"/>
      <c r="AF226" s="56"/>
      <c r="AG226" s="56"/>
      <c r="AH226" s="56"/>
      <c r="AI226" s="3" t="s">
        <v>1583</v>
      </c>
    </row>
    <row r="227" spans="1:35" ht="40.5">
      <c r="A227" s="144">
        <f t="shared" si="3"/>
        <v>225</v>
      </c>
      <c r="B227" s="148"/>
      <c r="C227" s="148"/>
      <c r="D227" s="148"/>
      <c r="E227" s="148"/>
      <c r="F227" s="148"/>
      <c r="G227" s="148"/>
      <c r="H227" s="148"/>
      <c r="I227" s="148"/>
      <c r="J227" s="98" t="s">
        <v>2101</v>
      </c>
      <c r="K227" s="51" t="str">
        <f>_xlfn.XLOOKUP(L227,'99_マスタ'!$D$5:$D$18,'99_マスタ'!$C$5:$C$18,"")</f>
        <v>02_生販在</v>
      </c>
      <c r="L227" s="114" t="s">
        <v>2303</v>
      </c>
      <c r="M227" s="109" t="s">
        <v>3090</v>
      </c>
      <c r="N227" s="126" t="s">
        <v>769</v>
      </c>
      <c r="O227" s="40" t="s">
        <v>3093</v>
      </c>
      <c r="P227" s="40" t="s">
        <v>3091</v>
      </c>
      <c r="Q227" s="40" t="s">
        <v>3095</v>
      </c>
      <c r="R227" s="41" t="s">
        <v>139</v>
      </c>
      <c r="S227" s="41" t="s">
        <v>770</v>
      </c>
      <c r="T227" s="41" t="s">
        <v>139</v>
      </c>
      <c r="U227" s="41" t="s">
        <v>139</v>
      </c>
      <c r="V227" s="42" t="s">
        <v>139</v>
      </c>
      <c r="W227" s="43" t="s">
        <v>139</v>
      </c>
      <c r="X227" s="41" t="s">
        <v>613</v>
      </c>
      <c r="Y227" s="41" t="s">
        <v>139</v>
      </c>
      <c r="Z227" s="41" t="s">
        <v>139</v>
      </c>
      <c r="AA227" s="41" t="s">
        <v>139</v>
      </c>
      <c r="AB227" s="44"/>
      <c r="AC227" s="45"/>
      <c r="AD227" s="45"/>
      <c r="AE227" s="46"/>
      <c r="AF227" s="45"/>
      <c r="AG227" s="45"/>
      <c r="AH227" s="45"/>
      <c r="AI227" s="3" t="s">
        <v>1583</v>
      </c>
    </row>
    <row r="228" spans="1:35" ht="40.5">
      <c r="A228" s="144">
        <f t="shared" si="3"/>
        <v>226</v>
      </c>
      <c r="B228" s="148"/>
      <c r="C228" s="148"/>
      <c r="D228" s="148"/>
      <c r="E228" s="148"/>
      <c r="F228" s="148"/>
      <c r="G228" s="148"/>
      <c r="H228" s="148"/>
      <c r="I228" s="148"/>
      <c r="J228" s="98" t="s">
        <v>2101</v>
      </c>
      <c r="K228" s="51" t="str">
        <f>_xlfn.XLOOKUP(L228,'99_マスタ'!$D$5:$D$18,'99_マスタ'!$C$5:$C$18,"")</f>
        <v>02_生販在</v>
      </c>
      <c r="L228" s="114" t="s">
        <v>2303</v>
      </c>
      <c r="M228" s="109" t="s">
        <v>3092</v>
      </c>
      <c r="N228" s="126" t="s">
        <v>769</v>
      </c>
      <c r="O228" s="40" t="s">
        <v>3094</v>
      </c>
      <c r="P228" s="40"/>
      <c r="Q228" s="40" t="s">
        <v>3096</v>
      </c>
      <c r="R228" s="41" t="s">
        <v>139</v>
      </c>
      <c r="S228" s="41" t="s">
        <v>770</v>
      </c>
      <c r="T228" s="41" t="s">
        <v>139</v>
      </c>
      <c r="U228" s="41" t="s">
        <v>139</v>
      </c>
      <c r="V228" s="42" t="s">
        <v>139</v>
      </c>
      <c r="W228" s="43" t="s">
        <v>139</v>
      </c>
      <c r="X228" s="41" t="s">
        <v>613</v>
      </c>
      <c r="Y228" s="41" t="s">
        <v>139</v>
      </c>
      <c r="Z228" s="41" t="s">
        <v>139</v>
      </c>
      <c r="AA228" s="41" t="s">
        <v>139</v>
      </c>
      <c r="AB228" s="44"/>
      <c r="AC228" s="45"/>
      <c r="AD228" s="45"/>
      <c r="AE228" s="46"/>
      <c r="AF228" s="45"/>
      <c r="AG228" s="45"/>
      <c r="AH228" s="45"/>
      <c r="AI228" s="3" t="s">
        <v>1583</v>
      </c>
    </row>
    <row r="229" spans="1:35" ht="27">
      <c r="A229" s="144">
        <f t="shared" si="3"/>
        <v>227</v>
      </c>
      <c r="B229" s="148"/>
      <c r="C229" s="148"/>
      <c r="D229" s="148"/>
      <c r="E229" s="148"/>
      <c r="F229" s="148"/>
      <c r="G229" s="148"/>
      <c r="H229" s="148"/>
      <c r="I229" s="148"/>
      <c r="J229" s="98" t="s">
        <v>2101</v>
      </c>
      <c r="K229" s="101" t="str">
        <f>_xlfn.XLOOKUP(L229,'99_マスタ'!$D$5:$D$18,'99_マスタ'!$C$5:$C$18,"")</f>
        <v>02_生販在</v>
      </c>
      <c r="L229" s="111" t="s">
        <v>2303</v>
      </c>
      <c r="M229" s="111" t="s">
        <v>2944</v>
      </c>
      <c r="N229" s="126" t="s">
        <v>1637</v>
      </c>
      <c r="O229" s="40" t="s">
        <v>2945</v>
      </c>
      <c r="P229" s="40" t="s">
        <v>2946</v>
      </c>
      <c r="Q229" s="40" t="s">
        <v>2947</v>
      </c>
      <c r="R229" s="41" t="s">
        <v>2948</v>
      </c>
      <c r="S229" s="41" t="s">
        <v>139</v>
      </c>
      <c r="T229" s="41" t="s">
        <v>139</v>
      </c>
      <c r="U229" s="41" t="s">
        <v>139</v>
      </c>
      <c r="V229" s="42" t="s">
        <v>139</v>
      </c>
      <c r="W229" s="43" t="s">
        <v>2935</v>
      </c>
      <c r="X229" s="41" t="s">
        <v>139</v>
      </c>
      <c r="Y229" s="41" t="s">
        <v>139</v>
      </c>
      <c r="Z229" s="41" t="s">
        <v>139</v>
      </c>
      <c r="AA229" s="41" t="s">
        <v>139</v>
      </c>
      <c r="AB229" s="44"/>
      <c r="AC229" s="45"/>
      <c r="AD229" s="45"/>
      <c r="AE229" s="46"/>
      <c r="AF229" s="45"/>
      <c r="AG229" s="45"/>
      <c r="AH229" s="45"/>
      <c r="AI229" s="3" t="s">
        <v>1583</v>
      </c>
    </row>
    <row r="230" spans="1:35" ht="40.5">
      <c r="A230" s="144">
        <f t="shared" si="3"/>
        <v>228</v>
      </c>
      <c r="B230" s="148"/>
      <c r="C230" s="148"/>
      <c r="D230" s="148"/>
      <c r="E230" s="148"/>
      <c r="F230" s="148"/>
      <c r="G230" s="148"/>
      <c r="H230" s="148"/>
      <c r="I230" s="148"/>
      <c r="J230" s="98" t="s">
        <v>2101</v>
      </c>
      <c r="K230" s="101" t="str">
        <f>_xlfn.XLOOKUP(L230,'99_マスタ'!$D$5:$D$18,'99_マスタ'!$C$5:$C$18,"")</f>
        <v>02_生販在</v>
      </c>
      <c r="L230" s="111" t="s">
        <v>2303</v>
      </c>
      <c r="M230" s="111" t="s">
        <v>2950</v>
      </c>
      <c r="N230" s="126" t="s">
        <v>1637</v>
      </c>
      <c r="O230" s="40" t="s">
        <v>2949</v>
      </c>
      <c r="P230" s="40" t="s">
        <v>2951</v>
      </c>
      <c r="Q230" s="40" t="s">
        <v>2952</v>
      </c>
      <c r="R230" s="41" t="s">
        <v>2948</v>
      </c>
      <c r="S230" s="41" t="s">
        <v>139</v>
      </c>
      <c r="T230" s="41" t="s">
        <v>139</v>
      </c>
      <c r="U230" s="41" t="s">
        <v>139</v>
      </c>
      <c r="V230" s="41" t="s">
        <v>139</v>
      </c>
      <c r="W230" s="74" t="s">
        <v>2935</v>
      </c>
      <c r="X230" s="41" t="s">
        <v>139</v>
      </c>
      <c r="Y230" s="41" t="s">
        <v>139</v>
      </c>
      <c r="Z230" s="41" t="s">
        <v>139</v>
      </c>
      <c r="AA230" s="41" t="s">
        <v>139</v>
      </c>
      <c r="AB230" s="44"/>
      <c r="AC230" s="45"/>
      <c r="AD230" s="45"/>
      <c r="AE230" s="46"/>
      <c r="AF230" s="45"/>
      <c r="AG230" s="45"/>
      <c r="AH230" s="45"/>
      <c r="AI230" s="3" t="s">
        <v>1583</v>
      </c>
    </row>
    <row r="231" spans="1:35" ht="40.5">
      <c r="A231" s="144">
        <f t="shared" si="3"/>
        <v>229</v>
      </c>
      <c r="B231" s="148"/>
      <c r="C231" s="148"/>
      <c r="D231" s="148"/>
      <c r="E231" s="148"/>
      <c r="F231" s="148"/>
      <c r="G231" s="148"/>
      <c r="H231" s="148"/>
      <c r="I231" s="148"/>
      <c r="J231" s="98" t="s">
        <v>2101</v>
      </c>
      <c r="K231" s="101" t="str">
        <f>_xlfn.XLOOKUP(L231,'99_マスタ'!$D$5:$D$18,'99_マスタ'!$C$5:$C$18,"")</f>
        <v>02_生販在</v>
      </c>
      <c r="L231" s="111" t="s">
        <v>2303</v>
      </c>
      <c r="M231" s="111" t="s">
        <v>2939</v>
      </c>
      <c r="N231" s="126" t="s">
        <v>1637</v>
      </c>
      <c r="O231" s="40" t="s">
        <v>2940</v>
      </c>
      <c r="P231" s="40"/>
      <c r="Q231" s="40" t="s">
        <v>2941</v>
      </c>
      <c r="R231" s="41" t="s">
        <v>2948</v>
      </c>
      <c r="S231" s="41" t="s">
        <v>139</v>
      </c>
      <c r="T231" s="41" t="s">
        <v>139</v>
      </c>
      <c r="U231" s="41" t="s">
        <v>139</v>
      </c>
      <c r="V231" s="42" t="s">
        <v>139</v>
      </c>
      <c r="W231" s="43" t="s">
        <v>2935</v>
      </c>
      <c r="X231" s="41" t="s">
        <v>139</v>
      </c>
      <c r="Y231" s="41" t="s">
        <v>139</v>
      </c>
      <c r="Z231" s="41" t="s">
        <v>139</v>
      </c>
      <c r="AA231" s="41" t="s">
        <v>139</v>
      </c>
      <c r="AB231" s="44"/>
      <c r="AC231" s="45"/>
      <c r="AD231" s="45"/>
      <c r="AE231" s="46"/>
      <c r="AF231" s="45"/>
      <c r="AG231" s="45"/>
      <c r="AH231" s="45"/>
      <c r="AI231" s="3" t="s">
        <v>1583</v>
      </c>
    </row>
    <row r="232" spans="1:35" ht="40.5">
      <c r="A232" s="144">
        <f t="shared" si="3"/>
        <v>230</v>
      </c>
      <c r="B232" s="148"/>
      <c r="C232" s="148"/>
      <c r="D232" s="148"/>
      <c r="E232" s="148"/>
      <c r="F232" s="148"/>
      <c r="G232" s="148"/>
      <c r="H232" s="148"/>
      <c r="I232" s="148"/>
      <c r="J232" s="98" t="s">
        <v>2101</v>
      </c>
      <c r="K232" s="101" t="str">
        <f>_xlfn.XLOOKUP(L232,'99_マスタ'!$D$5:$D$18,'99_マスタ'!$C$5:$C$18,"")</f>
        <v>02_生販在</v>
      </c>
      <c r="L232" s="111" t="s">
        <v>2303</v>
      </c>
      <c r="M232" s="111" t="s">
        <v>2953</v>
      </c>
      <c r="N232" s="126" t="s">
        <v>1637</v>
      </c>
      <c r="O232" s="40" t="s">
        <v>2954</v>
      </c>
      <c r="P232" s="40"/>
      <c r="Q232" s="40" t="s">
        <v>1645</v>
      </c>
      <c r="R232" s="41" t="s">
        <v>2948</v>
      </c>
      <c r="S232" s="41" t="s">
        <v>139</v>
      </c>
      <c r="T232" s="41" t="s">
        <v>139</v>
      </c>
      <c r="U232" s="41" t="s">
        <v>139</v>
      </c>
      <c r="V232" s="42" t="s">
        <v>139</v>
      </c>
      <c r="W232" s="43" t="s">
        <v>2935</v>
      </c>
      <c r="X232" s="41" t="s">
        <v>139</v>
      </c>
      <c r="Y232" s="41" t="s">
        <v>139</v>
      </c>
      <c r="Z232" s="41" t="s">
        <v>139</v>
      </c>
      <c r="AA232" s="41" t="s">
        <v>139</v>
      </c>
      <c r="AB232" s="44"/>
      <c r="AC232" s="45"/>
      <c r="AD232" s="45"/>
      <c r="AE232" s="46"/>
      <c r="AF232" s="45"/>
      <c r="AG232" s="45"/>
      <c r="AH232" s="45"/>
      <c r="AI232" s="3" t="s">
        <v>1583</v>
      </c>
    </row>
    <row r="233" spans="1:35" ht="27">
      <c r="A233" s="144">
        <f t="shared" si="3"/>
        <v>231</v>
      </c>
      <c r="B233" s="148"/>
      <c r="C233" s="148"/>
      <c r="D233" s="148"/>
      <c r="E233" s="148"/>
      <c r="F233" s="148"/>
      <c r="G233" s="148"/>
      <c r="H233" s="148"/>
      <c r="I233" s="148"/>
      <c r="J233" s="98" t="s">
        <v>2101</v>
      </c>
      <c r="K233" s="101" t="str">
        <f>_xlfn.XLOOKUP(L233,'99_マスタ'!$D$5:$D$18,'99_マスタ'!$C$5:$C$18,"")</f>
        <v>02_生販在</v>
      </c>
      <c r="L233" s="111" t="s">
        <v>2303</v>
      </c>
      <c r="M233" s="111" t="s">
        <v>2942</v>
      </c>
      <c r="N233" s="126" t="s">
        <v>1637</v>
      </c>
      <c r="O233" s="40" t="s">
        <v>2943</v>
      </c>
      <c r="P233" s="40"/>
      <c r="Q233" s="40" t="s">
        <v>2941</v>
      </c>
      <c r="R233" s="41" t="s">
        <v>2948</v>
      </c>
      <c r="S233" s="41" t="s">
        <v>139</v>
      </c>
      <c r="T233" s="41" t="s">
        <v>139</v>
      </c>
      <c r="U233" s="41" t="s">
        <v>139</v>
      </c>
      <c r="V233" s="41" t="s">
        <v>139</v>
      </c>
      <c r="W233" s="43" t="s">
        <v>2935</v>
      </c>
      <c r="X233" s="41" t="s">
        <v>139</v>
      </c>
      <c r="Y233" s="41" t="s">
        <v>139</v>
      </c>
      <c r="Z233" s="41" t="s">
        <v>139</v>
      </c>
      <c r="AA233" s="41" t="s">
        <v>139</v>
      </c>
      <c r="AB233" s="44"/>
      <c r="AC233" s="45"/>
      <c r="AD233" s="45"/>
      <c r="AE233" s="46"/>
      <c r="AF233" s="45"/>
      <c r="AG233" s="45"/>
      <c r="AH233" s="45"/>
      <c r="AI233" s="3" t="s">
        <v>1583</v>
      </c>
    </row>
    <row r="234" spans="1:35" ht="67.5">
      <c r="A234" s="144">
        <f t="shared" si="3"/>
        <v>232</v>
      </c>
      <c r="B234" s="148"/>
      <c r="C234" s="148"/>
      <c r="D234" s="148"/>
      <c r="E234" s="148"/>
      <c r="F234" s="148"/>
      <c r="G234" s="148"/>
      <c r="H234" s="148"/>
      <c r="I234" s="148"/>
      <c r="J234" s="98" t="s">
        <v>2101</v>
      </c>
      <c r="K234" s="102" t="str">
        <f>_xlfn.XLOOKUP(L234,'99_マスタ'!$D$5:$D$18,'99_マスタ'!$C$5:$C$18,"")</f>
        <v>02_生販在</v>
      </c>
      <c r="L234" s="102" t="s">
        <v>2303</v>
      </c>
      <c r="M234" s="102" t="s">
        <v>2973</v>
      </c>
      <c r="N234" s="126" t="s">
        <v>1637</v>
      </c>
      <c r="O234" s="40" t="s">
        <v>2974</v>
      </c>
      <c r="P234" s="61"/>
      <c r="Q234" s="40" t="s">
        <v>2941</v>
      </c>
      <c r="R234" s="41" t="s">
        <v>2968</v>
      </c>
      <c r="S234" s="41" t="s">
        <v>139</v>
      </c>
      <c r="T234" s="41" t="s">
        <v>139</v>
      </c>
      <c r="U234" s="41" t="s">
        <v>139</v>
      </c>
      <c r="V234" s="41" t="s">
        <v>139</v>
      </c>
      <c r="W234" s="43" t="s">
        <v>2935</v>
      </c>
      <c r="X234" s="41" t="s">
        <v>139</v>
      </c>
      <c r="Y234" s="41" t="s">
        <v>139</v>
      </c>
      <c r="Z234" s="41" t="s">
        <v>139</v>
      </c>
      <c r="AA234" s="41" t="s">
        <v>139</v>
      </c>
      <c r="AB234" s="44"/>
      <c r="AC234" s="45"/>
      <c r="AD234" s="45"/>
      <c r="AE234" s="46"/>
      <c r="AF234" s="45"/>
      <c r="AG234" s="45"/>
      <c r="AH234" s="45"/>
      <c r="AI234" s="3" t="s">
        <v>1583</v>
      </c>
    </row>
    <row r="235" spans="1:35" ht="27">
      <c r="A235" s="144">
        <f t="shared" si="3"/>
        <v>233</v>
      </c>
      <c r="B235" s="148"/>
      <c r="C235" s="148"/>
      <c r="D235" s="148"/>
      <c r="E235" s="148"/>
      <c r="F235" s="148"/>
      <c r="G235" s="148"/>
      <c r="H235" s="148"/>
      <c r="I235" s="148"/>
      <c r="J235" s="98" t="s">
        <v>2101</v>
      </c>
      <c r="K235" s="101" t="str">
        <f>_xlfn.XLOOKUP(L235,'99_マスタ'!$D$5:$D$18,'99_マスタ'!$C$5:$C$18,"")</f>
        <v>02_生販在</v>
      </c>
      <c r="L235" s="101" t="s">
        <v>2303</v>
      </c>
      <c r="M235" s="101" t="s">
        <v>3267</v>
      </c>
      <c r="N235" s="126" t="s">
        <v>1282</v>
      </c>
      <c r="O235" s="40" t="s">
        <v>1283</v>
      </c>
      <c r="P235" s="40" t="s">
        <v>3101</v>
      </c>
      <c r="Q235" s="40" t="s">
        <v>1140</v>
      </c>
      <c r="R235" s="41" t="s">
        <v>1284</v>
      </c>
      <c r="S235" s="41" t="s">
        <v>139</v>
      </c>
      <c r="T235" s="41" t="s">
        <v>139</v>
      </c>
      <c r="U235" s="41" t="s">
        <v>139</v>
      </c>
      <c r="V235" s="42" t="s">
        <v>139</v>
      </c>
      <c r="W235" s="43" t="s">
        <v>117</v>
      </c>
      <c r="X235" s="41" t="s">
        <v>139</v>
      </c>
      <c r="Y235" s="41" t="s">
        <v>139</v>
      </c>
      <c r="Z235" s="41" t="s">
        <v>139</v>
      </c>
      <c r="AA235" s="41" t="s">
        <v>139</v>
      </c>
      <c r="AB235" s="44"/>
      <c r="AC235" s="45"/>
      <c r="AD235" s="45"/>
      <c r="AE235" s="46"/>
      <c r="AF235" s="45"/>
      <c r="AG235" s="45"/>
      <c r="AH235" s="45"/>
      <c r="AI235" s="3" t="s">
        <v>1583</v>
      </c>
    </row>
    <row r="236" spans="1:35" ht="27">
      <c r="A236" s="144">
        <f t="shared" si="3"/>
        <v>234</v>
      </c>
      <c r="B236" s="148"/>
      <c r="C236" s="148"/>
      <c r="D236" s="148"/>
      <c r="E236" s="148"/>
      <c r="F236" s="148"/>
      <c r="G236" s="148"/>
      <c r="H236" s="148"/>
      <c r="I236" s="148"/>
      <c r="J236" s="98" t="s">
        <v>2101</v>
      </c>
      <c r="K236" s="101" t="str">
        <f>_xlfn.XLOOKUP(L236,'99_マスタ'!$D$5:$D$18,'99_マスタ'!$C$5:$C$18,"")</f>
        <v>02_生販在</v>
      </c>
      <c r="L236" s="81" t="s">
        <v>2303</v>
      </c>
      <c r="M236" s="81" t="s">
        <v>3106</v>
      </c>
      <c r="N236" s="54" t="s">
        <v>3107</v>
      </c>
      <c r="O236" s="41" t="s">
        <v>341</v>
      </c>
      <c r="P236" s="41" t="s">
        <v>342</v>
      </c>
      <c r="Q236" s="41" t="s">
        <v>266</v>
      </c>
      <c r="R236" s="41" t="s">
        <v>343</v>
      </c>
      <c r="S236" s="41" t="s">
        <v>139</v>
      </c>
      <c r="T236" s="41" t="s">
        <v>139</v>
      </c>
      <c r="U236" s="41" t="s">
        <v>139</v>
      </c>
      <c r="V236" s="41" t="s">
        <v>139</v>
      </c>
      <c r="W236" s="53" t="s">
        <v>117</v>
      </c>
      <c r="X236" s="54" t="s">
        <v>139</v>
      </c>
      <c r="Y236" s="54" t="s">
        <v>139</v>
      </c>
      <c r="Z236" s="54" t="s">
        <v>139</v>
      </c>
      <c r="AA236" s="54" t="s">
        <v>139</v>
      </c>
      <c r="AB236" s="55"/>
      <c r="AC236" s="56"/>
      <c r="AD236" s="56"/>
      <c r="AE236" s="57"/>
      <c r="AF236" s="56"/>
      <c r="AG236" s="56"/>
      <c r="AH236" s="56"/>
      <c r="AI236" s="3" t="s">
        <v>1583</v>
      </c>
    </row>
    <row r="237" spans="1:35" ht="27">
      <c r="A237" s="144">
        <f t="shared" si="3"/>
        <v>235</v>
      </c>
      <c r="B237" s="148"/>
      <c r="C237" s="148"/>
      <c r="D237" s="148"/>
      <c r="E237" s="148"/>
      <c r="F237" s="148"/>
      <c r="G237" s="148"/>
      <c r="H237" s="148"/>
      <c r="I237" s="148"/>
      <c r="J237" s="98" t="s">
        <v>2101</v>
      </c>
      <c r="K237" s="65" t="str">
        <f>_xlfn.XLOOKUP(L237,'99_マスタ'!$D$5:$D$18,'99_マスタ'!$C$5:$C$18,"")</f>
        <v>02_生販在</v>
      </c>
      <c r="L237" s="101" t="s">
        <v>2303</v>
      </c>
      <c r="M237" s="81" t="s">
        <v>1890</v>
      </c>
      <c r="N237" s="54" t="s">
        <v>338</v>
      </c>
      <c r="O237" s="41" t="s">
        <v>1893</v>
      </c>
      <c r="P237" s="41"/>
      <c r="Q237" s="41" t="s">
        <v>3066</v>
      </c>
      <c r="R237" s="41" t="s">
        <v>339</v>
      </c>
      <c r="S237" s="41" t="s">
        <v>139</v>
      </c>
      <c r="T237" s="41" t="s">
        <v>139</v>
      </c>
      <c r="U237" s="41" t="s">
        <v>340</v>
      </c>
      <c r="V237" s="41" t="s">
        <v>139</v>
      </c>
      <c r="W237" s="53" t="s">
        <v>133</v>
      </c>
      <c r="X237" s="54" t="s">
        <v>139</v>
      </c>
      <c r="Y237" s="54" t="s">
        <v>139</v>
      </c>
      <c r="Z237" s="54" t="s">
        <v>324</v>
      </c>
      <c r="AA237" s="54" t="s">
        <v>139</v>
      </c>
      <c r="AB237" s="55"/>
      <c r="AC237" s="56"/>
      <c r="AD237" s="56"/>
      <c r="AE237" s="57"/>
      <c r="AF237" s="56"/>
      <c r="AG237" s="56"/>
      <c r="AH237" s="56"/>
      <c r="AI237" s="3" t="s">
        <v>1583</v>
      </c>
    </row>
    <row r="238" spans="1:35" ht="40.5">
      <c r="A238" s="144">
        <f t="shared" si="3"/>
        <v>236</v>
      </c>
      <c r="B238" s="148"/>
      <c r="C238" s="148"/>
      <c r="D238" s="148"/>
      <c r="E238" s="148"/>
      <c r="F238" s="148"/>
      <c r="G238" s="148"/>
      <c r="H238" s="148"/>
      <c r="I238" s="148"/>
      <c r="J238" s="98" t="s">
        <v>2101</v>
      </c>
      <c r="K238" s="101" t="str">
        <f>_xlfn.XLOOKUP(L238,'99_マスタ'!$D$5:$D$18,'99_マスタ'!$C$5:$C$18,"")</f>
        <v>02_生販在</v>
      </c>
      <c r="L238" s="81" t="s">
        <v>2303</v>
      </c>
      <c r="M238" s="81" t="s">
        <v>344</v>
      </c>
      <c r="N238" s="54" t="s">
        <v>139</v>
      </c>
      <c r="O238" s="41" t="s">
        <v>345</v>
      </c>
      <c r="P238" s="41" t="s">
        <v>346</v>
      </c>
      <c r="Q238" s="41" t="s">
        <v>161</v>
      </c>
      <c r="R238" s="41" t="s">
        <v>347</v>
      </c>
      <c r="S238" s="41" t="s">
        <v>139</v>
      </c>
      <c r="T238" s="41" t="s">
        <v>139</v>
      </c>
      <c r="U238" s="41" t="s">
        <v>348</v>
      </c>
      <c r="V238" s="41" t="s">
        <v>139</v>
      </c>
      <c r="W238" s="53" t="s">
        <v>117</v>
      </c>
      <c r="X238" s="54" t="s">
        <v>139</v>
      </c>
      <c r="Y238" s="54" t="s">
        <v>139</v>
      </c>
      <c r="Z238" s="54" t="s">
        <v>349</v>
      </c>
      <c r="AA238" s="54" t="s">
        <v>139</v>
      </c>
      <c r="AB238" s="55"/>
      <c r="AC238" s="56"/>
      <c r="AD238" s="56"/>
      <c r="AE238" s="57"/>
      <c r="AF238" s="56"/>
      <c r="AG238" s="56"/>
      <c r="AH238" s="56"/>
      <c r="AI238" s="3" t="s">
        <v>1583</v>
      </c>
    </row>
    <row r="239" spans="1:35" ht="27">
      <c r="A239" s="144">
        <f t="shared" si="3"/>
        <v>237</v>
      </c>
      <c r="B239" s="148"/>
      <c r="C239" s="148"/>
      <c r="D239" s="148"/>
      <c r="E239" s="148"/>
      <c r="F239" s="148"/>
      <c r="G239" s="148"/>
      <c r="H239" s="148"/>
      <c r="I239" s="148"/>
      <c r="J239" s="98" t="s">
        <v>2101</v>
      </c>
      <c r="K239" s="101" t="str">
        <f>_xlfn.XLOOKUP(L239,'99_マスタ'!$D$5:$D$18,'99_マスタ'!$C$5:$C$18,"")</f>
        <v>02_生販在</v>
      </c>
      <c r="L239" s="85" t="s">
        <v>2303</v>
      </c>
      <c r="M239" s="85" t="s">
        <v>288</v>
      </c>
      <c r="N239" s="54" t="s">
        <v>139</v>
      </c>
      <c r="O239" s="41" t="s">
        <v>289</v>
      </c>
      <c r="P239" s="41"/>
      <c r="Q239" s="41" t="s">
        <v>284</v>
      </c>
      <c r="R239" s="41" t="s">
        <v>290</v>
      </c>
      <c r="S239" s="41" t="s">
        <v>139</v>
      </c>
      <c r="T239" s="41" t="s">
        <v>139</v>
      </c>
      <c r="U239" s="41" t="s">
        <v>291</v>
      </c>
      <c r="V239" s="41" t="s">
        <v>139</v>
      </c>
      <c r="W239" s="53" t="s">
        <v>133</v>
      </c>
      <c r="X239" s="54" t="s">
        <v>139</v>
      </c>
      <c r="Y239" s="54" t="s">
        <v>139</v>
      </c>
      <c r="Z239" s="54" t="s">
        <v>292</v>
      </c>
      <c r="AA239" s="54" t="s">
        <v>139</v>
      </c>
      <c r="AB239" s="55"/>
      <c r="AC239" s="56"/>
      <c r="AD239" s="56"/>
      <c r="AE239" s="57"/>
      <c r="AF239" s="56"/>
      <c r="AG239" s="56"/>
      <c r="AH239" s="56"/>
      <c r="AI239" s="3" t="s">
        <v>1583</v>
      </c>
    </row>
    <row r="240" spans="1:35" ht="40.5">
      <c r="A240" s="144">
        <f t="shared" si="3"/>
        <v>238</v>
      </c>
      <c r="B240" s="148"/>
      <c r="C240" s="148"/>
      <c r="D240" s="148"/>
      <c r="E240" s="148"/>
      <c r="F240" s="148"/>
      <c r="G240" s="148"/>
      <c r="H240" s="148"/>
      <c r="I240" s="148"/>
      <c r="J240" s="98" t="s">
        <v>2101</v>
      </c>
      <c r="K240" s="101" t="str">
        <f>_xlfn.XLOOKUP(L240,'99_マスタ'!$D$5:$D$18,'99_マスタ'!$C$5:$C$18,"")</f>
        <v>02_生販在</v>
      </c>
      <c r="L240" s="118" t="s">
        <v>2303</v>
      </c>
      <c r="M240" s="118" t="s">
        <v>916</v>
      </c>
      <c r="N240" s="126" t="s">
        <v>139</v>
      </c>
      <c r="O240" s="40" t="s">
        <v>917</v>
      </c>
      <c r="P240" s="40" t="s">
        <v>918</v>
      </c>
      <c r="Q240" s="40" t="s">
        <v>919</v>
      </c>
      <c r="R240" s="41" t="s">
        <v>139</v>
      </c>
      <c r="S240" s="41" t="s">
        <v>2996</v>
      </c>
      <c r="T240" s="41" t="s">
        <v>139</v>
      </c>
      <c r="U240" s="41" t="s">
        <v>920</v>
      </c>
      <c r="V240" s="41" t="s">
        <v>139</v>
      </c>
      <c r="W240" s="43" t="s">
        <v>139</v>
      </c>
      <c r="X240" s="41" t="s">
        <v>2997</v>
      </c>
      <c r="Y240" s="41" t="s">
        <v>139</v>
      </c>
      <c r="Z240" s="41" t="s">
        <v>1636</v>
      </c>
      <c r="AA240" s="41" t="s">
        <v>139</v>
      </c>
      <c r="AB240" s="44"/>
      <c r="AC240" s="45"/>
      <c r="AD240" s="45"/>
      <c r="AE240" s="46"/>
      <c r="AF240" s="45"/>
      <c r="AG240" s="45"/>
      <c r="AH240" s="45"/>
      <c r="AI240" s="3" t="s">
        <v>1583</v>
      </c>
    </row>
    <row r="241" spans="1:35">
      <c r="A241" s="144">
        <f t="shared" si="3"/>
        <v>239</v>
      </c>
      <c r="B241" s="148"/>
      <c r="C241" s="148"/>
      <c r="D241" s="148"/>
      <c r="E241" s="148"/>
      <c r="F241" s="148"/>
      <c r="G241" s="148"/>
      <c r="H241" s="148"/>
      <c r="I241" s="148"/>
      <c r="J241" s="98" t="s">
        <v>2101</v>
      </c>
      <c r="K241" s="101" t="str">
        <f>_xlfn.XLOOKUP(L241,'99_マスタ'!$D$5:$D$18,'99_マスタ'!$C$5:$C$18,"")</f>
        <v>02_生販在</v>
      </c>
      <c r="L241" s="64" t="s">
        <v>2303</v>
      </c>
      <c r="M241" s="64" t="s">
        <v>3286</v>
      </c>
      <c r="N241" s="54" t="s">
        <v>3285</v>
      </c>
      <c r="O241" s="41" t="s">
        <v>276</v>
      </c>
      <c r="P241" s="41" t="s">
        <v>277</v>
      </c>
      <c r="Q241" s="41" t="s">
        <v>192</v>
      </c>
      <c r="R241" s="41" t="s">
        <v>275</v>
      </c>
      <c r="S241" s="41" t="s">
        <v>139</v>
      </c>
      <c r="T241" s="41" t="s">
        <v>139</v>
      </c>
      <c r="U241" s="41" t="s">
        <v>139</v>
      </c>
      <c r="V241" s="42" t="s">
        <v>139</v>
      </c>
      <c r="W241" s="53" t="s">
        <v>218</v>
      </c>
      <c r="X241" s="54" t="s">
        <v>139</v>
      </c>
      <c r="Y241" s="54" t="s">
        <v>139</v>
      </c>
      <c r="Z241" s="54" t="s">
        <v>139</v>
      </c>
      <c r="AA241" s="54" t="s">
        <v>139</v>
      </c>
      <c r="AB241" s="55"/>
      <c r="AC241" s="56"/>
      <c r="AD241" s="56"/>
      <c r="AE241" s="57"/>
      <c r="AF241" s="56"/>
      <c r="AG241" s="56"/>
      <c r="AH241" s="56"/>
      <c r="AI241" s="3" t="s">
        <v>1583</v>
      </c>
    </row>
    <row r="242" spans="1:35">
      <c r="A242" s="144">
        <f t="shared" si="3"/>
        <v>240</v>
      </c>
      <c r="B242" s="148"/>
      <c r="C242" s="148"/>
      <c r="D242" s="148"/>
      <c r="E242" s="148"/>
      <c r="F242" s="148"/>
      <c r="G242" s="148"/>
      <c r="H242" s="148"/>
      <c r="I242" s="148"/>
      <c r="J242" s="98" t="s">
        <v>2101</v>
      </c>
      <c r="K242" s="69" t="str">
        <f>_xlfn.XLOOKUP(L242,'99_マスタ'!$D$5:$D$18,'99_マスタ'!$C$5:$C$18,"")</f>
        <v>02_生販在</v>
      </c>
      <c r="L242" s="69" t="s">
        <v>2303</v>
      </c>
      <c r="M242" s="69" t="s">
        <v>2073</v>
      </c>
      <c r="N242" s="127" t="s">
        <v>1637</v>
      </c>
      <c r="O242" s="70" t="s">
        <v>2089</v>
      </c>
      <c r="P242" s="40"/>
      <c r="Q242" s="40" t="s">
        <v>2023</v>
      </c>
      <c r="R242" s="48" t="s">
        <v>139</v>
      </c>
      <c r="S242" s="48" t="s">
        <v>139</v>
      </c>
      <c r="T242" s="48" t="s">
        <v>139</v>
      </c>
      <c r="U242" s="48" t="s">
        <v>139</v>
      </c>
      <c r="V242" s="42" t="s">
        <v>1891</v>
      </c>
      <c r="W242" s="50" t="s">
        <v>139</v>
      </c>
      <c r="X242" s="48" t="s">
        <v>139</v>
      </c>
      <c r="Y242" s="48" t="s">
        <v>139</v>
      </c>
      <c r="Z242" s="48" t="s">
        <v>139</v>
      </c>
      <c r="AA242" s="54" t="s">
        <v>1892</v>
      </c>
      <c r="AB242" s="44"/>
      <c r="AC242" s="45"/>
      <c r="AD242" s="45"/>
      <c r="AE242" s="46"/>
      <c r="AF242" s="45"/>
      <c r="AG242" s="45"/>
      <c r="AH242" s="45"/>
      <c r="AI242" s="3" t="s">
        <v>1583</v>
      </c>
    </row>
    <row r="243" spans="1:35">
      <c r="A243" s="144">
        <f t="shared" si="3"/>
        <v>241</v>
      </c>
      <c r="B243" s="148"/>
      <c r="C243" s="148"/>
      <c r="D243" s="148"/>
      <c r="E243" s="148"/>
      <c r="F243" s="148"/>
      <c r="G243" s="148"/>
      <c r="H243" s="148"/>
      <c r="I243" s="148"/>
      <c r="J243" s="98" t="s">
        <v>2101</v>
      </c>
      <c r="K243" s="69" t="str">
        <f>_xlfn.XLOOKUP(L243,'99_マスタ'!$D$5:$D$18,'99_マスタ'!$C$5:$C$18,"")</f>
        <v>02_生販在</v>
      </c>
      <c r="L243" s="69" t="s">
        <v>2303</v>
      </c>
      <c r="M243" s="69" t="s">
        <v>2072</v>
      </c>
      <c r="N243" s="54" t="s">
        <v>1637</v>
      </c>
      <c r="O243" s="70" t="s">
        <v>2090</v>
      </c>
      <c r="P243" s="40"/>
      <c r="Q243" s="40" t="s">
        <v>2023</v>
      </c>
      <c r="R243" s="41" t="s">
        <v>139</v>
      </c>
      <c r="S243" s="41" t="s">
        <v>139</v>
      </c>
      <c r="T243" s="41" t="s">
        <v>139</v>
      </c>
      <c r="U243" s="41" t="s">
        <v>139</v>
      </c>
      <c r="V243" s="42" t="s">
        <v>1891</v>
      </c>
      <c r="W243" s="53" t="s">
        <v>139</v>
      </c>
      <c r="X243" s="54" t="s">
        <v>139</v>
      </c>
      <c r="Y243" s="54" t="s">
        <v>139</v>
      </c>
      <c r="Z243" s="54" t="s">
        <v>139</v>
      </c>
      <c r="AA243" s="54" t="s">
        <v>1892</v>
      </c>
      <c r="AB243" s="55"/>
      <c r="AC243" s="56"/>
      <c r="AD243" s="56"/>
      <c r="AE243" s="57"/>
      <c r="AF243" s="56"/>
      <c r="AG243" s="56"/>
      <c r="AH243" s="56"/>
      <c r="AI243" s="3" t="s">
        <v>1583</v>
      </c>
    </row>
    <row r="244" spans="1:35" ht="40.5">
      <c r="A244" s="144">
        <f t="shared" si="3"/>
        <v>242</v>
      </c>
      <c r="B244" s="148"/>
      <c r="C244" s="148"/>
      <c r="D244" s="148"/>
      <c r="E244" s="148"/>
      <c r="F244" s="148"/>
      <c r="G244" s="148"/>
      <c r="H244" s="148"/>
      <c r="I244" s="148"/>
      <c r="J244" s="108" t="s">
        <v>2101</v>
      </c>
      <c r="K244" s="65" t="str">
        <f>_xlfn.XLOOKUP(L244,'99_マスタ'!$D$5:$D$18,'99_マスタ'!$C$5:$C$18,"")</f>
        <v>02_生販在</v>
      </c>
      <c r="L244" s="101" t="s">
        <v>2303</v>
      </c>
      <c r="M244" s="101" t="s">
        <v>2985</v>
      </c>
      <c r="N244" s="126" t="s">
        <v>2986</v>
      </c>
      <c r="O244" s="40" t="s">
        <v>755</v>
      </c>
      <c r="P244" s="40"/>
      <c r="Q244" s="40" t="s">
        <v>139</v>
      </c>
      <c r="R244" s="41" t="s">
        <v>139</v>
      </c>
      <c r="S244" s="41" t="s">
        <v>756</v>
      </c>
      <c r="T244" s="41" t="s">
        <v>139</v>
      </c>
      <c r="U244" s="41" t="s">
        <v>757</v>
      </c>
      <c r="V244" s="42" t="s">
        <v>139</v>
      </c>
      <c r="W244" s="43" t="s">
        <v>139</v>
      </c>
      <c r="X244" s="41" t="s">
        <v>754</v>
      </c>
      <c r="Y244" s="41" t="s">
        <v>139</v>
      </c>
      <c r="Z244" s="41" t="s">
        <v>723</v>
      </c>
      <c r="AA244" s="41" t="s">
        <v>139</v>
      </c>
      <c r="AB244" s="44"/>
      <c r="AC244" s="45"/>
      <c r="AD244" s="45"/>
      <c r="AE244" s="46"/>
      <c r="AF244" s="45"/>
      <c r="AG244" s="45"/>
      <c r="AH244" s="45"/>
      <c r="AI244" s="3" t="s">
        <v>1583</v>
      </c>
    </row>
    <row r="245" spans="1:35" ht="54">
      <c r="A245" s="144">
        <f t="shared" si="3"/>
        <v>243</v>
      </c>
      <c r="B245" s="148"/>
      <c r="C245" s="148"/>
      <c r="D245" s="148"/>
      <c r="E245" s="148"/>
      <c r="F245" s="148"/>
      <c r="G245" s="148"/>
      <c r="H245" s="148"/>
      <c r="I245" s="148"/>
      <c r="J245" s="98" t="s">
        <v>2101</v>
      </c>
      <c r="K245" s="101" t="str">
        <f>_xlfn.XLOOKUP(L245,'99_マスタ'!$D$5:$D$18,'99_マスタ'!$C$5:$C$18,"")</f>
        <v>02_生販在</v>
      </c>
      <c r="L245" s="111" t="s">
        <v>2303</v>
      </c>
      <c r="M245" s="111" t="s">
        <v>2956</v>
      </c>
      <c r="N245" s="126" t="s">
        <v>1637</v>
      </c>
      <c r="O245" s="40" t="s">
        <v>2957</v>
      </c>
      <c r="P245" s="40" t="s">
        <v>2958</v>
      </c>
      <c r="Q245" s="40" t="s">
        <v>1666</v>
      </c>
      <c r="R245" s="41" t="s">
        <v>2959</v>
      </c>
      <c r="S245" s="41" t="s">
        <v>139</v>
      </c>
      <c r="T245" s="41" t="s">
        <v>139</v>
      </c>
      <c r="U245" s="41" t="s">
        <v>139</v>
      </c>
      <c r="V245" s="42" t="s">
        <v>139</v>
      </c>
      <c r="W245" s="43" t="s">
        <v>2935</v>
      </c>
      <c r="X245" s="41" t="s">
        <v>139</v>
      </c>
      <c r="Y245" s="41" t="s">
        <v>139</v>
      </c>
      <c r="Z245" s="41" t="s">
        <v>139</v>
      </c>
      <c r="AA245" s="41" t="s">
        <v>139</v>
      </c>
      <c r="AB245" s="44"/>
      <c r="AC245" s="45"/>
      <c r="AD245" s="45"/>
      <c r="AE245" s="46"/>
      <c r="AF245" s="45"/>
      <c r="AG245" s="45"/>
      <c r="AH245" s="45"/>
      <c r="AI245" s="3" t="s">
        <v>1583</v>
      </c>
    </row>
    <row r="246" spans="1:35" ht="40.5">
      <c r="A246" s="144">
        <f t="shared" si="3"/>
        <v>244</v>
      </c>
      <c r="B246" s="148"/>
      <c r="C246" s="148"/>
      <c r="D246" s="148"/>
      <c r="E246" s="148"/>
      <c r="F246" s="148"/>
      <c r="G246" s="148"/>
      <c r="H246" s="148"/>
      <c r="I246" s="148"/>
      <c r="J246" s="98" t="s">
        <v>2101</v>
      </c>
      <c r="K246" s="99" t="str">
        <f>_xlfn.XLOOKUP(L246,'99_マスタ'!$D$5:$D$18,'99_マスタ'!$C$5:$C$18,"")</f>
        <v>02_生販在</v>
      </c>
      <c r="L246" s="99" t="s">
        <v>2325</v>
      </c>
      <c r="M246" s="99" t="s">
        <v>2251</v>
      </c>
      <c r="N246" s="126" t="s">
        <v>1637</v>
      </c>
      <c r="O246" s="40" t="s">
        <v>2253</v>
      </c>
      <c r="P246" s="40" t="s">
        <v>2264</v>
      </c>
      <c r="Q246" s="40" t="s">
        <v>2241</v>
      </c>
      <c r="R246" s="41" t="s">
        <v>139</v>
      </c>
      <c r="S246" s="41" t="s">
        <v>139</v>
      </c>
      <c r="T246" s="41" t="s">
        <v>139</v>
      </c>
      <c r="U246" s="41" t="s">
        <v>2237</v>
      </c>
      <c r="V246" s="41" t="s">
        <v>139</v>
      </c>
      <c r="W246" s="74" t="s">
        <v>139</v>
      </c>
      <c r="X246" s="41" t="s">
        <v>139</v>
      </c>
      <c r="Y246" s="41" t="s">
        <v>139</v>
      </c>
      <c r="Z246" s="41" t="s">
        <v>2248</v>
      </c>
      <c r="AA246" s="41" t="s">
        <v>139</v>
      </c>
      <c r="AB246" s="44"/>
      <c r="AC246" s="45"/>
      <c r="AD246" s="45"/>
      <c r="AE246" s="46"/>
      <c r="AF246" s="45"/>
      <c r="AG246" s="45"/>
      <c r="AH246" s="45"/>
      <c r="AI246" s="3" t="s">
        <v>1583</v>
      </c>
    </row>
    <row r="247" spans="1:35" ht="40.5">
      <c r="A247" s="144">
        <f t="shared" si="3"/>
        <v>245</v>
      </c>
      <c r="B247" s="148"/>
      <c r="C247" s="148"/>
      <c r="D247" s="148"/>
      <c r="E247" s="148"/>
      <c r="F247" s="148"/>
      <c r="G247" s="148"/>
      <c r="H247" s="148"/>
      <c r="I247" s="148"/>
      <c r="J247" s="98" t="s">
        <v>2101</v>
      </c>
      <c r="K247" s="99" t="str">
        <f>_xlfn.XLOOKUP(L247,'99_マスタ'!$D$5:$D$18,'99_マスタ'!$C$5:$C$18,"")</f>
        <v>02_生販在</v>
      </c>
      <c r="L247" s="99" t="s">
        <v>2325</v>
      </c>
      <c r="M247" s="99" t="s">
        <v>2252</v>
      </c>
      <c r="N247" s="126" t="s">
        <v>1637</v>
      </c>
      <c r="O247" s="40" t="s">
        <v>2254</v>
      </c>
      <c r="P247" s="40" t="s">
        <v>3128</v>
      </c>
      <c r="Q247" s="40" t="s">
        <v>2241</v>
      </c>
      <c r="R247" s="41" t="s">
        <v>139</v>
      </c>
      <c r="S247" s="41" t="s">
        <v>139</v>
      </c>
      <c r="T247" s="41" t="s">
        <v>139</v>
      </c>
      <c r="U247" s="41" t="s">
        <v>2237</v>
      </c>
      <c r="V247" s="41" t="s">
        <v>139</v>
      </c>
      <c r="W247" s="74" t="s">
        <v>139</v>
      </c>
      <c r="X247" s="41" t="s">
        <v>139</v>
      </c>
      <c r="Y247" s="41" t="s">
        <v>139</v>
      </c>
      <c r="Z247" s="41" t="s">
        <v>2248</v>
      </c>
      <c r="AA247" s="41" t="s">
        <v>139</v>
      </c>
      <c r="AB247" s="44"/>
      <c r="AC247" s="45"/>
      <c r="AD247" s="45"/>
      <c r="AE247" s="46"/>
      <c r="AF247" s="45"/>
      <c r="AG247" s="45"/>
      <c r="AH247" s="45"/>
      <c r="AI247" s="3" t="s">
        <v>1583</v>
      </c>
    </row>
    <row r="248" spans="1:35" ht="40.5">
      <c r="A248" s="144">
        <f t="shared" si="3"/>
        <v>246</v>
      </c>
      <c r="B248" s="148"/>
      <c r="C248" s="148"/>
      <c r="D248" s="148"/>
      <c r="E248" s="148"/>
      <c r="F248" s="148"/>
      <c r="G248" s="148"/>
      <c r="H248" s="148"/>
      <c r="I248" s="148"/>
      <c r="J248" s="103" t="s">
        <v>2101</v>
      </c>
      <c r="K248" s="99" t="s">
        <v>3083</v>
      </c>
      <c r="L248" s="99" t="s">
        <v>2325</v>
      </c>
      <c r="M248" s="99" t="s">
        <v>2250</v>
      </c>
      <c r="N248" s="126" t="s">
        <v>2677</v>
      </c>
      <c r="O248" s="40" t="s">
        <v>2263</v>
      </c>
      <c r="P248" s="40"/>
      <c r="Q248" s="40" t="s">
        <v>3311</v>
      </c>
      <c r="R248" s="41" t="s">
        <v>139</v>
      </c>
      <c r="S248" s="41" t="s">
        <v>139</v>
      </c>
      <c r="T248" s="41" t="s">
        <v>139</v>
      </c>
      <c r="U248" s="41" t="s">
        <v>2237</v>
      </c>
      <c r="V248" s="41" t="s">
        <v>139</v>
      </c>
      <c r="W248" s="74" t="s">
        <v>139</v>
      </c>
      <c r="X248" s="41" t="s">
        <v>139</v>
      </c>
      <c r="Y248" s="41" t="s">
        <v>139</v>
      </c>
      <c r="Z248" s="41" t="s">
        <v>2248</v>
      </c>
      <c r="AA248" s="41" t="s">
        <v>139</v>
      </c>
      <c r="AB248" s="44"/>
      <c r="AC248" s="45"/>
      <c r="AD248" s="45"/>
      <c r="AE248" s="46"/>
      <c r="AF248" s="45"/>
      <c r="AG248" s="45"/>
      <c r="AH248" s="45"/>
      <c r="AI248" s="3" t="s">
        <v>1583</v>
      </c>
    </row>
    <row r="249" spans="1:35" ht="40.5">
      <c r="A249" s="144">
        <f t="shared" si="3"/>
        <v>247</v>
      </c>
      <c r="B249" s="148"/>
      <c r="C249" s="148"/>
      <c r="D249" s="148"/>
      <c r="E249" s="148"/>
      <c r="F249" s="148"/>
      <c r="G249" s="148"/>
      <c r="H249" s="148"/>
      <c r="I249" s="148"/>
      <c r="J249" s="103" t="s">
        <v>2101</v>
      </c>
      <c r="K249" s="99" t="s">
        <v>3083</v>
      </c>
      <c r="L249" s="99" t="s">
        <v>2325</v>
      </c>
      <c r="M249" s="99" t="s">
        <v>2249</v>
      </c>
      <c r="N249" s="126" t="s">
        <v>2677</v>
      </c>
      <c r="O249" s="40" t="s">
        <v>2262</v>
      </c>
      <c r="P249" s="40"/>
      <c r="Q249" s="40" t="s">
        <v>3311</v>
      </c>
      <c r="R249" s="41" t="s">
        <v>139</v>
      </c>
      <c r="S249" s="41" t="s">
        <v>139</v>
      </c>
      <c r="T249" s="41" t="s">
        <v>139</v>
      </c>
      <c r="U249" s="41" t="s">
        <v>2237</v>
      </c>
      <c r="V249" s="41" t="s">
        <v>139</v>
      </c>
      <c r="W249" s="74" t="s">
        <v>139</v>
      </c>
      <c r="X249" s="41" t="s">
        <v>139</v>
      </c>
      <c r="Y249" s="41" t="s">
        <v>139</v>
      </c>
      <c r="Z249" s="41" t="s">
        <v>2248</v>
      </c>
      <c r="AA249" s="41" t="s">
        <v>139</v>
      </c>
      <c r="AB249" s="44"/>
      <c r="AC249" s="45"/>
      <c r="AD249" s="45"/>
      <c r="AE249" s="46"/>
      <c r="AF249" s="45"/>
      <c r="AG249" s="45"/>
      <c r="AH249" s="45"/>
      <c r="AI249" s="3" t="s">
        <v>1583</v>
      </c>
    </row>
    <row r="250" spans="1:35" ht="40.5">
      <c r="A250" s="144">
        <f t="shared" si="3"/>
        <v>248</v>
      </c>
      <c r="B250" s="148"/>
      <c r="C250" s="148"/>
      <c r="D250" s="148"/>
      <c r="E250" s="148"/>
      <c r="F250" s="148"/>
      <c r="G250" s="148"/>
      <c r="H250" s="148"/>
      <c r="I250" s="148"/>
      <c r="J250" s="103" t="s">
        <v>2101</v>
      </c>
      <c r="K250" s="99" t="s">
        <v>3083</v>
      </c>
      <c r="L250" s="99" t="s">
        <v>2325</v>
      </c>
      <c r="M250" s="99" t="s">
        <v>2238</v>
      </c>
      <c r="N250" s="126" t="s">
        <v>2677</v>
      </c>
      <c r="O250" s="40" t="s">
        <v>2243</v>
      </c>
      <c r="P250" s="40"/>
      <c r="Q250" s="40" t="s">
        <v>2242</v>
      </c>
      <c r="R250" s="41" t="s">
        <v>139</v>
      </c>
      <c r="S250" s="41" t="s">
        <v>139</v>
      </c>
      <c r="T250" s="41" t="s">
        <v>139</v>
      </c>
      <c r="U250" s="41" t="s">
        <v>2237</v>
      </c>
      <c r="V250" s="41" t="s">
        <v>139</v>
      </c>
      <c r="W250" s="74" t="s">
        <v>139</v>
      </c>
      <c r="X250" s="41" t="s">
        <v>139</v>
      </c>
      <c r="Y250" s="41" t="s">
        <v>139</v>
      </c>
      <c r="Z250" s="41" t="s">
        <v>2248</v>
      </c>
      <c r="AA250" s="41" t="s">
        <v>139</v>
      </c>
      <c r="AB250" s="44"/>
      <c r="AC250" s="45"/>
      <c r="AD250" s="45"/>
      <c r="AE250" s="46"/>
      <c r="AF250" s="45"/>
      <c r="AG250" s="45"/>
      <c r="AH250" s="45"/>
      <c r="AI250" s="3" t="s">
        <v>1583</v>
      </c>
    </row>
    <row r="251" spans="1:35" ht="40.5">
      <c r="A251" s="144">
        <f t="shared" si="3"/>
        <v>249</v>
      </c>
      <c r="B251" s="148"/>
      <c r="C251" s="148"/>
      <c r="D251" s="148"/>
      <c r="E251" s="148"/>
      <c r="F251" s="148"/>
      <c r="G251" s="148"/>
      <c r="H251" s="148"/>
      <c r="I251" s="148"/>
      <c r="J251" s="103" t="s">
        <v>2101</v>
      </c>
      <c r="K251" s="99" t="s">
        <v>3083</v>
      </c>
      <c r="L251" s="99" t="s">
        <v>2325</v>
      </c>
      <c r="M251" s="99" t="s">
        <v>2240</v>
      </c>
      <c r="N251" s="126" t="s">
        <v>3312</v>
      </c>
      <c r="O251" s="62" t="s">
        <v>3027</v>
      </c>
      <c r="P251" s="62" t="s">
        <v>3313</v>
      </c>
      <c r="Q251" s="40" t="s">
        <v>3311</v>
      </c>
      <c r="R251" s="41" t="s">
        <v>139</v>
      </c>
      <c r="S251" s="41" t="s">
        <v>139</v>
      </c>
      <c r="T251" s="41" t="s">
        <v>139</v>
      </c>
      <c r="U251" s="41" t="s">
        <v>2237</v>
      </c>
      <c r="V251" s="41" t="s">
        <v>139</v>
      </c>
      <c r="W251" s="74" t="s">
        <v>139</v>
      </c>
      <c r="X251" s="41" t="s">
        <v>139</v>
      </c>
      <c r="Y251" s="41" t="s">
        <v>139</v>
      </c>
      <c r="Z251" s="41" t="s">
        <v>2248</v>
      </c>
      <c r="AA251" s="41" t="s">
        <v>139</v>
      </c>
      <c r="AB251" s="44"/>
      <c r="AC251" s="45"/>
      <c r="AD251" s="45"/>
      <c r="AE251" s="46"/>
      <c r="AF251" s="45"/>
      <c r="AG251" s="45"/>
      <c r="AH251" s="45"/>
      <c r="AI251" s="3" t="s">
        <v>1583</v>
      </c>
    </row>
    <row r="252" spans="1:35" ht="40.5">
      <c r="A252" s="144">
        <f t="shared" si="3"/>
        <v>250</v>
      </c>
      <c r="B252" s="148"/>
      <c r="C252" s="148"/>
      <c r="D252" s="148"/>
      <c r="E252" s="148"/>
      <c r="F252" s="148"/>
      <c r="G252" s="148"/>
      <c r="H252" s="148"/>
      <c r="I252" s="148"/>
      <c r="J252" s="103" t="s">
        <v>2101</v>
      </c>
      <c r="K252" s="99" t="s">
        <v>3083</v>
      </c>
      <c r="L252" s="99" t="s">
        <v>2325</v>
      </c>
      <c r="M252" s="99" t="s">
        <v>2255</v>
      </c>
      <c r="N252" s="126" t="s">
        <v>2677</v>
      </c>
      <c r="O252" s="40" t="s">
        <v>2258</v>
      </c>
      <c r="P252" s="40"/>
      <c r="Q252" s="40" t="s">
        <v>2242</v>
      </c>
      <c r="R252" s="41" t="s">
        <v>139</v>
      </c>
      <c r="S252" s="41" t="s">
        <v>139</v>
      </c>
      <c r="T252" s="41" t="s">
        <v>139</v>
      </c>
      <c r="U252" s="41" t="s">
        <v>2237</v>
      </c>
      <c r="V252" s="41" t="s">
        <v>139</v>
      </c>
      <c r="W252" s="74" t="s">
        <v>139</v>
      </c>
      <c r="X252" s="41" t="s">
        <v>139</v>
      </c>
      <c r="Y252" s="41" t="s">
        <v>139</v>
      </c>
      <c r="Z252" s="41" t="s">
        <v>2248</v>
      </c>
      <c r="AA252" s="41" t="s">
        <v>139</v>
      </c>
      <c r="AB252" s="44"/>
      <c r="AC252" s="45"/>
      <c r="AD252" s="45"/>
      <c r="AE252" s="46"/>
      <c r="AF252" s="45"/>
      <c r="AG252" s="45"/>
      <c r="AH252" s="45"/>
      <c r="AI252" s="3" t="s">
        <v>1583</v>
      </c>
    </row>
    <row r="253" spans="1:35" ht="40.5">
      <c r="A253" s="144">
        <f t="shared" si="3"/>
        <v>251</v>
      </c>
      <c r="B253" s="148"/>
      <c r="C253" s="148"/>
      <c r="D253" s="148"/>
      <c r="E253" s="148"/>
      <c r="F253" s="148"/>
      <c r="G253" s="148"/>
      <c r="H253" s="148"/>
      <c r="I253" s="148"/>
      <c r="J253" s="103" t="s">
        <v>2101</v>
      </c>
      <c r="K253" s="99" t="s">
        <v>3083</v>
      </c>
      <c r="L253" s="99" t="s">
        <v>2325</v>
      </c>
      <c r="M253" s="99" t="s">
        <v>2266</v>
      </c>
      <c r="N253" s="126" t="s">
        <v>2677</v>
      </c>
      <c r="O253" s="40" t="s">
        <v>3314</v>
      </c>
      <c r="P253" s="40" t="s">
        <v>3315</v>
      </c>
      <c r="Q253" s="40" t="s">
        <v>3311</v>
      </c>
      <c r="R253" s="41" t="s">
        <v>139</v>
      </c>
      <c r="S253" s="41" t="s">
        <v>139</v>
      </c>
      <c r="T253" s="41" t="s">
        <v>139</v>
      </c>
      <c r="U253" s="41" t="s">
        <v>2237</v>
      </c>
      <c r="V253" s="41" t="s">
        <v>139</v>
      </c>
      <c r="W253" s="74" t="s">
        <v>139</v>
      </c>
      <c r="X253" s="41" t="s">
        <v>139</v>
      </c>
      <c r="Y253" s="41" t="s">
        <v>139</v>
      </c>
      <c r="Z253" s="41" t="s">
        <v>2248</v>
      </c>
      <c r="AA253" s="41" t="s">
        <v>139</v>
      </c>
      <c r="AB253" s="44"/>
      <c r="AC253" s="45"/>
      <c r="AD253" s="45"/>
      <c r="AE253" s="46"/>
      <c r="AF253" s="45"/>
      <c r="AG253" s="45"/>
      <c r="AH253" s="45"/>
      <c r="AI253" s="3" t="s">
        <v>1583</v>
      </c>
    </row>
    <row r="254" spans="1:35" ht="40.5">
      <c r="A254" s="144">
        <f t="shared" si="3"/>
        <v>252</v>
      </c>
      <c r="B254" s="148"/>
      <c r="C254" s="148"/>
      <c r="D254" s="148"/>
      <c r="E254" s="148"/>
      <c r="F254" s="148"/>
      <c r="G254" s="148"/>
      <c r="H254" s="148"/>
      <c r="I254" s="148"/>
      <c r="J254" s="103" t="s">
        <v>2101</v>
      </c>
      <c r="K254" s="99" t="s">
        <v>3083</v>
      </c>
      <c r="L254" s="99" t="s">
        <v>2325</v>
      </c>
      <c r="M254" s="99" t="s">
        <v>2265</v>
      </c>
      <c r="N254" s="126" t="s">
        <v>2677</v>
      </c>
      <c r="O254" s="40" t="s">
        <v>3316</v>
      </c>
      <c r="P254" s="40" t="s">
        <v>3317</v>
      </c>
      <c r="Q254" s="40" t="s">
        <v>3311</v>
      </c>
      <c r="R254" s="41" t="s">
        <v>139</v>
      </c>
      <c r="S254" s="41" t="s">
        <v>139</v>
      </c>
      <c r="T254" s="41" t="s">
        <v>139</v>
      </c>
      <c r="U254" s="41" t="s">
        <v>2237</v>
      </c>
      <c r="V254" s="41" t="s">
        <v>139</v>
      </c>
      <c r="W254" s="74" t="s">
        <v>139</v>
      </c>
      <c r="X254" s="41" t="s">
        <v>139</v>
      </c>
      <c r="Y254" s="41" t="s">
        <v>139</v>
      </c>
      <c r="Z254" s="41" t="s">
        <v>2248</v>
      </c>
      <c r="AA254" s="41" t="s">
        <v>139</v>
      </c>
      <c r="AB254" s="44"/>
      <c r="AC254" s="45"/>
      <c r="AD254" s="45"/>
      <c r="AE254" s="46"/>
      <c r="AF254" s="45"/>
      <c r="AG254" s="45"/>
      <c r="AH254" s="45"/>
      <c r="AI254" s="3" t="s">
        <v>1583</v>
      </c>
    </row>
    <row r="255" spans="1:35" ht="40.5">
      <c r="A255" s="144">
        <f t="shared" si="3"/>
        <v>253</v>
      </c>
      <c r="B255" s="148"/>
      <c r="C255" s="148"/>
      <c r="D255" s="148"/>
      <c r="E255" s="148"/>
      <c r="F255" s="148"/>
      <c r="G255" s="148"/>
      <c r="H255" s="148"/>
      <c r="I255" s="148"/>
      <c r="J255" s="103" t="s">
        <v>2101</v>
      </c>
      <c r="K255" s="99" t="s">
        <v>3083</v>
      </c>
      <c r="L255" s="99" t="s">
        <v>2325</v>
      </c>
      <c r="M255" s="99" t="s">
        <v>2256</v>
      </c>
      <c r="N255" s="126" t="s">
        <v>2677</v>
      </c>
      <c r="O255" s="40" t="s">
        <v>2257</v>
      </c>
      <c r="P255" s="40"/>
      <c r="Q255" s="40" t="s">
        <v>2242</v>
      </c>
      <c r="R255" s="41" t="s">
        <v>139</v>
      </c>
      <c r="S255" s="41" t="s">
        <v>139</v>
      </c>
      <c r="T255" s="41" t="s">
        <v>139</v>
      </c>
      <c r="U255" s="41" t="s">
        <v>2237</v>
      </c>
      <c r="V255" s="41" t="s">
        <v>139</v>
      </c>
      <c r="W255" s="74" t="s">
        <v>139</v>
      </c>
      <c r="X255" s="41" t="s">
        <v>139</v>
      </c>
      <c r="Y255" s="41" t="s">
        <v>139</v>
      </c>
      <c r="Z255" s="41" t="s">
        <v>2248</v>
      </c>
      <c r="AA255" s="41" t="s">
        <v>139</v>
      </c>
      <c r="AB255" s="44"/>
      <c r="AC255" s="45"/>
      <c r="AD255" s="45"/>
      <c r="AE255" s="46"/>
      <c r="AF255" s="45"/>
      <c r="AG255" s="45"/>
      <c r="AH255" s="45"/>
      <c r="AI255" s="3" t="s">
        <v>1583</v>
      </c>
    </row>
    <row r="256" spans="1:35" ht="40.5">
      <c r="A256" s="144">
        <f t="shared" si="3"/>
        <v>254</v>
      </c>
      <c r="B256" s="148"/>
      <c r="C256" s="148"/>
      <c r="D256" s="148"/>
      <c r="E256" s="148"/>
      <c r="F256" s="148"/>
      <c r="G256" s="148"/>
      <c r="H256" s="148"/>
      <c r="I256" s="148"/>
      <c r="J256" s="103" t="s">
        <v>2101</v>
      </c>
      <c r="K256" s="99" t="s">
        <v>3083</v>
      </c>
      <c r="L256" s="99" t="s">
        <v>2325</v>
      </c>
      <c r="M256" s="99" t="s">
        <v>2259</v>
      </c>
      <c r="N256" s="126" t="s">
        <v>2677</v>
      </c>
      <c r="O256" s="40" t="s">
        <v>3029</v>
      </c>
      <c r="P256" s="40" t="s">
        <v>3028</v>
      </c>
      <c r="Q256" s="40" t="s">
        <v>2242</v>
      </c>
      <c r="R256" s="41" t="s">
        <v>139</v>
      </c>
      <c r="S256" s="41" t="s">
        <v>139</v>
      </c>
      <c r="T256" s="41" t="s">
        <v>139</v>
      </c>
      <c r="U256" s="41" t="s">
        <v>2237</v>
      </c>
      <c r="V256" s="41" t="s">
        <v>139</v>
      </c>
      <c r="W256" s="74" t="s">
        <v>139</v>
      </c>
      <c r="X256" s="41" t="s">
        <v>139</v>
      </c>
      <c r="Y256" s="41" t="s">
        <v>139</v>
      </c>
      <c r="Z256" s="41" t="s">
        <v>2248</v>
      </c>
      <c r="AA256" s="41" t="s">
        <v>139</v>
      </c>
      <c r="AB256" s="44"/>
      <c r="AC256" s="45"/>
      <c r="AD256" s="45"/>
      <c r="AE256" s="46"/>
      <c r="AF256" s="45"/>
      <c r="AG256" s="45"/>
      <c r="AH256" s="45"/>
      <c r="AI256" s="3" t="s">
        <v>1583</v>
      </c>
    </row>
    <row r="257" spans="1:35" ht="40.5">
      <c r="A257" s="144">
        <f t="shared" si="3"/>
        <v>255</v>
      </c>
      <c r="B257" s="148"/>
      <c r="C257" s="148"/>
      <c r="D257" s="148"/>
      <c r="E257" s="148"/>
      <c r="F257" s="148"/>
      <c r="G257" s="148"/>
      <c r="H257" s="148"/>
      <c r="I257" s="148"/>
      <c r="J257" s="103" t="s">
        <v>2101</v>
      </c>
      <c r="K257" s="99" t="s">
        <v>3083</v>
      </c>
      <c r="L257" s="99" t="s">
        <v>2325</v>
      </c>
      <c r="M257" s="99" t="s">
        <v>2239</v>
      </c>
      <c r="N257" s="126" t="s">
        <v>2677</v>
      </c>
      <c r="O257" s="40" t="s">
        <v>3030</v>
      </c>
      <c r="P257" s="40"/>
      <c r="Q257" s="40" t="s">
        <v>2242</v>
      </c>
      <c r="R257" s="41" t="s">
        <v>139</v>
      </c>
      <c r="S257" s="41" t="s">
        <v>139</v>
      </c>
      <c r="T257" s="41" t="s">
        <v>139</v>
      </c>
      <c r="U257" s="41" t="s">
        <v>2237</v>
      </c>
      <c r="V257" s="41" t="s">
        <v>139</v>
      </c>
      <c r="W257" s="74" t="s">
        <v>139</v>
      </c>
      <c r="X257" s="41" t="s">
        <v>139</v>
      </c>
      <c r="Y257" s="41" t="s">
        <v>139</v>
      </c>
      <c r="Z257" s="41" t="s">
        <v>2248</v>
      </c>
      <c r="AA257" s="41" t="s">
        <v>139</v>
      </c>
      <c r="AB257" s="44"/>
      <c r="AC257" s="45"/>
      <c r="AD257" s="45"/>
      <c r="AE257" s="46"/>
      <c r="AF257" s="45"/>
      <c r="AG257" s="45"/>
      <c r="AH257" s="45"/>
      <c r="AI257" s="3" t="s">
        <v>1583</v>
      </c>
    </row>
    <row r="258" spans="1:35" ht="40.5">
      <c r="A258" s="144">
        <f t="shared" si="3"/>
        <v>256</v>
      </c>
      <c r="B258" s="148"/>
      <c r="C258" s="148"/>
      <c r="D258" s="148"/>
      <c r="E258" s="148"/>
      <c r="F258" s="148"/>
      <c r="G258" s="148"/>
      <c r="H258" s="148"/>
      <c r="I258" s="148"/>
      <c r="J258" s="98" t="s">
        <v>2101</v>
      </c>
      <c r="K258" s="101" t="str">
        <f>_xlfn.XLOOKUP(L258,'99_マスタ'!$D$5:$D$18,'99_マスタ'!$C$5:$C$18,"")</f>
        <v>02_生販在</v>
      </c>
      <c r="L258" s="101" t="s">
        <v>2325</v>
      </c>
      <c r="M258" s="101" t="s">
        <v>2108</v>
      </c>
      <c r="N258" s="128" t="s">
        <v>2697</v>
      </c>
      <c r="O258" s="40" t="s">
        <v>2698</v>
      </c>
      <c r="P258" s="63" t="s">
        <v>2699</v>
      </c>
      <c r="Q258" s="40" t="s">
        <v>161</v>
      </c>
      <c r="R258" s="41" t="s">
        <v>139</v>
      </c>
      <c r="S258" s="41" t="s">
        <v>139</v>
      </c>
      <c r="T258" s="41" t="s">
        <v>139</v>
      </c>
      <c r="U258" s="41" t="s">
        <v>2695</v>
      </c>
      <c r="V258" s="41" t="s">
        <v>139</v>
      </c>
      <c r="W258" s="74" t="s">
        <v>139</v>
      </c>
      <c r="X258" s="41" t="s">
        <v>139</v>
      </c>
      <c r="Y258" s="41" t="s">
        <v>139</v>
      </c>
      <c r="Z258" s="41" t="s">
        <v>1894</v>
      </c>
      <c r="AA258" s="41" t="s">
        <v>139</v>
      </c>
      <c r="AB258" s="44"/>
      <c r="AC258" s="45"/>
      <c r="AD258" s="45"/>
      <c r="AE258" s="46"/>
      <c r="AF258" s="45"/>
      <c r="AG258" s="45"/>
      <c r="AH258" s="45"/>
      <c r="AI258" s="3" t="s">
        <v>1583</v>
      </c>
    </row>
    <row r="259" spans="1:35">
      <c r="A259" s="144">
        <f t="shared" ref="A259:A322" si="4">ROW()-2</f>
        <v>257</v>
      </c>
      <c r="B259" s="148"/>
      <c r="C259" s="148"/>
      <c r="D259" s="148"/>
      <c r="E259" s="148"/>
      <c r="F259" s="148"/>
      <c r="G259" s="148"/>
      <c r="H259" s="148"/>
      <c r="I259" s="148"/>
      <c r="J259" s="98" t="s">
        <v>2101</v>
      </c>
      <c r="K259" s="101" t="str">
        <f>_xlfn.XLOOKUP(L259,'99_マスタ'!$D$5:$D$18,'99_マスタ'!$C$5:$C$18,"")</f>
        <v>02_生販在</v>
      </c>
      <c r="L259" s="101" t="s">
        <v>2325</v>
      </c>
      <c r="M259" s="101" t="s">
        <v>2691</v>
      </c>
      <c r="N259" s="126" t="s">
        <v>1637</v>
      </c>
      <c r="O259" s="63"/>
      <c r="P259" s="63" t="s">
        <v>2700</v>
      </c>
      <c r="Q259" s="40" t="s">
        <v>1666</v>
      </c>
      <c r="R259" s="41" t="s">
        <v>139</v>
      </c>
      <c r="S259" s="41" t="s">
        <v>139</v>
      </c>
      <c r="T259" s="41" t="s">
        <v>139</v>
      </c>
      <c r="U259" s="41" t="s">
        <v>2696</v>
      </c>
      <c r="V259" s="41" t="s">
        <v>139</v>
      </c>
      <c r="W259" s="74" t="s">
        <v>139</v>
      </c>
      <c r="X259" s="41" t="s">
        <v>139</v>
      </c>
      <c r="Y259" s="41" t="s">
        <v>139</v>
      </c>
      <c r="Z259" s="41" t="s">
        <v>2693</v>
      </c>
      <c r="AA259" s="41" t="s">
        <v>139</v>
      </c>
      <c r="AB259" s="44"/>
      <c r="AC259" s="45"/>
      <c r="AD259" s="45"/>
      <c r="AE259" s="46"/>
      <c r="AF259" s="45"/>
      <c r="AG259" s="45"/>
      <c r="AH259" s="45"/>
      <c r="AI259" s="3" t="s">
        <v>1583</v>
      </c>
    </row>
    <row r="260" spans="1:35" ht="27">
      <c r="A260" s="144">
        <f t="shared" si="4"/>
        <v>258</v>
      </c>
      <c r="B260" s="148"/>
      <c r="C260" s="148"/>
      <c r="D260" s="148"/>
      <c r="E260" s="148"/>
      <c r="F260" s="148"/>
      <c r="G260" s="148"/>
      <c r="H260" s="148"/>
      <c r="I260" s="148"/>
      <c r="J260" s="98" t="s">
        <v>2101</v>
      </c>
      <c r="K260" s="105" t="str">
        <f>_xlfn.XLOOKUP(L260,'99_マスタ'!$D$5:$D$18,'99_マスタ'!$C$5:$C$18,"")</f>
        <v>02_生販在</v>
      </c>
      <c r="L260" s="105" t="s">
        <v>2325</v>
      </c>
      <c r="M260" s="105" t="s">
        <v>2674</v>
      </c>
      <c r="N260" s="126" t="s">
        <v>2702</v>
      </c>
      <c r="O260" s="63" t="s">
        <v>2678</v>
      </c>
      <c r="P260" s="63" t="s">
        <v>2853</v>
      </c>
      <c r="Q260" s="40" t="s">
        <v>1666</v>
      </c>
      <c r="R260" s="41" t="s">
        <v>139</v>
      </c>
      <c r="S260" s="41" t="s">
        <v>139</v>
      </c>
      <c r="T260" s="41" t="s">
        <v>139</v>
      </c>
      <c r="U260" s="41" t="s">
        <v>829</v>
      </c>
      <c r="V260" s="41" t="s">
        <v>139</v>
      </c>
      <c r="W260" s="74" t="s">
        <v>139</v>
      </c>
      <c r="X260" s="41" t="s">
        <v>139</v>
      </c>
      <c r="Y260" s="41" t="s">
        <v>139</v>
      </c>
      <c r="Z260" s="41" t="s">
        <v>2854</v>
      </c>
      <c r="AA260" s="41" t="s">
        <v>139</v>
      </c>
      <c r="AB260" s="44"/>
      <c r="AC260" s="45"/>
      <c r="AD260" s="45"/>
      <c r="AE260" s="46"/>
      <c r="AF260" s="45"/>
      <c r="AG260" s="45"/>
      <c r="AH260" s="45"/>
      <c r="AI260" s="3" t="s">
        <v>1583</v>
      </c>
    </row>
    <row r="261" spans="1:35" ht="40.5">
      <c r="A261" s="144">
        <f t="shared" si="4"/>
        <v>259</v>
      </c>
      <c r="B261" s="148"/>
      <c r="C261" s="148"/>
      <c r="D261" s="148"/>
      <c r="E261" s="148"/>
      <c r="F261" s="148"/>
      <c r="G261" s="148"/>
      <c r="H261" s="148"/>
      <c r="I261" s="148"/>
      <c r="J261" s="98" t="s">
        <v>2101</v>
      </c>
      <c r="K261" s="99" t="str">
        <f>_xlfn.XLOOKUP(L261,'99_マスタ'!$D$5:$D$18,'99_マスタ'!$C$5:$C$18,"")</f>
        <v>02_生販在</v>
      </c>
      <c r="L261" s="99" t="s">
        <v>2325</v>
      </c>
      <c r="M261" s="99" t="s">
        <v>3331</v>
      </c>
      <c r="N261" s="126" t="s">
        <v>1637</v>
      </c>
      <c r="O261" s="40" t="s">
        <v>2322</v>
      </c>
      <c r="P261" s="62" t="s">
        <v>2323</v>
      </c>
      <c r="Q261" s="40" t="s">
        <v>2324</v>
      </c>
      <c r="R261" s="41" t="s">
        <v>139</v>
      </c>
      <c r="S261" s="41" t="s">
        <v>139</v>
      </c>
      <c r="T261" s="41" t="s">
        <v>139</v>
      </c>
      <c r="U261" s="41" t="s">
        <v>2321</v>
      </c>
      <c r="V261" s="41" t="s">
        <v>139</v>
      </c>
      <c r="W261" s="74" t="s">
        <v>139</v>
      </c>
      <c r="X261" s="41" t="s">
        <v>139</v>
      </c>
      <c r="Y261" s="41" t="s">
        <v>139</v>
      </c>
      <c r="Z261" s="41" t="s">
        <v>2352</v>
      </c>
      <c r="AA261" s="41" t="s">
        <v>139</v>
      </c>
      <c r="AB261" s="44"/>
      <c r="AC261" s="45"/>
      <c r="AD261" s="45"/>
      <c r="AE261" s="46"/>
      <c r="AF261" s="45"/>
      <c r="AG261" s="45"/>
      <c r="AH261" s="45"/>
      <c r="AI261" s="3" t="s">
        <v>1583</v>
      </c>
    </row>
    <row r="262" spans="1:35">
      <c r="A262" s="144">
        <f t="shared" si="4"/>
        <v>260</v>
      </c>
      <c r="B262" s="148"/>
      <c r="C262" s="148"/>
      <c r="D262" s="148"/>
      <c r="E262" s="148"/>
      <c r="F262" s="148"/>
      <c r="G262" s="148"/>
      <c r="H262" s="148"/>
      <c r="I262" s="148"/>
      <c r="J262" s="98" t="s">
        <v>2101</v>
      </c>
      <c r="K262" s="101" t="str">
        <f>_xlfn.XLOOKUP(L262,'99_マスタ'!$D$5:$D$18,'99_マスタ'!$C$5:$C$18,"")</f>
        <v>02_生販在</v>
      </c>
      <c r="L262" s="101" t="s">
        <v>2325</v>
      </c>
      <c r="M262" s="101" t="s">
        <v>2701</v>
      </c>
      <c r="N262" s="126" t="s">
        <v>1637</v>
      </c>
      <c r="O262" s="61"/>
      <c r="P262" s="61"/>
      <c r="Q262" s="40" t="s">
        <v>2703</v>
      </c>
      <c r="R262" s="41" t="s">
        <v>139</v>
      </c>
      <c r="S262" s="41" t="s">
        <v>139</v>
      </c>
      <c r="T262" s="41" t="s">
        <v>139</v>
      </c>
      <c r="U262" s="48" t="s">
        <v>3116</v>
      </c>
      <c r="V262" s="41" t="s">
        <v>139</v>
      </c>
      <c r="W262" s="74" t="s">
        <v>139</v>
      </c>
      <c r="X262" s="41" t="s">
        <v>139</v>
      </c>
      <c r="Y262" s="41" t="s">
        <v>139</v>
      </c>
      <c r="Z262" s="41" t="s">
        <v>2693</v>
      </c>
      <c r="AA262" s="41" t="s">
        <v>139</v>
      </c>
      <c r="AB262" s="44" t="s">
        <v>3074</v>
      </c>
      <c r="AC262" s="45"/>
      <c r="AD262" s="45"/>
      <c r="AE262" s="46"/>
      <c r="AF262" s="45"/>
      <c r="AG262" s="45"/>
      <c r="AH262" s="45"/>
      <c r="AI262" s="3" t="s">
        <v>1583</v>
      </c>
    </row>
    <row r="263" spans="1:35" ht="40.5">
      <c r="A263" s="144">
        <f t="shared" si="4"/>
        <v>261</v>
      </c>
      <c r="B263" s="148"/>
      <c r="C263" s="148"/>
      <c r="D263" s="148"/>
      <c r="E263" s="148"/>
      <c r="F263" s="148"/>
      <c r="G263" s="148"/>
      <c r="H263" s="148"/>
      <c r="I263" s="148"/>
      <c r="J263" s="98" t="s">
        <v>2101</v>
      </c>
      <c r="K263" s="99" t="str">
        <f>_xlfn.XLOOKUP(L263,'99_マスタ'!$D$5:$D$18,'99_マスタ'!$C$5:$C$18,"")</f>
        <v>02_生販在</v>
      </c>
      <c r="L263" s="101" t="s">
        <v>2325</v>
      </c>
      <c r="M263" s="99" t="s">
        <v>3038</v>
      </c>
      <c r="N263" s="126" t="s">
        <v>3037</v>
      </c>
      <c r="O263" s="62" t="s">
        <v>2260</v>
      </c>
      <c r="P263" s="40" t="s">
        <v>2261</v>
      </c>
      <c r="Q263" s="40" t="s">
        <v>2093</v>
      </c>
      <c r="R263" s="41" t="s">
        <v>139</v>
      </c>
      <c r="S263" s="41" t="s">
        <v>139</v>
      </c>
      <c r="T263" s="41" t="s">
        <v>139</v>
      </c>
      <c r="U263" s="41" t="s">
        <v>2237</v>
      </c>
      <c r="V263" s="41" t="s">
        <v>139</v>
      </c>
      <c r="W263" s="74" t="s">
        <v>139</v>
      </c>
      <c r="X263" s="41" t="s">
        <v>139</v>
      </c>
      <c r="Y263" s="41" t="s">
        <v>139</v>
      </c>
      <c r="Z263" s="41" t="s">
        <v>2248</v>
      </c>
      <c r="AA263" s="41" t="s">
        <v>139</v>
      </c>
      <c r="AB263" s="44"/>
      <c r="AC263" s="45"/>
      <c r="AD263" s="45"/>
      <c r="AE263" s="46"/>
      <c r="AF263" s="45"/>
      <c r="AG263" s="45"/>
      <c r="AH263" s="45"/>
      <c r="AI263" s="3" t="s">
        <v>1583</v>
      </c>
    </row>
    <row r="264" spans="1:35" ht="40.5">
      <c r="A264" s="144">
        <f t="shared" si="4"/>
        <v>262</v>
      </c>
      <c r="B264" s="148"/>
      <c r="C264" s="148"/>
      <c r="D264" s="148"/>
      <c r="E264" s="148"/>
      <c r="F264" s="148"/>
      <c r="G264" s="148"/>
      <c r="H264" s="148"/>
      <c r="I264" s="148"/>
      <c r="J264" s="98" t="s">
        <v>2101</v>
      </c>
      <c r="K264" s="99" t="str">
        <f>_xlfn.XLOOKUP(L264,'99_マスタ'!$D$5:$D$18,'99_マスタ'!$C$5:$C$18,"")</f>
        <v>02_生販在</v>
      </c>
      <c r="L264" s="99" t="s">
        <v>2325</v>
      </c>
      <c r="M264" s="99" t="s">
        <v>2317</v>
      </c>
      <c r="N264" s="126" t="s">
        <v>1637</v>
      </c>
      <c r="O264" s="40" t="s">
        <v>2318</v>
      </c>
      <c r="P264" s="40" t="s">
        <v>2319</v>
      </c>
      <c r="Q264" s="40" t="s">
        <v>2320</v>
      </c>
      <c r="R264" s="41" t="s">
        <v>139</v>
      </c>
      <c r="S264" s="41" t="s">
        <v>139</v>
      </c>
      <c r="T264" s="41" t="s">
        <v>139</v>
      </c>
      <c r="U264" s="41" t="s">
        <v>2321</v>
      </c>
      <c r="V264" s="41" t="s">
        <v>139</v>
      </c>
      <c r="W264" s="74" t="s">
        <v>139</v>
      </c>
      <c r="X264" s="41" t="s">
        <v>139</v>
      </c>
      <c r="Y264" s="41" t="s">
        <v>139</v>
      </c>
      <c r="Z264" s="41" t="s">
        <v>2352</v>
      </c>
      <c r="AA264" s="41" t="s">
        <v>139</v>
      </c>
      <c r="AB264" s="44"/>
      <c r="AC264" s="45"/>
      <c r="AD264" s="45"/>
      <c r="AE264" s="46"/>
      <c r="AF264" s="45"/>
      <c r="AG264" s="45"/>
      <c r="AH264" s="45"/>
      <c r="AI264" s="3" t="s">
        <v>1583</v>
      </c>
    </row>
    <row r="265" spans="1:35" ht="40.5">
      <c r="A265" s="144">
        <f t="shared" si="4"/>
        <v>263</v>
      </c>
      <c r="B265" s="148"/>
      <c r="C265" s="148"/>
      <c r="D265" s="148"/>
      <c r="E265" s="148"/>
      <c r="F265" s="148"/>
      <c r="G265" s="148"/>
      <c r="H265" s="148"/>
      <c r="I265" s="148"/>
      <c r="J265" s="98" t="s">
        <v>2101</v>
      </c>
      <c r="K265" s="104" t="str">
        <f>_xlfn.XLOOKUP(L265,'99_マスタ'!$D$5:$D$18,'99_マスタ'!$C$5:$C$18,"")</f>
        <v>02_生販在</v>
      </c>
      <c r="L265" s="104" t="s">
        <v>2325</v>
      </c>
      <c r="M265" s="104" t="s">
        <v>2688</v>
      </c>
      <c r="N265" s="126" t="s">
        <v>1637</v>
      </c>
      <c r="O265" s="40" t="s">
        <v>2689</v>
      </c>
      <c r="P265" s="40"/>
      <c r="Q265" s="40" t="s">
        <v>2690</v>
      </c>
      <c r="R265" s="41" t="s">
        <v>139</v>
      </c>
      <c r="S265" s="41" t="s">
        <v>139</v>
      </c>
      <c r="T265" s="41" t="s">
        <v>139</v>
      </c>
      <c r="U265" s="41" t="s">
        <v>2692</v>
      </c>
      <c r="V265" s="41" t="s">
        <v>139</v>
      </c>
      <c r="W265" s="74" t="s">
        <v>139</v>
      </c>
      <c r="X265" s="41" t="s">
        <v>139</v>
      </c>
      <c r="Y265" s="41" t="s">
        <v>139</v>
      </c>
      <c r="Z265" s="41" t="s">
        <v>880</v>
      </c>
      <c r="AA265" s="41" t="s">
        <v>139</v>
      </c>
      <c r="AB265" s="44"/>
      <c r="AC265" s="45"/>
      <c r="AD265" s="45"/>
      <c r="AE265" s="46"/>
      <c r="AF265" s="45"/>
      <c r="AG265" s="45"/>
      <c r="AH265" s="45"/>
      <c r="AI265" s="3" t="s">
        <v>1583</v>
      </c>
    </row>
    <row r="266" spans="1:35" ht="27">
      <c r="A266" s="144">
        <f t="shared" si="4"/>
        <v>264</v>
      </c>
      <c r="B266" s="148"/>
      <c r="C266" s="148"/>
      <c r="D266" s="148"/>
      <c r="E266" s="148"/>
      <c r="F266" s="148"/>
      <c r="G266" s="148"/>
      <c r="H266" s="148"/>
      <c r="I266" s="148"/>
      <c r="J266" s="100" t="s">
        <v>2101</v>
      </c>
      <c r="K266" s="99" t="str">
        <f>_xlfn.XLOOKUP(L266,'99_マスタ'!$D$5:$D$18,'99_マスタ'!$C$5:$C$18,"")</f>
        <v>02_生販在</v>
      </c>
      <c r="L266" s="99" t="s">
        <v>2325</v>
      </c>
      <c r="M266" s="99" t="s">
        <v>2332</v>
      </c>
      <c r="N266" s="126" t="s">
        <v>1637</v>
      </c>
      <c r="O266" s="40" t="s">
        <v>3072</v>
      </c>
      <c r="P266" s="40"/>
      <c r="Q266" s="40" t="s">
        <v>2333</v>
      </c>
      <c r="R266" s="41" t="s">
        <v>139</v>
      </c>
      <c r="S266" s="41" t="s">
        <v>139</v>
      </c>
      <c r="T266" s="41" t="s">
        <v>139</v>
      </c>
      <c r="U266" s="41" t="s">
        <v>2334</v>
      </c>
      <c r="V266" s="41" t="s">
        <v>139</v>
      </c>
      <c r="W266" s="74" t="s">
        <v>139</v>
      </c>
      <c r="X266" s="41" t="s">
        <v>139</v>
      </c>
      <c r="Y266" s="41" t="s">
        <v>139</v>
      </c>
      <c r="Z266" s="41" t="s">
        <v>708</v>
      </c>
      <c r="AA266" s="41" t="s">
        <v>139</v>
      </c>
      <c r="AB266" s="44"/>
      <c r="AC266" s="45"/>
      <c r="AD266" s="45"/>
      <c r="AE266" s="46"/>
      <c r="AF266" s="45"/>
      <c r="AG266" s="45"/>
      <c r="AH266" s="45"/>
      <c r="AI266" s="3" t="s">
        <v>1583</v>
      </c>
    </row>
    <row r="267" spans="1:35" ht="27">
      <c r="A267" s="144">
        <f t="shared" si="4"/>
        <v>265</v>
      </c>
      <c r="B267" s="148"/>
      <c r="C267" s="148"/>
      <c r="D267" s="148"/>
      <c r="E267" s="148"/>
      <c r="F267" s="148"/>
      <c r="G267" s="148"/>
      <c r="H267" s="148"/>
      <c r="I267" s="148"/>
      <c r="J267" s="103" t="s">
        <v>2101</v>
      </c>
      <c r="K267" s="100" t="str">
        <f>_xlfn.XLOOKUP(L267,'99_マスタ'!$D$5:$D$18,'99_マスタ'!$C$5:$C$18,"")</f>
        <v>02_生販在</v>
      </c>
      <c r="L267" s="100" t="s">
        <v>2325</v>
      </c>
      <c r="M267" s="100" t="s">
        <v>1380</v>
      </c>
      <c r="N267" s="126" t="s">
        <v>139</v>
      </c>
      <c r="O267" s="40" t="s">
        <v>1381</v>
      </c>
      <c r="P267" s="61"/>
      <c r="Q267" s="40" t="s">
        <v>1645</v>
      </c>
      <c r="R267" s="41" t="s">
        <v>1382</v>
      </c>
      <c r="S267" s="41" t="s">
        <v>139</v>
      </c>
      <c r="T267" s="41" t="s">
        <v>139</v>
      </c>
      <c r="U267" s="41" t="s">
        <v>139</v>
      </c>
      <c r="V267" s="41" t="s">
        <v>3119</v>
      </c>
      <c r="W267" s="74" t="s">
        <v>163</v>
      </c>
      <c r="X267" s="41" t="s">
        <v>139</v>
      </c>
      <c r="Y267" s="41" t="s">
        <v>139</v>
      </c>
      <c r="Z267" s="41" t="s">
        <v>139</v>
      </c>
      <c r="AA267" s="41" t="s">
        <v>157</v>
      </c>
      <c r="AB267" s="44" t="s">
        <v>1594</v>
      </c>
      <c r="AC267" s="45"/>
      <c r="AD267" s="45"/>
      <c r="AE267" s="46"/>
      <c r="AF267" s="45"/>
      <c r="AG267" s="45"/>
      <c r="AH267" s="45"/>
      <c r="AI267" s="3" t="s">
        <v>1583</v>
      </c>
    </row>
    <row r="268" spans="1:35" ht="81">
      <c r="A268" s="144">
        <f t="shared" si="4"/>
        <v>266</v>
      </c>
      <c r="B268" s="148"/>
      <c r="C268" s="148"/>
      <c r="D268" s="148"/>
      <c r="E268" s="148"/>
      <c r="F268" s="148"/>
      <c r="G268" s="148"/>
      <c r="H268" s="148"/>
      <c r="I268" s="148"/>
      <c r="J268" s="98" t="s">
        <v>2101</v>
      </c>
      <c r="K268" s="100" t="str">
        <f>_xlfn.XLOOKUP(L268,'99_マスタ'!$D$5:$D$18,'99_マスタ'!$C$5:$C$18,"")</f>
        <v>02_生販在</v>
      </c>
      <c r="L268" s="100" t="s">
        <v>2325</v>
      </c>
      <c r="M268" s="100" t="s">
        <v>778</v>
      </c>
      <c r="N268" s="126" t="s">
        <v>981</v>
      </c>
      <c r="O268" s="40" t="s">
        <v>779</v>
      </c>
      <c r="P268" s="40" t="s">
        <v>780</v>
      </c>
      <c r="Q268" s="40" t="s">
        <v>781</v>
      </c>
      <c r="R268" s="41" t="s">
        <v>139</v>
      </c>
      <c r="S268" s="41" t="s">
        <v>139</v>
      </c>
      <c r="T268" s="41" t="s">
        <v>139</v>
      </c>
      <c r="U268" s="41" t="s">
        <v>2052</v>
      </c>
      <c r="V268" s="41" t="s">
        <v>1891</v>
      </c>
      <c r="W268" s="74" t="s">
        <v>139</v>
      </c>
      <c r="X268" s="41" t="s">
        <v>139</v>
      </c>
      <c r="Y268" s="41" t="s">
        <v>139</v>
      </c>
      <c r="Z268" s="41" t="s">
        <v>2184</v>
      </c>
      <c r="AA268" s="41" t="s">
        <v>1892</v>
      </c>
      <c r="AB268" s="44"/>
      <c r="AC268" s="45"/>
      <c r="AD268" s="45"/>
      <c r="AE268" s="46"/>
      <c r="AF268" s="45"/>
      <c r="AG268" s="45"/>
      <c r="AH268" s="45"/>
      <c r="AI268" s="3" t="s">
        <v>1583</v>
      </c>
    </row>
    <row r="269" spans="1:35" ht="67.5">
      <c r="A269" s="144">
        <f t="shared" si="4"/>
        <v>267</v>
      </c>
      <c r="B269" s="148"/>
      <c r="C269" s="148"/>
      <c r="D269" s="148"/>
      <c r="E269" s="148"/>
      <c r="F269" s="148"/>
      <c r="G269" s="148"/>
      <c r="H269" s="148"/>
      <c r="I269" s="148"/>
      <c r="J269" s="98" t="s">
        <v>2101</v>
      </c>
      <c r="K269" s="100" t="str">
        <f>_xlfn.XLOOKUP(L269,'99_マスタ'!$D$5:$D$18,'99_マスタ'!$C$5:$C$18,"")</f>
        <v>02_生販在</v>
      </c>
      <c r="L269" s="100" t="s">
        <v>2325</v>
      </c>
      <c r="M269" s="100" t="s">
        <v>982</v>
      </c>
      <c r="N269" s="126" t="s">
        <v>983</v>
      </c>
      <c r="O269" s="40" t="s">
        <v>984</v>
      </c>
      <c r="P269" s="40"/>
      <c r="Q269" s="40" t="s">
        <v>2781</v>
      </c>
      <c r="R269" s="41" t="s">
        <v>139</v>
      </c>
      <c r="S269" s="41" t="s">
        <v>139</v>
      </c>
      <c r="T269" s="41" t="s">
        <v>139</v>
      </c>
      <c r="U269" s="41" t="s">
        <v>2783</v>
      </c>
      <c r="V269" s="41" t="s">
        <v>1891</v>
      </c>
      <c r="W269" s="74" t="s">
        <v>139</v>
      </c>
      <c r="X269" s="41" t="s">
        <v>139</v>
      </c>
      <c r="Y269" s="41" t="s">
        <v>139</v>
      </c>
      <c r="Z269" s="41" t="s">
        <v>2782</v>
      </c>
      <c r="AA269" s="41" t="s">
        <v>1892</v>
      </c>
      <c r="AB269" s="44"/>
      <c r="AC269" s="45"/>
      <c r="AD269" s="45"/>
      <c r="AE269" s="46"/>
      <c r="AF269" s="45"/>
      <c r="AG269" s="45"/>
      <c r="AH269" s="45"/>
      <c r="AI269" s="3" t="s">
        <v>1583</v>
      </c>
    </row>
    <row r="270" spans="1:35" ht="135">
      <c r="A270" s="144">
        <f t="shared" si="4"/>
        <v>268</v>
      </c>
      <c r="B270" s="148"/>
      <c r="C270" s="148"/>
      <c r="D270" s="148"/>
      <c r="E270" s="148"/>
      <c r="F270" s="148"/>
      <c r="G270" s="148"/>
      <c r="H270" s="148"/>
      <c r="I270" s="148"/>
      <c r="J270" s="98" t="s">
        <v>2101</v>
      </c>
      <c r="K270" s="100" t="str">
        <f>_xlfn.XLOOKUP(L270,'99_マスタ'!$D$5:$D$18,'99_マスタ'!$C$5:$C$18,"")</f>
        <v>02_生販在</v>
      </c>
      <c r="L270" s="100" t="s">
        <v>2325</v>
      </c>
      <c r="M270" s="100" t="s">
        <v>637</v>
      </c>
      <c r="N270" s="126" t="s">
        <v>139</v>
      </c>
      <c r="O270" s="40" t="s">
        <v>638</v>
      </c>
      <c r="P270" s="40" t="s">
        <v>639</v>
      </c>
      <c r="Q270" s="40" t="s">
        <v>161</v>
      </c>
      <c r="R270" s="41" t="s">
        <v>139</v>
      </c>
      <c r="S270" s="41" t="s">
        <v>139</v>
      </c>
      <c r="T270" s="41" t="s">
        <v>139</v>
      </c>
      <c r="U270" s="41" t="s">
        <v>640</v>
      </c>
      <c r="V270" s="41" t="s">
        <v>3121</v>
      </c>
      <c r="W270" s="74" t="s">
        <v>139</v>
      </c>
      <c r="X270" s="41" t="s">
        <v>139</v>
      </c>
      <c r="Y270" s="41" t="s">
        <v>139</v>
      </c>
      <c r="Z270" s="41" t="s">
        <v>1588</v>
      </c>
      <c r="AA270" s="41" t="s">
        <v>641</v>
      </c>
      <c r="AB270" s="44"/>
      <c r="AC270" s="45"/>
      <c r="AD270" s="45"/>
      <c r="AE270" s="46"/>
      <c r="AF270" s="45"/>
      <c r="AG270" s="45"/>
      <c r="AH270" s="45"/>
      <c r="AI270" s="3" t="s">
        <v>1583</v>
      </c>
    </row>
    <row r="271" spans="1:35" ht="40.5">
      <c r="A271" s="144">
        <f t="shared" si="4"/>
        <v>269</v>
      </c>
      <c r="B271" s="148"/>
      <c r="C271" s="148"/>
      <c r="D271" s="148"/>
      <c r="E271" s="148"/>
      <c r="F271" s="148"/>
      <c r="G271" s="148"/>
      <c r="H271" s="148"/>
      <c r="I271" s="148"/>
      <c r="J271" s="103" t="s">
        <v>2101</v>
      </c>
      <c r="K271" s="99" t="s">
        <v>3083</v>
      </c>
      <c r="L271" s="99" t="s">
        <v>2325</v>
      </c>
      <c r="M271" s="99" t="s">
        <v>2934</v>
      </c>
      <c r="N271" s="126" t="s">
        <v>2677</v>
      </c>
      <c r="O271" s="40" t="s">
        <v>3321</v>
      </c>
      <c r="P271" s="40"/>
      <c r="Q271" s="40" t="s">
        <v>284</v>
      </c>
      <c r="R271" s="41" t="s">
        <v>2936</v>
      </c>
      <c r="S271" s="41" t="s">
        <v>139</v>
      </c>
      <c r="T271" s="41" t="s">
        <v>139</v>
      </c>
      <c r="U271" s="41" t="s">
        <v>139</v>
      </c>
      <c r="V271" s="41" t="s">
        <v>139</v>
      </c>
      <c r="W271" s="74" t="s">
        <v>2935</v>
      </c>
      <c r="X271" s="41" t="s">
        <v>139</v>
      </c>
      <c r="Y271" s="41" t="s">
        <v>139</v>
      </c>
      <c r="Z271" s="41" t="s">
        <v>139</v>
      </c>
      <c r="AA271" s="41" t="s">
        <v>139</v>
      </c>
      <c r="AB271" s="44"/>
      <c r="AC271" s="45"/>
      <c r="AD271" s="45"/>
      <c r="AE271" s="46"/>
      <c r="AF271" s="45"/>
      <c r="AG271" s="45"/>
      <c r="AH271" s="45"/>
      <c r="AI271" s="3" t="s">
        <v>1583</v>
      </c>
    </row>
    <row r="272" spans="1:35" ht="54">
      <c r="A272" s="144">
        <f t="shared" si="4"/>
        <v>270</v>
      </c>
      <c r="B272" s="148"/>
      <c r="C272" s="148"/>
      <c r="D272" s="148"/>
      <c r="E272" s="148"/>
      <c r="F272" s="148"/>
      <c r="G272" s="148"/>
      <c r="H272" s="148"/>
      <c r="I272" s="148"/>
      <c r="J272" s="103" t="s">
        <v>2101</v>
      </c>
      <c r="K272" s="99" t="s">
        <v>3083</v>
      </c>
      <c r="L272" s="99" t="s">
        <v>2325</v>
      </c>
      <c r="M272" s="99" t="s">
        <v>3322</v>
      </c>
      <c r="N272" s="126" t="s">
        <v>868</v>
      </c>
      <c r="O272" s="40" t="s">
        <v>3323</v>
      </c>
      <c r="P272" s="40"/>
      <c r="Q272" s="40" t="s">
        <v>792</v>
      </c>
      <c r="R272" s="41" t="s">
        <v>139</v>
      </c>
      <c r="S272" s="41" t="s">
        <v>139</v>
      </c>
      <c r="T272" s="41" t="s">
        <v>139</v>
      </c>
      <c r="U272" s="41" t="s">
        <v>869</v>
      </c>
      <c r="V272" s="41" t="s">
        <v>139</v>
      </c>
      <c r="W272" s="74" t="s">
        <v>139</v>
      </c>
      <c r="X272" s="41" t="s">
        <v>139</v>
      </c>
      <c r="Y272" s="41" t="s">
        <v>139</v>
      </c>
      <c r="Z272" s="41" t="s">
        <v>868</v>
      </c>
      <c r="AA272" s="41" t="s">
        <v>139</v>
      </c>
      <c r="AB272" s="44"/>
      <c r="AC272" s="45"/>
      <c r="AD272" s="45"/>
      <c r="AE272" s="46"/>
      <c r="AF272" s="45"/>
      <c r="AG272" s="45"/>
      <c r="AH272" s="45"/>
      <c r="AI272" s="3" t="s">
        <v>1583</v>
      </c>
    </row>
    <row r="273" spans="1:35" ht="40.5">
      <c r="A273" s="144">
        <f t="shared" si="4"/>
        <v>271</v>
      </c>
      <c r="B273" s="148"/>
      <c r="C273" s="148"/>
      <c r="D273" s="148"/>
      <c r="E273" s="148"/>
      <c r="F273" s="148"/>
      <c r="G273" s="148"/>
      <c r="H273" s="148"/>
      <c r="I273" s="148"/>
      <c r="J273" s="103" t="s">
        <v>2101</v>
      </c>
      <c r="K273" s="99" t="s">
        <v>3083</v>
      </c>
      <c r="L273" s="99" t="s">
        <v>2325</v>
      </c>
      <c r="M273" s="99" t="s">
        <v>870</v>
      </c>
      <c r="N273" s="126" t="s">
        <v>871</v>
      </c>
      <c r="O273" s="40" t="s">
        <v>3325</v>
      </c>
      <c r="P273" s="40"/>
      <c r="Q273" s="40" t="s">
        <v>792</v>
      </c>
      <c r="R273" s="41" t="s">
        <v>139</v>
      </c>
      <c r="S273" s="41" t="s">
        <v>139</v>
      </c>
      <c r="T273" s="41" t="s">
        <v>139</v>
      </c>
      <c r="U273" s="41" t="s">
        <v>872</v>
      </c>
      <c r="V273" s="41" t="s">
        <v>139</v>
      </c>
      <c r="W273" s="74" t="s">
        <v>139</v>
      </c>
      <c r="X273" s="41" t="s">
        <v>139</v>
      </c>
      <c r="Y273" s="41" t="s">
        <v>139</v>
      </c>
      <c r="Z273" s="41" t="s">
        <v>868</v>
      </c>
      <c r="AA273" s="41" t="s">
        <v>139</v>
      </c>
      <c r="AB273" s="44"/>
      <c r="AC273" s="45"/>
      <c r="AD273" s="45"/>
      <c r="AE273" s="46"/>
      <c r="AF273" s="45"/>
      <c r="AG273" s="45"/>
      <c r="AH273" s="45"/>
      <c r="AI273" s="3" t="s">
        <v>1583</v>
      </c>
    </row>
    <row r="274" spans="1:35" ht="27">
      <c r="A274" s="144">
        <f t="shared" si="4"/>
        <v>272</v>
      </c>
      <c r="B274" s="148"/>
      <c r="C274" s="148"/>
      <c r="D274" s="148"/>
      <c r="E274" s="148"/>
      <c r="F274" s="148"/>
      <c r="G274" s="148"/>
      <c r="H274" s="148"/>
      <c r="I274" s="148"/>
      <c r="J274" s="103" t="s">
        <v>2101</v>
      </c>
      <c r="K274" s="104" t="s">
        <v>3083</v>
      </c>
      <c r="L274" s="104" t="s">
        <v>2325</v>
      </c>
      <c r="M274" s="104" t="s">
        <v>906</v>
      </c>
      <c r="N274" s="126" t="s">
        <v>907</v>
      </c>
      <c r="O274" s="40" t="s">
        <v>908</v>
      </c>
      <c r="P274" s="40" t="s">
        <v>909</v>
      </c>
      <c r="Q274" s="40" t="s">
        <v>284</v>
      </c>
      <c r="R274" s="41" t="s">
        <v>139</v>
      </c>
      <c r="S274" s="41" t="s">
        <v>139</v>
      </c>
      <c r="T274" s="41" t="s">
        <v>139</v>
      </c>
      <c r="U274" s="41" t="s">
        <v>910</v>
      </c>
      <c r="V274" s="41" t="s">
        <v>139</v>
      </c>
      <c r="W274" s="74" t="s">
        <v>139</v>
      </c>
      <c r="X274" s="41" t="s">
        <v>139</v>
      </c>
      <c r="Y274" s="41" t="s">
        <v>139</v>
      </c>
      <c r="Z274" s="41" t="s">
        <v>899</v>
      </c>
      <c r="AA274" s="41" t="s">
        <v>139</v>
      </c>
      <c r="AB274" s="44"/>
      <c r="AC274" s="45"/>
      <c r="AD274" s="45"/>
      <c r="AE274" s="46"/>
      <c r="AF274" s="45"/>
      <c r="AG274" s="45"/>
      <c r="AH274" s="45"/>
      <c r="AI274" s="3" t="s">
        <v>1583</v>
      </c>
    </row>
    <row r="275" spans="1:35" ht="67.5">
      <c r="A275" s="144">
        <f t="shared" si="4"/>
        <v>273</v>
      </c>
      <c r="B275" s="148"/>
      <c r="C275" s="148"/>
      <c r="D275" s="148"/>
      <c r="E275" s="148"/>
      <c r="F275" s="148"/>
      <c r="G275" s="148"/>
      <c r="H275" s="148"/>
      <c r="I275" s="148"/>
      <c r="J275" s="103" t="s">
        <v>2101</v>
      </c>
      <c r="K275" s="101" t="s">
        <v>3083</v>
      </c>
      <c r="L275" s="111" t="s">
        <v>2325</v>
      </c>
      <c r="M275" s="111" t="s">
        <v>3319</v>
      </c>
      <c r="N275" s="126" t="s">
        <v>3320</v>
      </c>
      <c r="O275" s="40" t="s">
        <v>810</v>
      </c>
      <c r="P275" s="40" t="s">
        <v>811</v>
      </c>
      <c r="Q275" s="40" t="s">
        <v>2076</v>
      </c>
      <c r="R275" s="41" t="s">
        <v>139</v>
      </c>
      <c r="S275" s="41" t="s">
        <v>139</v>
      </c>
      <c r="T275" s="41" t="s">
        <v>139</v>
      </c>
      <c r="U275" s="41" t="s">
        <v>812</v>
      </c>
      <c r="V275" s="41" t="s">
        <v>139</v>
      </c>
      <c r="W275" s="74" t="s">
        <v>139</v>
      </c>
      <c r="X275" s="41" t="s">
        <v>139</v>
      </c>
      <c r="Y275" s="41" t="s">
        <v>139</v>
      </c>
      <c r="Z275" s="41" t="s">
        <v>802</v>
      </c>
      <c r="AA275" s="41" t="s">
        <v>139</v>
      </c>
      <c r="AB275" s="44"/>
      <c r="AC275" s="45"/>
      <c r="AD275" s="45"/>
      <c r="AE275" s="46"/>
      <c r="AF275" s="45"/>
      <c r="AG275" s="45"/>
      <c r="AH275" s="45"/>
      <c r="AI275" s="3" t="s">
        <v>1583</v>
      </c>
    </row>
    <row r="276" spans="1:35" ht="67.5">
      <c r="A276" s="144">
        <f t="shared" si="4"/>
        <v>274</v>
      </c>
      <c r="B276" s="148"/>
      <c r="C276" s="148"/>
      <c r="D276" s="148"/>
      <c r="E276" s="148"/>
      <c r="F276" s="148"/>
      <c r="G276" s="148"/>
      <c r="H276" s="148"/>
      <c r="I276" s="148"/>
      <c r="J276" s="98" t="s">
        <v>2101</v>
      </c>
      <c r="K276" s="101" t="str">
        <f>_xlfn.XLOOKUP(L276,'99_マスタ'!$D$5:$D$18,'99_マスタ'!$C$5:$C$18,"")</f>
        <v>02_生販在</v>
      </c>
      <c r="L276" s="111" t="s">
        <v>2325</v>
      </c>
      <c r="M276" s="111" t="s">
        <v>3108</v>
      </c>
      <c r="N276" s="126" t="s">
        <v>3109</v>
      </c>
      <c r="O276" s="40" t="s">
        <v>813</v>
      </c>
      <c r="P276" s="40" t="s">
        <v>814</v>
      </c>
      <c r="Q276" s="40" t="s">
        <v>2076</v>
      </c>
      <c r="R276" s="41" t="s">
        <v>139</v>
      </c>
      <c r="S276" s="41" t="s">
        <v>2723</v>
      </c>
      <c r="T276" s="41" t="s">
        <v>139</v>
      </c>
      <c r="U276" s="41" t="s">
        <v>812</v>
      </c>
      <c r="V276" s="41" t="s">
        <v>139</v>
      </c>
      <c r="W276" s="74" t="s">
        <v>139</v>
      </c>
      <c r="X276" s="41" t="s">
        <v>1261</v>
      </c>
      <c r="Y276" s="41" t="s">
        <v>139</v>
      </c>
      <c r="Z276" s="41" t="s">
        <v>802</v>
      </c>
      <c r="AA276" s="41" t="s">
        <v>139</v>
      </c>
      <c r="AB276" s="44"/>
      <c r="AC276" s="45"/>
      <c r="AD276" s="45"/>
      <c r="AE276" s="46"/>
      <c r="AF276" s="45"/>
      <c r="AG276" s="45"/>
      <c r="AH276" s="45"/>
      <c r="AI276" s="3" t="s">
        <v>1583</v>
      </c>
    </row>
    <row r="277" spans="1:35" ht="27">
      <c r="A277" s="144">
        <f t="shared" si="4"/>
        <v>275</v>
      </c>
      <c r="B277" s="148"/>
      <c r="C277" s="148"/>
      <c r="D277" s="148"/>
      <c r="E277" s="148"/>
      <c r="F277" s="148"/>
      <c r="G277" s="148"/>
      <c r="H277" s="148"/>
      <c r="I277" s="148"/>
      <c r="J277" s="98" t="s">
        <v>2101</v>
      </c>
      <c r="K277" s="51" t="str">
        <f>_xlfn.XLOOKUP(L277,'99_マスタ'!$D$5:$D$18,'99_マスタ'!$C$5:$C$18,"")</f>
        <v>02_生販在</v>
      </c>
      <c r="L277" s="52" t="s">
        <v>2325</v>
      </c>
      <c r="M277" s="52" t="s">
        <v>2283</v>
      </c>
      <c r="N277" s="54" t="s">
        <v>1637</v>
      </c>
      <c r="O277" s="41" t="s">
        <v>2284</v>
      </c>
      <c r="P277" s="70"/>
      <c r="Q277" s="41" t="s">
        <v>2268</v>
      </c>
      <c r="R277" s="41" t="s">
        <v>139</v>
      </c>
      <c r="S277" s="41" t="s">
        <v>139</v>
      </c>
      <c r="T277" s="41" t="s">
        <v>139</v>
      </c>
      <c r="U277" s="41" t="s">
        <v>2271</v>
      </c>
      <c r="V277" s="41" t="s">
        <v>139</v>
      </c>
      <c r="W277" s="73" t="s">
        <v>139</v>
      </c>
      <c r="X277" s="54" t="s">
        <v>139</v>
      </c>
      <c r="Y277" s="54" t="s">
        <v>139</v>
      </c>
      <c r="Z277" s="54" t="s">
        <v>2289</v>
      </c>
      <c r="AA277" s="54" t="s">
        <v>139</v>
      </c>
      <c r="AB277" s="55"/>
      <c r="AC277" s="56"/>
      <c r="AD277" s="56"/>
      <c r="AE277" s="57"/>
      <c r="AF277" s="56"/>
      <c r="AG277" s="56"/>
      <c r="AH277" s="56"/>
      <c r="AI277" s="3" t="s">
        <v>1583</v>
      </c>
    </row>
    <row r="278" spans="1:35" ht="27">
      <c r="A278" s="144">
        <f t="shared" si="4"/>
        <v>276</v>
      </c>
      <c r="B278" s="148"/>
      <c r="C278" s="148"/>
      <c r="D278" s="148"/>
      <c r="E278" s="148"/>
      <c r="F278" s="148"/>
      <c r="G278" s="148"/>
      <c r="H278" s="148"/>
      <c r="I278" s="148"/>
      <c r="J278" s="103" t="s">
        <v>2101</v>
      </c>
      <c r="K278" s="99" t="s">
        <v>3083</v>
      </c>
      <c r="L278" s="99" t="s">
        <v>2325</v>
      </c>
      <c r="M278" s="99" t="s">
        <v>1658</v>
      </c>
      <c r="N278" s="126" t="s">
        <v>2677</v>
      </c>
      <c r="O278" s="40" t="s">
        <v>2132</v>
      </c>
      <c r="P278" s="61"/>
      <c r="Q278" s="40" t="s">
        <v>284</v>
      </c>
      <c r="R278" s="41" t="s">
        <v>139</v>
      </c>
      <c r="S278" s="41" t="s">
        <v>139</v>
      </c>
      <c r="T278" s="41" t="s">
        <v>139</v>
      </c>
      <c r="U278" s="41" t="s">
        <v>2123</v>
      </c>
      <c r="V278" s="41" t="s">
        <v>139</v>
      </c>
      <c r="W278" s="74" t="s">
        <v>139</v>
      </c>
      <c r="X278" s="41" t="s">
        <v>139</v>
      </c>
      <c r="Y278" s="41" t="s">
        <v>139</v>
      </c>
      <c r="Z278" s="41" t="s">
        <v>2130</v>
      </c>
      <c r="AA278" s="41" t="s">
        <v>139</v>
      </c>
      <c r="AB278" s="44"/>
      <c r="AC278" s="45"/>
      <c r="AD278" s="45"/>
      <c r="AE278" s="46"/>
      <c r="AF278" s="45"/>
      <c r="AG278" s="45"/>
      <c r="AH278" s="45" t="s">
        <v>2133</v>
      </c>
      <c r="AI278" s="3" t="s">
        <v>1583</v>
      </c>
    </row>
    <row r="279" spans="1:35">
      <c r="A279" s="144">
        <f t="shared" si="4"/>
        <v>277</v>
      </c>
      <c r="B279" s="148"/>
      <c r="C279" s="148"/>
      <c r="D279" s="148"/>
      <c r="E279" s="148"/>
      <c r="F279" s="148"/>
      <c r="G279" s="148"/>
      <c r="H279" s="148"/>
      <c r="I279" s="148"/>
      <c r="J279" s="103" t="s">
        <v>2101</v>
      </c>
      <c r="K279" s="99" t="s">
        <v>3083</v>
      </c>
      <c r="L279" s="99" t="s">
        <v>2325</v>
      </c>
      <c r="M279" s="99" t="s">
        <v>2371</v>
      </c>
      <c r="N279" s="126" t="s">
        <v>2677</v>
      </c>
      <c r="O279" s="40" t="s">
        <v>2372</v>
      </c>
      <c r="P279" s="40"/>
      <c r="Q279" s="72" t="s">
        <v>2677</v>
      </c>
      <c r="R279" s="41" t="s">
        <v>139</v>
      </c>
      <c r="S279" s="41" t="s">
        <v>139</v>
      </c>
      <c r="T279" s="41" t="s">
        <v>139</v>
      </c>
      <c r="U279" s="41" t="s">
        <v>139</v>
      </c>
      <c r="V279" s="41" t="s">
        <v>139</v>
      </c>
      <c r="W279" s="74" t="s">
        <v>139</v>
      </c>
      <c r="X279" s="41" t="s">
        <v>139</v>
      </c>
      <c r="Y279" s="41" t="s">
        <v>139</v>
      </c>
      <c r="Z279" s="41" t="s">
        <v>139</v>
      </c>
      <c r="AA279" s="41" t="s">
        <v>139</v>
      </c>
      <c r="AB279" s="44"/>
      <c r="AC279" s="45"/>
      <c r="AD279" s="45"/>
      <c r="AE279" s="46"/>
      <c r="AF279" s="45"/>
      <c r="AG279" s="45"/>
      <c r="AH279" s="45"/>
      <c r="AI279" s="3" t="s">
        <v>1583</v>
      </c>
    </row>
    <row r="280" spans="1:35" ht="27">
      <c r="A280" s="144">
        <f t="shared" si="4"/>
        <v>278</v>
      </c>
      <c r="B280" s="148"/>
      <c r="C280" s="148"/>
      <c r="D280" s="148"/>
      <c r="E280" s="148"/>
      <c r="F280" s="148"/>
      <c r="G280" s="148"/>
      <c r="H280" s="148"/>
      <c r="I280" s="148"/>
      <c r="J280" s="98" t="s">
        <v>2101</v>
      </c>
      <c r="K280" s="100" t="str">
        <f>_xlfn.XLOOKUP(L280,'99_マスタ'!$D$5:$D$18,'99_マスタ'!$C$5:$C$18,"")</f>
        <v>02_生販在</v>
      </c>
      <c r="L280" s="111" t="s">
        <v>2325</v>
      </c>
      <c r="M280" s="100" t="s">
        <v>957</v>
      </c>
      <c r="N280" s="126" t="s">
        <v>139</v>
      </c>
      <c r="O280" s="40" t="s">
        <v>958</v>
      </c>
      <c r="P280" s="62" t="s">
        <v>959</v>
      </c>
      <c r="Q280" s="40" t="s">
        <v>672</v>
      </c>
      <c r="R280" s="41" t="s">
        <v>139</v>
      </c>
      <c r="S280" s="41" t="s">
        <v>139</v>
      </c>
      <c r="T280" s="41" t="s">
        <v>139</v>
      </c>
      <c r="U280" s="41" t="s">
        <v>960</v>
      </c>
      <c r="V280" s="41" t="s">
        <v>3102</v>
      </c>
      <c r="W280" s="74" t="s">
        <v>139</v>
      </c>
      <c r="X280" s="41" t="s">
        <v>139</v>
      </c>
      <c r="Y280" s="41" t="s">
        <v>139</v>
      </c>
      <c r="Z280" s="41" t="s">
        <v>956</v>
      </c>
      <c r="AA280" s="41" t="s">
        <v>302</v>
      </c>
      <c r="AB280" s="44" t="s">
        <v>1592</v>
      </c>
      <c r="AC280" s="45"/>
      <c r="AD280" s="45"/>
      <c r="AE280" s="46"/>
      <c r="AF280" s="45"/>
      <c r="AG280" s="45"/>
      <c r="AH280" s="45"/>
      <c r="AI280" s="3" t="s">
        <v>1583</v>
      </c>
    </row>
    <row r="281" spans="1:35">
      <c r="A281" s="144">
        <f t="shared" si="4"/>
        <v>279</v>
      </c>
      <c r="B281" s="148"/>
      <c r="C281" s="148"/>
      <c r="D281" s="148"/>
      <c r="E281" s="148"/>
      <c r="F281" s="148"/>
      <c r="G281" s="148"/>
      <c r="H281" s="148"/>
      <c r="I281" s="148"/>
      <c r="J281" s="98" t="s">
        <v>2101</v>
      </c>
      <c r="K281" s="100" t="str">
        <f>_xlfn.XLOOKUP(L281,'99_マスタ'!$D$5:$D$18,'99_マスタ'!$C$5:$C$18,"")</f>
        <v>02_生販在</v>
      </c>
      <c r="L281" s="111" t="s">
        <v>2325</v>
      </c>
      <c r="M281" s="100" t="s">
        <v>1367</v>
      </c>
      <c r="N281" s="126" t="s">
        <v>1658</v>
      </c>
      <c r="O281" s="40" t="s">
        <v>1657</v>
      </c>
      <c r="P281" s="40" t="s">
        <v>1369</v>
      </c>
      <c r="Q281" s="40" t="s">
        <v>1645</v>
      </c>
      <c r="R281" s="41" t="s">
        <v>139</v>
      </c>
      <c r="S281" s="41" t="s">
        <v>139</v>
      </c>
      <c r="T281" s="41" t="s">
        <v>139</v>
      </c>
      <c r="U281" s="41" t="s">
        <v>139</v>
      </c>
      <c r="V281" s="41" t="s">
        <v>302</v>
      </c>
      <c r="W281" s="74" t="s">
        <v>139</v>
      </c>
      <c r="X281" s="41" t="s">
        <v>139</v>
      </c>
      <c r="Y281" s="41" t="s">
        <v>139</v>
      </c>
      <c r="Z281" s="41" t="s">
        <v>139</v>
      </c>
      <c r="AA281" s="41" t="s">
        <v>302</v>
      </c>
      <c r="AB281" s="44"/>
      <c r="AC281" s="45"/>
      <c r="AD281" s="45"/>
      <c r="AE281" s="46"/>
      <c r="AF281" s="45"/>
      <c r="AG281" s="45"/>
      <c r="AH281" s="45"/>
      <c r="AI281" s="3" t="s">
        <v>1583</v>
      </c>
    </row>
    <row r="282" spans="1:35" ht="27">
      <c r="A282" s="144">
        <f t="shared" si="4"/>
        <v>280</v>
      </c>
      <c r="B282" s="148"/>
      <c r="C282" s="148"/>
      <c r="D282" s="148"/>
      <c r="E282" s="148"/>
      <c r="F282" s="148"/>
      <c r="G282" s="148"/>
      <c r="H282" s="148"/>
      <c r="I282" s="148"/>
      <c r="J282" s="103" t="s">
        <v>2101</v>
      </c>
      <c r="K282" s="101" t="s">
        <v>3083</v>
      </c>
      <c r="L282" s="111" t="s">
        <v>2325</v>
      </c>
      <c r="M282" s="111" t="s">
        <v>900</v>
      </c>
      <c r="N282" s="126" t="s">
        <v>139</v>
      </c>
      <c r="O282" s="40" t="s">
        <v>3324</v>
      </c>
      <c r="P282" s="40" t="s">
        <v>901</v>
      </c>
      <c r="Q282" s="40" t="s">
        <v>284</v>
      </c>
      <c r="R282" s="41" t="s">
        <v>139</v>
      </c>
      <c r="S282" s="41" t="s">
        <v>139</v>
      </c>
      <c r="T282" s="41" t="s">
        <v>139</v>
      </c>
      <c r="U282" s="41" t="s">
        <v>902</v>
      </c>
      <c r="V282" s="41" t="s">
        <v>139</v>
      </c>
      <c r="W282" s="74" t="s">
        <v>139</v>
      </c>
      <c r="X282" s="41" t="s">
        <v>139</v>
      </c>
      <c r="Y282" s="41" t="s">
        <v>139</v>
      </c>
      <c r="Z282" s="41" t="s">
        <v>899</v>
      </c>
      <c r="AA282" s="41" t="s">
        <v>139</v>
      </c>
      <c r="AB282" s="44"/>
      <c r="AC282" s="45"/>
      <c r="AD282" s="45"/>
      <c r="AE282" s="46"/>
      <c r="AF282" s="45"/>
      <c r="AG282" s="45"/>
      <c r="AH282" s="45"/>
      <c r="AI282" s="3" t="s">
        <v>1583</v>
      </c>
    </row>
    <row r="283" spans="1:35" ht="81">
      <c r="A283" s="144">
        <f t="shared" si="4"/>
        <v>281</v>
      </c>
      <c r="B283" s="148"/>
      <c r="C283" s="148"/>
      <c r="D283" s="148"/>
      <c r="E283" s="148"/>
      <c r="F283" s="148"/>
      <c r="G283" s="148"/>
      <c r="H283" s="148"/>
      <c r="I283" s="148"/>
      <c r="J283" s="98" t="s">
        <v>2101</v>
      </c>
      <c r="K283" s="99" t="str">
        <f>_xlfn.XLOOKUP(L283,'99_マスタ'!$D$5:$D$18,'99_マスタ'!$C$5:$C$18,"")</f>
        <v>02_生販在</v>
      </c>
      <c r="L283" s="111" t="s">
        <v>2325</v>
      </c>
      <c r="M283" s="99" t="s">
        <v>2295</v>
      </c>
      <c r="N283" s="126" t="s">
        <v>669</v>
      </c>
      <c r="O283" s="40" t="s">
        <v>670</v>
      </c>
      <c r="P283" s="40" t="s">
        <v>671</v>
      </c>
      <c r="Q283" s="40" t="s">
        <v>672</v>
      </c>
      <c r="R283" s="41" t="s">
        <v>139</v>
      </c>
      <c r="S283" s="41" t="s">
        <v>139</v>
      </c>
      <c r="T283" s="41" t="s">
        <v>139</v>
      </c>
      <c r="U283" s="41" t="s">
        <v>673</v>
      </c>
      <c r="V283" s="41" t="s">
        <v>139</v>
      </c>
      <c r="W283" s="74" t="s">
        <v>139</v>
      </c>
      <c r="X283" s="41" t="s">
        <v>139</v>
      </c>
      <c r="Y283" s="41" t="s">
        <v>139</v>
      </c>
      <c r="Z283" s="41" t="s">
        <v>674</v>
      </c>
      <c r="AA283" s="41" t="s">
        <v>139</v>
      </c>
      <c r="AB283" s="44"/>
      <c r="AC283" s="45"/>
      <c r="AD283" s="45"/>
      <c r="AE283" s="46"/>
      <c r="AF283" s="45"/>
      <c r="AG283" s="45"/>
      <c r="AH283" s="45"/>
      <c r="AI283" s="3" t="s">
        <v>1583</v>
      </c>
    </row>
    <row r="284" spans="1:35" ht="54">
      <c r="A284" s="144">
        <f t="shared" si="4"/>
        <v>282</v>
      </c>
      <c r="B284" s="148"/>
      <c r="C284" s="148"/>
      <c r="D284" s="148"/>
      <c r="E284" s="148"/>
      <c r="F284" s="148"/>
      <c r="G284" s="148"/>
      <c r="H284" s="148"/>
      <c r="I284" s="148"/>
      <c r="J284" s="98" t="s">
        <v>2101</v>
      </c>
      <c r="K284" s="101" t="str">
        <f>_xlfn.XLOOKUP(L284,'99_マスタ'!$D$5:$D$18,'99_マスタ'!$C$5:$C$18,"")</f>
        <v>02_生販在</v>
      </c>
      <c r="L284" s="111" t="s">
        <v>2325</v>
      </c>
      <c r="M284" s="111" t="s">
        <v>894</v>
      </c>
      <c r="N284" s="126" t="s">
        <v>139</v>
      </c>
      <c r="O284" s="68" t="s">
        <v>1651</v>
      </c>
      <c r="P284" s="68" t="s">
        <v>1650</v>
      </c>
      <c r="Q284" s="40" t="s">
        <v>161</v>
      </c>
      <c r="R284" s="41" t="s">
        <v>139</v>
      </c>
      <c r="S284" s="41" t="s">
        <v>139</v>
      </c>
      <c r="T284" s="41" t="s">
        <v>139</v>
      </c>
      <c r="U284" s="41" t="s">
        <v>1652</v>
      </c>
      <c r="V284" s="41" t="s">
        <v>139</v>
      </c>
      <c r="W284" s="74" t="s">
        <v>139</v>
      </c>
      <c r="X284" s="41" t="s">
        <v>139</v>
      </c>
      <c r="Y284" s="41" t="s">
        <v>139</v>
      </c>
      <c r="Z284" s="41" t="s">
        <v>2757</v>
      </c>
      <c r="AA284" s="41" t="s">
        <v>139</v>
      </c>
      <c r="AB284" s="44"/>
      <c r="AC284" s="45"/>
      <c r="AD284" s="45"/>
      <c r="AE284" s="46"/>
      <c r="AF284" s="45"/>
      <c r="AG284" s="45"/>
      <c r="AH284" s="45"/>
      <c r="AI284" s="3" t="s">
        <v>1583</v>
      </c>
    </row>
    <row r="285" spans="1:35" ht="27">
      <c r="A285" s="144">
        <f t="shared" si="4"/>
        <v>283</v>
      </c>
      <c r="B285" s="148"/>
      <c r="C285" s="148"/>
      <c r="D285" s="148"/>
      <c r="E285" s="148"/>
      <c r="F285" s="148"/>
      <c r="G285" s="148"/>
      <c r="H285" s="148"/>
      <c r="I285" s="148"/>
      <c r="J285" s="98" t="s">
        <v>2101</v>
      </c>
      <c r="K285" s="102" t="str">
        <f>_xlfn.XLOOKUP(L285,'99_マスタ'!$D$5:$D$18,'99_マスタ'!$C$5:$C$18,"")</f>
        <v>02_生販在</v>
      </c>
      <c r="L285" s="102" t="s">
        <v>2325</v>
      </c>
      <c r="M285" s="102" t="s">
        <v>1101</v>
      </c>
      <c r="N285" s="126" t="s">
        <v>1102</v>
      </c>
      <c r="O285" s="40" t="s">
        <v>1924</v>
      </c>
      <c r="P285" s="40"/>
      <c r="Q285" s="40" t="s">
        <v>2080</v>
      </c>
      <c r="R285" s="41" t="s">
        <v>139</v>
      </c>
      <c r="S285" s="41" t="s">
        <v>139</v>
      </c>
      <c r="T285" s="41" t="s">
        <v>1099</v>
      </c>
      <c r="U285" s="41" t="s">
        <v>139</v>
      </c>
      <c r="V285" s="41" t="s">
        <v>139</v>
      </c>
      <c r="W285" s="74" t="s">
        <v>139</v>
      </c>
      <c r="X285" s="41" t="s">
        <v>139</v>
      </c>
      <c r="Y285" s="41" t="s">
        <v>1100</v>
      </c>
      <c r="Z285" s="41" t="s">
        <v>139</v>
      </c>
      <c r="AA285" s="41" t="s">
        <v>139</v>
      </c>
      <c r="AB285" s="44"/>
      <c r="AC285" s="45"/>
      <c r="AD285" s="45"/>
      <c r="AE285" s="46"/>
      <c r="AF285" s="45"/>
      <c r="AG285" s="45"/>
      <c r="AH285" s="45"/>
      <c r="AI285" s="3" t="s">
        <v>1583</v>
      </c>
    </row>
    <row r="286" spans="1:35" ht="27">
      <c r="A286" s="144">
        <f t="shared" si="4"/>
        <v>284</v>
      </c>
      <c r="B286" s="148"/>
      <c r="C286" s="148"/>
      <c r="D286" s="148"/>
      <c r="E286" s="148"/>
      <c r="F286" s="148"/>
      <c r="G286" s="148"/>
      <c r="H286" s="148"/>
      <c r="I286" s="148"/>
      <c r="J286" s="103" t="s">
        <v>2101</v>
      </c>
      <c r="K286" s="102" t="s">
        <v>3083</v>
      </c>
      <c r="L286" s="102" t="s">
        <v>2325</v>
      </c>
      <c r="M286" s="102" t="s">
        <v>1103</v>
      </c>
      <c r="N286" s="126" t="s">
        <v>139</v>
      </c>
      <c r="O286" s="40" t="s">
        <v>3318</v>
      </c>
      <c r="P286" s="40"/>
      <c r="Q286" s="40" t="s">
        <v>2079</v>
      </c>
      <c r="R286" s="41" t="s">
        <v>139</v>
      </c>
      <c r="S286" s="41" t="s">
        <v>139</v>
      </c>
      <c r="T286" s="41" t="s">
        <v>1104</v>
      </c>
      <c r="U286" s="41" t="s">
        <v>139</v>
      </c>
      <c r="V286" s="41" t="s">
        <v>139</v>
      </c>
      <c r="W286" s="74" t="s">
        <v>139</v>
      </c>
      <c r="X286" s="41" t="s">
        <v>139</v>
      </c>
      <c r="Y286" s="41" t="s">
        <v>1100</v>
      </c>
      <c r="Z286" s="41" t="s">
        <v>139</v>
      </c>
      <c r="AA286" s="41" t="s">
        <v>139</v>
      </c>
      <c r="AB286" s="44"/>
      <c r="AC286" s="45"/>
      <c r="AD286" s="45"/>
      <c r="AE286" s="46"/>
      <c r="AF286" s="45"/>
      <c r="AG286" s="45"/>
      <c r="AH286" s="45"/>
      <c r="AI286" s="3" t="s">
        <v>1583</v>
      </c>
    </row>
    <row r="287" spans="1:35" ht="27">
      <c r="A287" s="144">
        <f t="shared" si="4"/>
        <v>285</v>
      </c>
      <c r="B287" s="148"/>
      <c r="C287" s="148"/>
      <c r="D287" s="148"/>
      <c r="E287" s="148"/>
      <c r="F287" s="148"/>
      <c r="G287" s="148"/>
      <c r="H287" s="148"/>
      <c r="I287" s="148"/>
      <c r="J287" s="103" t="s">
        <v>2101</v>
      </c>
      <c r="K287" s="102" t="s">
        <v>3083</v>
      </c>
      <c r="L287" s="102" t="s">
        <v>2325</v>
      </c>
      <c r="M287" s="102" t="s">
        <v>1097</v>
      </c>
      <c r="N287" s="126" t="s">
        <v>139</v>
      </c>
      <c r="O287" s="40" t="s">
        <v>1098</v>
      </c>
      <c r="P287" s="40"/>
      <c r="Q287" s="40" t="s">
        <v>2079</v>
      </c>
      <c r="R287" s="41" t="s">
        <v>139</v>
      </c>
      <c r="S287" s="41" t="s">
        <v>139</v>
      </c>
      <c r="T287" s="41" t="s">
        <v>1099</v>
      </c>
      <c r="U287" s="41" t="s">
        <v>139</v>
      </c>
      <c r="V287" s="41" t="s">
        <v>139</v>
      </c>
      <c r="W287" s="74" t="s">
        <v>139</v>
      </c>
      <c r="X287" s="41" t="s">
        <v>139</v>
      </c>
      <c r="Y287" s="41" t="s">
        <v>1100</v>
      </c>
      <c r="Z287" s="41" t="s">
        <v>139</v>
      </c>
      <c r="AA287" s="41" t="s">
        <v>139</v>
      </c>
      <c r="AB287" s="44"/>
      <c r="AC287" s="45"/>
      <c r="AD287" s="45"/>
      <c r="AE287" s="46"/>
      <c r="AF287" s="45"/>
      <c r="AG287" s="45"/>
      <c r="AH287" s="45"/>
      <c r="AI287" s="3" t="s">
        <v>1583</v>
      </c>
    </row>
    <row r="288" spans="1:35" ht="27">
      <c r="A288" s="144">
        <f t="shared" si="4"/>
        <v>286</v>
      </c>
      <c r="B288" s="148"/>
      <c r="C288" s="148"/>
      <c r="D288" s="148"/>
      <c r="E288" s="148"/>
      <c r="F288" s="148"/>
      <c r="G288" s="148"/>
      <c r="H288" s="148"/>
      <c r="I288" s="148"/>
      <c r="J288" s="103" t="s">
        <v>2101</v>
      </c>
      <c r="K288" s="102" t="s">
        <v>3083</v>
      </c>
      <c r="L288" s="102" t="s">
        <v>2325</v>
      </c>
      <c r="M288" s="102" t="s">
        <v>903</v>
      </c>
      <c r="N288" s="126" t="s">
        <v>139</v>
      </c>
      <c r="O288" s="40" t="s">
        <v>904</v>
      </c>
      <c r="P288" s="40"/>
      <c r="Q288" s="40" t="s">
        <v>284</v>
      </c>
      <c r="R288" s="41" t="s">
        <v>139</v>
      </c>
      <c r="S288" s="41" t="s">
        <v>139</v>
      </c>
      <c r="T288" s="41" t="s">
        <v>139</v>
      </c>
      <c r="U288" s="41" t="s">
        <v>905</v>
      </c>
      <c r="V288" s="41" t="s">
        <v>139</v>
      </c>
      <c r="W288" s="74" t="s">
        <v>139</v>
      </c>
      <c r="X288" s="41" t="s">
        <v>139</v>
      </c>
      <c r="Y288" s="41" t="s">
        <v>139</v>
      </c>
      <c r="Z288" s="41" t="s">
        <v>899</v>
      </c>
      <c r="AA288" s="41" t="s">
        <v>139</v>
      </c>
      <c r="AB288" s="44"/>
      <c r="AC288" s="45"/>
      <c r="AD288" s="45"/>
      <c r="AE288" s="46"/>
      <c r="AF288" s="45"/>
      <c r="AG288" s="45"/>
      <c r="AH288" s="45"/>
      <c r="AI288" s="3" t="s">
        <v>1583</v>
      </c>
    </row>
    <row r="289" spans="1:35" ht="54">
      <c r="A289" s="144">
        <f t="shared" si="4"/>
        <v>287</v>
      </c>
      <c r="B289" s="148"/>
      <c r="C289" s="148"/>
      <c r="D289" s="148"/>
      <c r="E289" s="148"/>
      <c r="F289" s="148"/>
      <c r="G289" s="148"/>
      <c r="H289" s="148"/>
      <c r="I289" s="148"/>
      <c r="J289" s="103" t="s">
        <v>2101</v>
      </c>
      <c r="K289" s="100" t="s">
        <v>3083</v>
      </c>
      <c r="L289" s="100" t="s">
        <v>2325</v>
      </c>
      <c r="M289" s="100" t="s">
        <v>799</v>
      </c>
      <c r="N289" s="126" t="s">
        <v>3326</v>
      </c>
      <c r="O289" s="62" t="s">
        <v>3327</v>
      </c>
      <c r="P289" s="40" t="s">
        <v>800</v>
      </c>
      <c r="Q289" s="40" t="s">
        <v>3328</v>
      </c>
      <c r="R289" s="41" t="s">
        <v>139</v>
      </c>
      <c r="S289" s="41" t="s">
        <v>139</v>
      </c>
      <c r="T289" s="41" t="s">
        <v>139</v>
      </c>
      <c r="U289" s="41" t="s">
        <v>801</v>
      </c>
      <c r="V289" s="41" t="s">
        <v>3329</v>
      </c>
      <c r="W289" s="74" t="s">
        <v>139</v>
      </c>
      <c r="X289" s="41" t="s">
        <v>139</v>
      </c>
      <c r="Y289" s="41" t="s">
        <v>139</v>
      </c>
      <c r="Z289" s="41" t="s">
        <v>802</v>
      </c>
      <c r="AA289" s="41" t="s">
        <v>641</v>
      </c>
      <c r="AB289" s="44" t="s">
        <v>2043</v>
      </c>
      <c r="AC289" s="45"/>
      <c r="AD289" s="45"/>
      <c r="AE289" s="46"/>
      <c r="AF289" s="45"/>
      <c r="AG289" s="45"/>
      <c r="AH289" s="45"/>
      <c r="AI289" s="3" t="s">
        <v>1583</v>
      </c>
    </row>
    <row r="290" spans="1:35" ht="27">
      <c r="A290" s="144">
        <f t="shared" si="4"/>
        <v>288</v>
      </c>
      <c r="B290" s="148"/>
      <c r="C290" s="148"/>
      <c r="D290" s="148"/>
      <c r="E290" s="148"/>
      <c r="F290" s="148"/>
      <c r="G290" s="148"/>
      <c r="H290" s="148"/>
      <c r="I290" s="148"/>
      <c r="J290" s="103" t="s">
        <v>2101</v>
      </c>
      <c r="K290" s="100" t="s">
        <v>3083</v>
      </c>
      <c r="L290" s="100" t="s">
        <v>2325</v>
      </c>
      <c r="M290" s="100" t="s">
        <v>799</v>
      </c>
      <c r="N290" s="126" t="s">
        <v>3040</v>
      </c>
      <c r="O290" s="40" t="s">
        <v>3330</v>
      </c>
      <c r="P290" s="40" t="s">
        <v>800</v>
      </c>
      <c r="Q290" s="40" t="s">
        <v>2042</v>
      </c>
      <c r="R290" s="41" t="s">
        <v>139</v>
      </c>
      <c r="S290" s="41" t="s">
        <v>139</v>
      </c>
      <c r="T290" s="41" t="s">
        <v>139</v>
      </c>
      <c r="U290" s="41" t="s">
        <v>139</v>
      </c>
      <c r="V290" s="41" t="s">
        <v>1891</v>
      </c>
      <c r="W290" s="74" t="s">
        <v>139</v>
      </c>
      <c r="X290" s="41" t="s">
        <v>139</v>
      </c>
      <c r="Y290" s="41" t="s">
        <v>139</v>
      </c>
      <c r="Z290" s="41" t="s">
        <v>139</v>
      </c>
      <c r="AA290" s="41" t="s">
        <v>1892</v>
      </c>
      <c r="AB290" s="44" t="s">
        <v>2043</v>
      </c>
      <c r="AC290" s="45"/>
      <c r="AD290" s="45"/>
      <c r="AE290" s="46"/>
      <c r="AF290" s="45"/>
      <c r="AG290" s="45"/>
      <c r="AH290" s="45"/>
      <c r="AI290" s="3" t="s">
        <v>1583</v>
      </c>
    </row>
    <row r="291" spans="1:35" ht="40.5">
      <c r="A291" s="144">
        <f t="shared" si="4"/>
        <v>289</v>
      </c>
      <c r="B291" s="148"/>
      <c r="C291" s="148"/>
      <c r="D291" s="148"/>
      <c r="E291" s="148"/>
      <c r="F291" s="148"/>
      <c r="G291" s="148"/>
      <c r="H291" s="148"/>
      <c r="I291" s="148"/>
      <c r="J291" s="103" t="s">
        <v>2101</v>
      </c>
      <c r="K291" s="101" t="s">
        <v>3083</v>
      </c>
      <c r="L291" s="111" t="s">
        <v>2325</v>
      </c>
      <c r="M291" s="111" t="s">
        <v>815</v>
      </c>
      <c r="N291" s="126" t="s">
        <v>816</v>
      </c>
      <c r="O291" s="40" t="s">
        <v>817</v>
      </c>
      <c r="P291" s="40" t="s">
        <v>818</v>
      </c>
      <c r="Q291" s="40" t="s">
        <v>161</v>
      </c>
      <c r="R291" s="41" t="s">
        <v>139</v>
      </c>
      <c r="S291" s="41" t="s">
        <v>139</v>
      </c>
      <c r="T291" s="41" t="s">
        <v>139</v>
      </c>
      <c r="U291" s="41" t="s">
        <v>819</v>
      </c>
      <c r="V291" s="41" t="s">
        <v>139</v>
      </c>
      <c r="W291" s="74" t="s">
        <v>139</v>
      </c>
      <c r="X291" s="41" t="s">
        <v>139</v>
      </c>
      <c r="Y291" s="41" t="s">
        <v>139</v>
      </c>
      <c r="Z291" s="41" t="s">
        <v>806</v>
      </c>
      <c r="AA291" s="41" t="s">
        <v>139</v>
      </c>
      <c r="AB291" s="44"/>
      <c r="AC291" s="45"/>
      <c r="AD291" s="45"/>
      <c r="AE291" s="46"/>
      <c r="AF291" s="45"/>
      <c r="AG291" s="45"/>
      <c r="AH291" s="45"/>
      <c r="AI291" s="3" t="s">
        <v>1583</v>
      </c>
    </row>
    <row r="292" spans="1:35" ht="27">
      <c r="A292" s="144">
        <f t="shared" si="4"/>
        <v>290</v>
      </c>
      <c r="B292" s="148"/>
      <c r="C292" s="148"/>
      <c r="D292" s="148"/>
      <c r="E292" s="148"/>
      <c r="F292" s="148"/>
      <c r="G292" s="148"/>
      <c r="H292" s="148"/>
      <c r="I292" s="148"/>
      <c r="J292" s="103" t="s">
        <v>2101</v>
      </c>
      <c r="K292" s="101" t="s">
        <v>3083</v>
      </c>
      <c r="L292" s="85" t="s">
        <v>2325</v>
      </c>
      <c r="M292" s="85" t="s">
        <v>281</v>
      </c>
      <c r="N292" s="54" t="s">
        <v>139</v>
      </c>
      <c r="O292" s="41" t="s">
        <v>282</v>
      </c>
      <c r="P292" s="41" t="s">
        <v>283</v>
      </c>
      <c r="Q292" s="41" t="s">
        <v>284</v>
      </c>
      <c r="R292" s="41" t="s">
        <v>285</v>
      </c>
      <c r="S292" s="41" t="s">
        <v>139</v>
      </c>
      <c r="T292" s="41" t="s">
        <v>139</v>
      </c>
      <c r="U292" s="41" t="s">
        <v>286</v>
      </c>
      <c r="V292" s="41" t="s">
        <v>139</v>
      </c>
      <c r="W292" s="73" t="s">
        <v>287</v>
      </c>
      <c r="X292" s="54" t="s">
        <v>139</v>
      </c>
      <c r="Y292" s="54" t="s">
        <v>139</v>
      </c>
      <c r="Z292" s="54" t="s">
        <v>1429</v>
      </c>
      <c r="AA292" s="54" t="s">
        <v>139</v>
      </c>
      <c r="AB292" s="55"/>
      <c r="AC292" s="56"/>
      <c r="AD292" s="56"/>
      <c r="AE292" s="57"/>
      <c r="AF292" s="56"/>
      <c r="AG292" s="56"/>
      <c r="AH292" s="56"/>
      <c r="AI292" s="3" t="s">
        <v>1583</v>
      </c>
    </row>
    <row r="293" spans="1:35" ht="40.5">
      <c r="A293" s="144">
        <f t="shared" si="4"/>
        <v>291</v>
      </c>
      <c r="B293" s="148"/>
      <c r="C293" s="148"/>
      <c r="D293" s="148"/>
      <c r="E293" s="148"/>
      <c r="F293" s="148"/>
      <c r="G293" s="148"/>
      <c r="H293" s="148"/>
      <c r="I293" s="148"/>
      <c r="J293" s="103" t="s">
        <v>2101</v>
      </c>
      <c r="K293" s="99" t="s">
        <v>3083</v>
      </c>
      <c r="L293" s="99" t="s">
        <v>2325</v>
      </c>
      <c r="M293" s="99" t="s">
        <v>690</v>
      </c>
      <c r="N293" s="126" t="s">
        <v>691</v>
      </c>
      <c r="O293" s="40" t="s">
        <v>692</v>
      </c>
      <c r="P293" s="40" t="s">
        <v>693</v>
      </c>
      <c r="Q293" s="40" t="s">
        <v>284</v>
      </c>
      <c r="R293" s="41" t="s">
        <v>139</v>
      </c>
      <c r="S293" s="41" t="s">
        <v>139</v>
      </c>
      <c r="T293" s="41" t="s">
        <v>139</v>
      </c>
      <c r="U293" s="41" t="s">
        <v>694</v>
      </c>
      <c r="V293" s="41" t="s">
        <v>139</v>
      </c>
      <c r="W293" s="74" t="s">
        <v>139</v>
      </c>
      <c r="X293" s="41" t="s">
        <v>139</v>
      </c>
      <c r="Y293" s="41" t="s">
        <v>139</v>
      </c>
      <c r="Z293" s="41" t="s">
        <v>695</v>
      </c>
      <c r="AA293" s="41" t="s">
        <v>139</v>
      </c>
      <c r="AB293" s="44"/>
      <c r="AC293" s="45"/>
      <c r="AD293" s="45"/>
      <c r="AE293" s="46"/>
      <c r="AF293" s="45"/>
      <c r="AG293" s="45"/>
      <c r="AH293" s="45"/>
      <c r="AI293" s="3" t="s">
        <v>1583</v>
      </c>
    </row>
    <row r="294" spans="1:35" ht="81">
      <c r="A294" s="144">
        <f t="shared" si="4"/>
        <v>292</v>
      </c>
      <c r="B294" s="148"/>
      <c r="C294" s="148"/>
      <c r="D294" s="148"/>
      <c r="E294" s="148"/>
      <c r="F294" s="148"/>
      <c r="G294" s="148"/>
      <c r="H294" s="148"/>
      <c r="I294" s="148"/>
      <c r="J294" s="103" t="s">
        <v>2101</v>
      </c>
      <c r="K294" s="99" t="s">
        <v>3083</v>
      </c>
      <c r="L294" s="99" t="s">
        <v>2325</v>
      </c>
      <c r="M294" s="99" t="s">
        <v>732</v>
      </c>
      <c r="N294" s="126" t="s">
        <v>733</v>
      </c>
      <c r="O294" s="40" t="s">
        <v>734</v>
      </c>
      <c r="P294" s="40" t="s">
        <v>735</v>
      </c>
      <c r="Q294" s="62" t="s">
        <v>736</v>
      </c>
      <c r="R294" s="41" t="s">
        <v>139</v>
      </c>
      <c r="S294" s="41" t="s">
        <v>139</v>
      </c>
      <c r="T294" s="41" t="s">
        <v>139</v>
      </c>
      <c r="U294" s="41" t="s">
        <v>737</v>
      </c>
      <c r="V294" s="41" t="s">
        <v>139</v>
      </c>
      <c r="W294" s="74" t="s">
        <v>139</v>
      </c>
      <c r="X294" s="41" t="s">
        <v>139</v>
      </c>
      <c r="Y294" s="41" t="s">
        <v>139</v>
      </c>
      <c r="Z294" s="41" t="s">
        <v>2134</v>
      </c>
      <c r="AA294" s="41" t="s">
        <v>139</v>
      </c>
      <c r="AB294" s="44"/>
      <c r="AC294" s="45"/>
      <c r="AD294" s="45"/>
      <c r="AE294" s="46"/>
      <c r="AF294" s="45"/>
      <c r="AG294" s="45"/>
      <c r="AH294" s="45"/>
      <c r="AI294" s="3" t="s">
        <v>1583</v>
      </c>
    </row>
    <row r="295" spans="1:35" ht="67.5">
      <c r="A295" s="144">
        <f t="shared" si="4"/>
        <v>293</v>
      </c>
      <c r="B295" s="148"/>
      <c r="C295" s="148"/>
      <c r="D295" s="148"/>
      <c r="E295" s="148"/>
      <c r="F295" s="148"/>
      <c r="G295" s="148"/>
      <c r="H295" s="148"/>
      <c r="I295" s="148"/>
      <c r="J295" s="98" t="s">
        <v>2101</v>
      </c>
      <c r="K295" s="99" t="str">
        <f>_xlfn.XLOOKUP(L295,'99_マスタ'!$D$5:$D$18,'99_マスタ'!$C$5:$C$18,"")</f>
        <v>02_生販在</v>
      </c>
      <c r="L295" s="99" t="s">
        <v>2325</v>
      </c>
      <c r="M295" s="99" t="s">
        <v>820</v>
      </c>
      <c r="N295" s="126" t="s">
        <v>821</v>
      </c>
      <c r="O295" s="40" t="s">
        <v>2708</v>
      </c>
      <c r="P295" s="40"/>
      <c r="Q295" s="40" t="s">
        <v>822</v>
      </c>
      <c r="R295" s="41" t="s">
        <v>139</v>
      </c>
      <c r="S295" s="41" t="s">
        <v>139</v>
      </c>
      <c r="T295" s="41" t="s">
        <v>139</v>
      </c>
      <c r="U295" s="41" t="s">
        <v>2465</v>
      </c>
      <c r="V295" s="41" t="s">
        <v>139</v>
      </c>
      <c r="W295" s="74" t="s">
        <v>139</v>
      </c>
      <c r="X295" s="41" t="s">
        <v>139</v>
      </c>
      <c r="Y295" s="41" t="s">
        <v>139</v>
      </c>
      <c r="Z295" s="41" t="s">
        <v>2858</v>
      </c>
      <c r="AA295" s="41" t="s">
        <v>139</v>
      </c>
      <c r="AB295" s="44"/>
      <c r="AC295" s="45"/>
      <c r="AD295" s="45"/>
      <c r="AE295" s="46"/>
      <c r="AF295" s="45"/>
      <c r="AG295" s="45"/>
      <c r="AH295" s="45"/>
      <c r="AI295" s="3" t="s">
        <v>1583</v>
      </c>
    </row>
    <row r="296" spans="1:35" ht="27">
      <c r="A296" s="144">
        <f t="shared" si="4"/>
        <v>294</v>
      </c>
      <c r="B296" s="148"/>
      <c r="C296" s="148"/>
      <c r="D296" s="148"/>
      <c r="E296" s="148"/>
      <c r="F296" s="148"/>
      <c r="G296" s="148"/>
      <c r="H296" s="148"/>
      <c r="I296" s="148"/>
      <c r="J296" s="98" t="s">
        <v>2101</v>
      </c>
      <c r="K296" s="99" t="str">
        <f>_xlfn.XLOOKUP(L296,'99_マスタ'!$D$5:$D$18,'99_マスタ'!$C$5:$C$18,"")</f>
        <v>02_生販在</v>
      </c>
      <c r="L296" s="99" t="s">
        <v>2325</v>
      </c>
      <c r="M296" s="99" t="s">
        <v>823</v>
      </c>
      <c r="N296" s="126" t="s">
        <v>139</v>
      </c>
      <c r="O296" s="40" t="s">
        <v>2668</v>
      </c>
      <c r="P296" s="40" t="s">
        <v>2682</v>
      </c>
      <c r="Q296" s="40" t="s">
        <v>161</v>
      </c>
      <c r="R296" s="41" t="s">
        <v>139</v>
      </c>
      <c r="S296" s="41" t="s">
        <v>139</v>
      </c>
      <c r="T296" s="41" t="s">
        <v>139</v>
      </c>
      <c r="U296" s="41" t="s">
        <v>824</v>
      </c>
      <c r="V296" s="41" t="s">
        <v>139</v>
      </c>
      <c r="W296" s="74" t="s">
        <v>139</v>
      </c>
      <c r="X296" s="41" t="s">
        <v>139</v>
      </c>
      <c r="Y296" s="41" t="s">
        <v>139</v>
      </c>
      <c r="Z296" s="41" t="s">
        <v>825</v>
      </c>
      <c r="AA296" s="41" t="s">
        <v>139</v>
      </c>
      <c r="AB296" s="44"/>
      <c r="AC296" s="45"/>
      <c r="AD296" s="45"/>
      <c r="AE296" s="46"/>
      <c r="AF296" s="45"/>
      <c r="AG296" s="45"/>
      <c r="AH296" s="45"/>
      <c r="AI296" s="3" t="s">
        <v>1583</v>
      </c>
    </row>
    <row r="297" spans="1:35">
      <c r="A297" s="144">
        <f t="shared" si="4"/>
        <v>295</v>
      </c>
      <c r="B297" s="148"/>
      <c r="C297" s="148"/>
      <c r="D297" s="148"/>
      <c r="E297" s="148"/>
      <c r="F297" s="148"/>
      <c r="G297" s="148"/>
      <c r="H297" s="148"/>
      <c r="I297" s="148"/>
      <c r="J297" s="98" t="s">
        <v>2101</v>
      </c>
      <c r="K297" s="99" t="str">
        <f>_xlfn.XLOOKUP(L297,'99_マスタ'!$D$5:$D$18,'99_マスタ'!$C$5:$C$18,"")</f>
        <v>02_生販在</v>
      </c>
      <c r="L297" s="99" t="s">
        <v>2325</v>
      </c>
      <c r="M297" s="99" t="s">
        <v>834</v>
      </c>
      <c r="N297" s="126" t="s">
        <v>139</v>
      </c>
      <c r="O297" s="40" t="s">
        <v>2671</v>
      </c>
      <c r="P297" s="40"/>
      <c r="Q297" s="40" t="s">
        <v>822</v>
      </c>
      <c r="R297" s="41" t="s">
        <v>139</v>
      </c>
      <c r="S297" s="41" t="s">
        <v>139</v>
      </c>
      <c r="T297" s="41" t="s">
        <v>139</v>
      </c>
      <c r="U297" s="41" t="s">
        <v>824</v>
      </c>
      <c r="V297" s="41" t="s">
        <v>139</v>
      </c>
      <c r="W297" s="74" t="s">
        <v>139</v>
      </c>
      <c r="X297" s="41" t="s">
        <v>139</v>
      </c>
      <c r="Y297" s="41" t="s">
        <v>139</v>
      </c>
      <c r="Z297" s="41" t="s">
        <v>830</v>
      </c>
      <c r="AA297" s="41" t="s">
        <v>139</v>
      </c>
      <c r="AB297" s="44"/>
      <c r="AC297" s="45"/>
      <c r="AD297" s="45"/>
      <c r="AE297" s="46"/>
      <c r="AF297" s="45"/>
      <c r="AG297" s="45"/>
      <c r="AH297" s="45"/>
      <c r="AI297" s="3" t="s">
        <v>1583</v>
      </c>
    </row>
    <row r="298" spans="1:35">
      <c r="A298" s="144">
        <f t="shared" si="4"/>
        <v>296</v>
      </c>
      <c r="B298" s="148"/>
      <c r="C298" s="148"/>
      <c r="D298" s="148"/>
      <c r="E298" s="148"/>
      <c r="F298" s="148"/>
      <c r="G298" s="148"/>
      <c r="H298" s="148"/>
      <c r="I298" s="148"/>
      <c r="J298" s="98" t="s">
        <v>2101</v>
      </c>
      <c r="K298" s="99" t="str">
        <f>_xlfn.XLOOKUP(L298,'99_マスタ'!$D$5:$D$18,'99_マスタ'!$C$5:$C$18,"")</f>
        <v>02_生販在</v>
      </c>
      <c r="L298" s="99" t="s">
        <v>2325</v>
      </c>
      <c r="M298" s="99" t="s">
        <v>2686</v>
      </c>
      <c r="N298" s="126" t="s">
        <v>1637</v>
      </c>
      <c r="O298" s="40" t="s">
        <v>2683</v>
      </c>
      <c r="P298" s="40" t="s">
        <v>2684</v>
      </c>
      <c r="Q298" s="40" t="s">
        <v>2093</v>
      </c>
      <c r="R298" s="41" t="s">
        <v>139</v>
      </c>
      <c r="S298" s="41" t="s">
        <v>139</v>
      </c>
      <c r="T298" s="41" t="s">
        <v>139</v>
      </c>
      <c r="U298" s="41" t="s">
        <v>824</v>
      </c>
      <c r="V298" s="41" t="s">
        <v>139</v>
      </c>
      <c r="W298" s="74" t="s">
        <v>139</v>
      </c>
      <c r="X298" s="41" t="s">
        <v>139</v>
      </c>
      <c r="Y298" s="41" t="s">
        <v>139</v>
      </c>
      <c r="Z298" s="41" t="s">
        <v>2685</v>
      </c>
      <c r="AA298" s="41" t="s">
        <v>139</v>
      </c>
      <c r="AB298" s="44"/>
      <c r="AC298" s="45"/>
      <c r="AD298" s="45"/>
      <c r="AE298" s="46"/>
      <c r="AF298" s="45"/>
      <c r="AG298" s="45"/>
      <c r="AH298" s="45"/>
      <c r="AI298" s="3" t="s">
        <v>1583</v>
      </c>
    </row>
    <row r="299" spans="1:35" ht="27">
      <c r="A299" s="144">
        <f t="shared" si="4"/>
        <v>297</v>
      </c>
      <c r="B299" s="148"/>
      <c r="C299" s="148"/>
      <c r="D299" s="148"/>
      <c r="E299" s="148"/>
      <c r="F299" s="148"/>
      <c r="G299" s="148"/>
      <c r="H299" s="148"/>
      <c r="I299" s="148"/>
      <c r="J299" s="98" t="s">
        <v>2101</v>
      </c>
      <c r="K299" s="101" t="str">
        <f>_xlfn.XLOOKUP(L299,'99_マスタ'!$D$5:$D$18,'99_マスタ'!$C$5:$C$18,"")</f>
        <v>02_生販在</v>
      </c>
      <c r="L299" s="85" t="s">
        <v>2325</v>
      </c>
      <c r="M299" s="85" t="s">
        <v>293</v>
      </c>
      <c r="N299" s="54" t="s">
        <v>139</v>
      </c>
      <c r="O299" s="41" t="s">
        <v>294</v>
      </c>
      <c r="P299" s="41"/>
      <c r="Q299" s="41" t="s">
        <v>284</v>
      </c>
      <c r="R299" s="41" t="s">
        <v>295</v>
      </c>
      <c r="S299" s="41" t="s">
        <v>139</v>
      </c>
      <c r="T299" s="41" t="s">
        <v>139</v>
      </c>
      <c r="U299" s="41" t="s">
        <v>296</v>
      </c>
      <c r="V299" s="41" t="s">
        <v>139</v>
      </c>
      <c r="W299" s="73" t="s">
        <v>133</v>
      </c>
      <c r="X299" s="54" t="s">
        <v>139</v>
      </c>
      <c r="Y299" s="54" t="s">
        <v>139</v>
      </c>
      <c r="Z299" s="54" t="s">
        <v>1633</v>
      </c>
      <c r="AA299" s="54" t="s">
        <v>139</v>
      </c>
      <c r="AB299" s="55"/>
      <c r="AC299" s="56"/>
      <c r="AD299" s="56"/>
      <c r="AE299" s="57"/>
      <c r="AF299" s="56"/>
      <c r="AG299" s="56"/>
      <c r="AH299" s="56"/>
      <c r="AI299" s="3" t="s">
        <v>1583</v>
      </c>
    </row>
    <row r="300" spans="1:35" ht="40.5">
      <c r="A300" s="144">
        <f t="shared" si="4"/>
        <v>298</v>
      </c>
      <c r="B300" s="148"/>
      <c r="C300" s="148"/>
      <c r="D300" s="148"/>
      <c r="E300" s="148"/>
      <c r="F300" s="148"/>
      <c r="G300" s="148"/>
      <c r="H300" s="148"/>
      <c r="I300" s="148"/>
      <c r="J300" s="98" t="s">
        <v>2101</v>
      </c>
      <c r="K300" s="51" t="str">
        <f>_xlfn.XLOOKUP(L300,'99_マスタ'!$D$5:$D$18,'99_マスタ'!$C$5:$C$18,"")</f>
        <v>02_生販在</v>
      </c>
      <c r="L300" s="52" t="s">
        <v>2325</v>
      </c>
      <c r="M300" s="52" t="s">
        <v>2285</v>
      </c>
      <c r="N300" s="54" t="s">
        <v>1637</v>
      </c>
      <c r="O300" s="70" t="s">
        <v>2286</v>
      </c>
      <c r="P300" s="70"/>
      <c r="Q300" s="41" t="s">
        <v>2268</v>
      </c>
      <c r="R300" s="41" t="s">
        <v>139</v>
      </c>
      <c r="S300" s="41" t="s">
        <v>139</v>
      </c>
      <c r="T300" s="41" t="s">
        <v>139</v>
      </c>
      <c r="U300" s="41" t="s">
        <v>2271</v>
      </c>
      <c r="V300" s="41" t="s">
        <v>139</v>
      </c>
      <c r="W300" s="73" t="s">
        <v>139</v>
      </c>
      <c r="X300" s="54" t="s">
        <v>139</v>
      </c>
      <c r="Y300" s="54" t="s">
        <v>139</v>
      </c>
      <c r="Z300" s="54" t="s">
        <v>2289</v>
      </c>
      <c r="AA300" s="54" t="s">
        <v>139</v>
      </c>
      <c r="AB300" s="55" t="s">
        <v>2288</v>
      </c>
      <c r="AC300" s="56"/>
      <c r="AD300" s="56"/>
      <c r="AE300" s="57"/>
      <c r="AF300" s="56"/>
      <c r="AG300" s="56"/>
      <c r="AH300" s="56"/>
      <c r="AI300" s="3" t="s">
        <v>1583</v>
      </c>
    </row>
    <row r="301" spans="1:35" ht="81">
      <c r="A301" s="144">
        <f t="shared" si="4"/>
        <v>299</v>
      </c>
      <c r="B301" s="148"/>
      <c r="C301" s="148"/>
      <c r="D301" s="148"/>
      <c r="E301" s="148"/>
      <c r="F301" s="148"/>
      <c r="G301" s="148"/>
      <c r="H301" s="148"/>
      <c r="I301" s="148"/>
      <c r="J301" s="98" t="s">
        <v>2101</v>
      </c>
      <c r="K301" s="117" t="str">
        <f>_xlfn.XLOOKUP(L301,'99_マスタ'!$D$5:$D$18,'99_マスタ'!$C$5:$C$18,"")</f>
        <v>02_生販在</v>
      </c>
      <c r="L301" s="117" t="s">
        <v>2325</v>
      </c>
      <c r="M301" s="117" t="s">
        <v>775</v>
      </c>
      <c r="N301" s="126" t="s">
        <v>139</v>
      </c>
      <c r="O301" s="40" t="s">
        <v>776</v>
      </c>
      <c r="P301" s="40" t="s">
        <v>777</v>
      </c>
      <c r="Q301" s="40" t="s">
        <v>161</v>
      </c>
      <c r="R301" s="41" t="s">
        <v>139</v>
      </c>
      <c r="S301" s="41" t="s">
        <v>139</v>
      </c>
      <c r="T301" s="41" t="s">
        <v>139</v>
      </c>
      <c r="U301" s="41" t="s">
        <v>2211</v>
      </c>
      <c r="V301" s="41" t="s">
        <v>139</v>
      </c>
      <c r="W301" s="74" t="s">
        <v>139</v>
      </c>
      <c r="X301" s="41" t="s">
        <v>139</v>
      </c>
      <c r="Y301" s="41" t="s">
        <v>139</v>
      </c>
      <c r="Z301" s="41" t="s">
        <v>2212</v>
      </c>
      <c r="AA301" s="41" t="s">
        <v>139</v>
      </c>
      <c r="AB301" s="44"/>
      <c r="AC301" s="45"/>
      <c r="AD301" s="45"/>
      <c r="AE301" s="46"/>
      <c r="AF301" s="45"/>
      <c r="AG301" s="45"/>
      <c r="AH301" s="45"/>
      <c r="AI301" s="3" t="s">
        <v>1583</v>
      </c>
    </row>
    <row r="302" spans="1:35" ht="67.5">
      <c r="A302" s="144">
        <f t="shared" si="4"/>
        <v>300</v>
      </c>
      <c r="B302" s="148"/>
      <c r="C302" s="148"/>
      <c r="D302" s="148"/>
      <c r="E302" s="148"/>
      <c r="F302" s="148"/>
      <c r="G302" s="148"/>
      <c r="H302" s="148"/>
      <c r="I302" s="148"/>
      <c r="J302" s="98" t="s">
        <v>2101</v>
      </c>
      <c r="K302" s="104" t="str">
        <f>_xlfn.XLOOKUP(L302,'99_マスタ'!$D$5:$D$18,'99_マスタ'!$C$5:$C$18,"")</f>
        <v>02_生販在</v>
      </c>
      <c r="L302" s="104" t="s">
        <v>2325</v>
      </c>
      <c r="M302" s="104" t="s">
        <v>2847</v>
      </c>
      <c r="N302" s="126" t="s">
        <v>2848</v>
      </c>
      <c r="O302" s="40" t="s">
        <v>2849</v>
      </c>
      <c r="P302" s="40" t="s">
        <v>935</v>
      </c>
      <c r="Q302" s="40" t="s">
        <v>161</v>
      </c>
      <c r="R302" s="41" t="s">
        <v>139</v>
      </c>
      <c r="S302" s="41" t="s">
        <v>139</v>
      </c>
      <c r="T302" s="41" t="s">
        <v>139</v>
      </c>
      <c r="U302" s="41" t="s">
        <v>2850</v>
      </c>
      <c r="V302" s="41" t="s">
        <v>139</v>
      </c>
      <c r="W302" s="74" t="s">
        <v>139</v>
      </c>
      <c r="X302" s="41" t="s">
        <v>139</v>
      </c>
      <c r="Y302" s="41" t="s">
        <v>139</v>
      </c>
      <c r="Z302" s="41" t="s">
        <v>2851</v>
      </c>
      <c r="AA302" s="41" t="s">
        <v>139</v>
      </c>
      <c r="AB302" s="44"/>
      <c r="AC302" s="45"/>
      <c r="AD302" s="45"/>
      <c r="AE302" s="46"/>
      <c r="AF302" s="45"/>
      <c r="AG302" s="45"/>
      <c r="AH302" s="45"/>
      <c r="AI302" s="3" t="s">
        <v>1583</v>
      </c>
    </row>
    <row r="303" spans="1:35" ht="27">
      <c r="A303" s="144">
        <f t="shared" si="4"/>
        <v>301</v>
      </c>
      <c r="B303" s="148"/>
      <c r="C303" s="148"/>
      <c r="D303" s="148"/>
      <c r="E303" s="148"/>
      <c r="F303" s="148"/>
      <c r="G303" s="148"/>
      <c r="H303" s="148"/>
      <c r="I303" s="148"/>
      <c r="J303" s="98" t="s">
        <v>2101</v>
      </c>
      <c r="K303" s="71" t="str">
        <f>_xlfn.XLOOKUP(L303,'99_マスタ'!$D$5:$D$18,'99_マスタ'!$C$5:$C$18,"")</f>
        <v>02_生販在</v>
      </c>
      <c r="L303" s="71" t="s">
        <v>2325</v>
      </c>
      <c r="M303" s="71" t="s">
        <v>2231</v>
      </c>
      <c r="N303" s="54" t="s">
        <v>2917</v>
      </c>
      <c r="O303" s="41" t="s">
        <v>118</v>
      </c>
      <c r="P303" s="41" t="s">
        <v>119</v>
      </c>
      <c r="Q303" s="41" t="s">
        <v>2075</v>
      </c>
      <c r="R303" s="41" t="s">
        <v>120</v>
      </c>
      <c r="S303" s="41" t="s">
        <v>139</v>
      </c>
      <c r="T303" s="41" t="s">
        <v>139</v>
      </c>
      <c r="U303" s="41" t="s">
        <v>139</v>
      </c>
      <c r="V303" s="41" t="s">
        <v>139</v>
      </c>
      <c r="W303" s="73" t="s">
        <v>121</v>
      </c>
      <c r="X303" s="54" t="s">
        <v>139</v>
      </c>
      <c r="Y303" s="54" t="s">
        <v>139</v>
      </c>
      <c r="Z303" s="54" t="s">
        <v>139</v>
      </c>
      <c r="AA303" s="54" t="s">
        <v>139</v>
      </c>
      <c r="AB303" s="55"/>
      <c r="AC303" s="56"/>
      <c r="AD303" s="56"/>
      <c r="AE303" s="57"/>
      <c r="AF303" s="56"/>
      <c r="AG303" s="56"/>
      <c r="AH303" s="56"/>
      <c r="AI303" s="3" t="s">
        <v>1583</v>
      </c>
    </row>
    <row r="304" spans="1:35" ht="135">
      <c r="A304" s="144">
        <f t="shared" si="4"/>
        <v>302</v>
      </c>
      <c r="B304" s="148"/>
      <c r="C304" s="148"/>
      <c r="D304" s="148"/>
      <c r="E304" s="148"/>
      <c r="F304" s="148"/>
      <c r="G304" s="148"/>
      <c r="H304" s="148"/>
      <c r="I304" s="148"/>
      <c r="J304" s="100" t="s">
        <v>2101</v>
      </c>
      <c r="K304" s="99" t="str">
        <f>_xlfn.XLOOKUP(L304,'99_マスタ'!$D$5:$D$18,'99_マスタ'!$C$5:$C$18,"")</f>
        <v>02_生販在</v>
      </c>
      <c r="L304" s="99" t="s">
        <v>2325</v>
      </c>
      <c r="M304" s="99" t="s">
        <v>2760</v>
      </c>
      <c r="N304" s="126" t="s">
        <v>696</v>
      </c>
      <c r="O304" s="40" t="s">
        <v>2761</v>
      </c>
      <c r="P304" s="40" t="s">
        <v>2830</v>
      </c>
      <c r="Q304" s="40" t="s">
        <v>284</v>
      </c>
      <c r="R304" s="41" t="s">
        <v>2833</v>
      </c>
      <c r="S304" s="41" t="s">
        <v>139</v>
      </c>
      <c r="T304" s="41" t="s">
        <v>139</v>
      </c>
      <c r="U304" s="41" t="s">
        <v>2832</v>
      </c>
      <c r="V304" s="41" t="s">
        <v>139</v>
      </c>
      <c r="W304" s="73" t="s">
        <v>133</v>
      </c>
      <c r="X304" s="41" t="s">
        <v>139</v>
      </c>
      <c r="Y304" s="41" t="s">
        <v>139</v>
      </c>
      <c r="Z304" s="41" t="s">
        <v>2834</v>
      </c>
      <c r="AA304" s="41" t="s">
        <v>139</v>
      </c>
      <c r="AB304" s="44"/>
      <c r="AC304" s="45"/>
      <c r="AD304" s="45"/>
      <c r="AE304" s="46"/>
      <c r="AF304" s="45"/>
      <c r="AG304" s="45"/>
      <c r="AH304" s="45"/>
      <c r="AI304" s="3" t="s">
        <v>1583</v>
      </c>
    </row>
    <row r="305" spans="1:35">
      <c r="A305" s="144">
        <f t="shared" si="4"/>
        <v>303</v>
      </c>
      <c r="B305" s="148"/>
      <c r="C305" s="148"/>
      <c r="D305" s="148"/>
      <c r="E305" s="148"/>
      <c r="F305" s="148"/>
      <c r="G305" s="148"/>
      <c r="H305" s="148"/>
      <c r="I305" s="148"/>
      <c r="J305" s="98" t="s">
        <v>2101</v>
      </c>
      <c r="K305" s="99" t="str">
        <f>_xlfn.XLOOKUP(L305,'99_マスタ'!$D$5:$D$18,'99_マスタ'!$C$5:$C$18,"")</f>
        <v>02_生販在</v>
      </c>
      <c r="L305" s="99" t="s">
        <v>2325</v>
      </c>
      <c r="M305" s="99" t="s">
        <v>2829</v>
      </c>
      <c r="N305" s="126" t="s">
        <v>2687</v>
      </c>
      <c r="O305" s="62" t="s">
        <v>2838</v>
      </c>
      <c r="P305" s="62" t="s">
        <v>2839</v>
      </c>
      <c r="Q305" s="40" t="s">
        <v>1645</v>
      </c>
      <c r="R305" s="41" t="s">
        <v>139</v>
      </c>
      <c r="S305" s="41" t="s">
        <v>139</v>
      </c>
      <c r="T305" s="41" t="s">
        <v>139</v>
      </c>
      <c r="U305" s="41" t="s">
        <v>2835</v>
      </c>
      <c r="V305" s="41" t="s">
        <v>139</v>
      </c>
      <c r="W305" s="74" t="s">
        <v>139</v>
      </c>
      <c r="X305" s="41" t="s">
        <v>139</v>
      </c>
      <c r="Y305" s="41" t="s">
        <v>139</v>
      </c>
      <c r="Z305" s="41" t="s">
        <v>2837</v>
      </c>
      <c r="AA305" s="41" t="s">
        <v>139</v>
      </c>
      <c r="AB305" s="44"/>
      <c r="AC305" s="45"/>
      <c r="AD305" s="45"/>
      <c r="AE305" s="46"/>
      <c r="AF305" s="45"/>
      <c r="AG305" s="45"/>
      <c r="AH305" s="45"/>
      <c r="AI305" s="3" t="s">
        <v>1583</v>
      </c>
    </row>
    <row r="306" spans="1:35" ht="27">
      <c r="A306" s="144">
        <f t="shared" si="4"/>
        <v>304</v>
      </c>
      <c r="B306" s="148"/>
      <c r="C306" s="148"/>
      <c r="D306" s="148"/>
      <c r="E306" s="148"/>
      <c r="F306" s="148"/>
      <c r="G306" s="148"/>
      <c r="H306" s="148"/>
      <c r="I306" s="148"/>
      <c r="J306" s="108" t="s">
        <v>2101</v>
      </c>
      <c r="K306" s="101" t="str">
        <f>_xlfn.XLOOKUP(L306,'99_マスタ'!$D$5:$D$18,'99_マスタ'!$C$5:$C$18,"")</f>
        <v>02_生販在</v>
      </c>
      <c r="L306" s="71" t="s">
        <v>2325</v>
      </c>
      <c r="M306" s="71" t="s">
        <v>128</v>
      </c>
      <c r="N306" s="54" t="s">
        <v>129</v>
      </c>
      <c r="O306" s="41" t="s">
        <v>130</v>
      </c>
      <c r="P306" s="41" t="s">
        <v>131</v>
      </c>
      <c r="Q306" s="41" t="s">
        <v>192</v>
      </c>
      <c r="R306" s="41" t="s">
        <v>132</v>
      </c>
      <c r="S306" s="41" t="s">
        <v>139</v>
      </c>
      <c r="T306" s="41" t="s">
        <v>139</v>
      </c>
      <c r="U306" s="41" t="s">
        <v>139</v>
      </c>
      <c r="V306" s="41" t="s">
        <v>139</v>
      </c>
      <c r="W306" s="73" t="s">
        <v>133</v>
      </c>
      <c r="X306" s="54" t="s">
        <v>139</v>
      </c>
      <c r="Y306" s="54" t="s">
        <v>139</v>
      </c>
      <c r="Z306" s="54" t="s">
        <v>139</v>
      </c>
      <c r="AA306" s="54" t="s">
        <v>139</v>
      </c>
      <c r="AB306" s="55"/>
      <c r="AC306" s="56"/>
      <c r="AD306" s="56"/>
      <c r="AE306" s="57"/>
      <c r="AF306" s="56"/>
      <c r="AG306" s="56"/>
      <c r="AH306" s="56"/>
      <c r="AI306" s="3" t="s">
        <v>1583</v>
      </c>
    </row>
    <row r="307" spans="1:35" ht="40.5">
      <c r="A307" s="144">
        <f t="shared" si="4"/>
        <v>305</v>
      </c>
      <c r="B307" s="148"/>
      <c r="C307" s="148"/>
      <c r="D307" s="148"/>
      <c r="E307" s="148"/>
      <c r="F307" s="148"/>
      <c r="G307" s="148"/>
      <c r="H307" s="148"/>
      <c r="I307" s="148"/>
      <c r="J307" s="98" t="s">
        <v>2101</v>
      </c>
      <c r="K307" s="101" t="str">
        <f>_xlfn.XLOOKUP(L307,'99_マスタ'!$D$5:$D$18,'99_マスタ'!$C$5:$C$18,"")</f>
        <v>02_生販在</v>
      </c>
      <c r="L307" s="111" t="s">
        <v>2325</v>
      </c>
      <c r="M307" s="111" t="s">
        <v>642</v>
      </c>
      <c r="N307" s="126" t="s">
        <v>139</v>
      </c>
      <c r="O307" s="40" t="s">
        <v>643</v>
      </c>
      <c r="P307" s="40"/>
      <c r="Q307" s="40" t="s">
        <v>644</v>
      </c>
      <c r="R307" s="41" t="s">
        <v>139</v>
      </c>
      <c r="S307" s="41" t="s">
        <v>139</v>
      </c>
      <c r="T307" s="41" t="s">
        <v>139</v>
      </c>
      <c r="U307" s="41" t="s">
        <v>2856</v>
      </c>
      <c r="V307" s="41" t="s">
        <v>139</v>
      </c>
      <c r="W307" s="74" t="s">
        <v>139</v>
      </c>
      <c r="X307" s="41" t="s">
        <v>139</v>
      </c>
      <c r="Y307" s="41" t="s">
        <v>139</v>
      </c>
      <c r="Z307" s="41" t="s">
        <v>2857</v>
      </c>
      <c r="AA307" s="41" t="s">
        <v>139</v>
      </c>
      <c r="AB307" s="44"/>
      <c r="AC307" s="45"/>
      <c r="AD307" s="45"/>
      <c r="AE307" s="46"/>
      <c r="AF307" s="45"/>
      <c r="AG307" s="45"/>
      <c r="AH307" s="45"/>
      <c r="AI307" s="3" t="s">
        <v>1583</v>
      </c>
    </row>
    <row r="308" spans="1:35" ht="67.5">
      <c r="A308" s="144">
        <f t="shared" si="4"/>
        <v>306</v>
      </c>
      <c r="B308" s="148"/>
      <c r="C308" s="148"/>
      <c r="D308" s="148"/>
      <c r="E308" s="148"/>
      <c r="F308" s="148"/>
      <c r="G308" s="148"/>
      <c r="H308" s="148"/>
      <c r="I308" s="148"/>
      <c r="J308" s="98" t="s">
        <v>2101</v>
      </c>
      <c r="K308" s="99" t="str">
        <f>_xlfn.XLOOKUP(L308,'99_マスタ'!$D$5:$D$18,'99_マスタ'!$C$5:$C$18,"")</f>
        <v>02_生販在</v>
      </c>
      <c r="L308" s="99" t="s">
        <v>2325</v>
      </c>
      <c r="M308" s="99" t="s">
        <v>2796</v>
      </c>
      <c r="N308" s="126" t="s">
        <v>2798</v>
      </c>
      <c r="O308" s="40" t="s">
        <v>2799</v>
      </c>
      <c r="P308" s="40"/>
      <c r="Q308" s="40" t="s">
        <v>1895</v>
      </c>
      <c r="R308" s="41" t="s">
        <v>139</v>
      </c>
      <c r="S308" s="41" t="s">
        <v>139</v>
      </c>
      <c r="T308" s="41" t="s">
        <v>139</v>
      </c>
      <c r="U308" s="41" t="s">
        <v>726</v>
      </c>
      <c r="V308" s="41" t="s">
        <v>139</v>
      </c>
      <c r="W308" s="74" t="s">
        <v>139</v>
      </c>
      <c r="X308" s="41" t="s">
        <v>139</v>
      </c>
      <c r="Y308" s="41" t="s">
        <v>139</v>
      </c>
      <c r="Z308" s="41" t="s">
        <v>2800</v>
      </c>
      <c r="AA308" s="41" t="s">
        <v>139</v>
      </c>
      <c r="AB308" s="44"/>
      <c r="AC308" s="45"/>
      <c r="AD308" s="45"/>
      <c r="AE308" s="46"/>
      <c r="AF308" s="45"/>
      <c r="AG308" s="45"/>
      <c r="AH308" s="45"/>
      <c r="AI308" s="3" t="s">
        <v>1583</v>
      </c>
    </row>
    <row r="309" spans="1:35" ht="40.5">
      <c r="A309" s="144">
        <f t="shared" si="4"/>
        <v>307</v>
      </c>
      <c r="B309" s="148"/>
      <c r="C309" s="148"/>
      <c r="D309" s="148"/>
      <c r="E309" s="148"/>
      <c r="F309" s="148"/>
      <c r="G309" s="148"/>
      <c r="H309" s="148"/>
      <c r="I309" s="148"/>
      <c r="J309" s="98" t="s">
        <v>2101</v>
      </c>
      <c r="K309" s="51" t="str">
        <f>_xlfn.XLOOKUP(L309,'99_マスタ'!$D$5:$D$18,'99_マスタ'!$C$5:$C$18,"")</f>
        <v>02_生販在</v>
      </c>
      <c r="L309" s="52" t="s">
        <v>2325</v>
      </c>
      <c r="M309" s="52" t="s">
        <v>2279</v>
      </c>
      <c r="N309" s="54" t="s">
        <v>1637</v>
      </c>
      <c r="O309" s="41" t="s">
        <v>2280</v>
      </c>
      <c r="P309" s="70" t="s">
        <v>2281</v>
      </c>
      <c r="Q309" s="123" t="s">
        <v>2282</v>
      </c>
      <c r="R309" s="41" t="s">
        <v>139</v>
      </c>
      <c r="S309" s="41" t="s">
        <v>139</v>
      </c>
      <c r="T309" s="41" t="s">
        <v>139</v>
      </c>
      <c r="U309" s="41" t="s">
        <v>2271</v>
      </c>
      <c r="V309" s="41" t="s">
        <v>139</v>
      </c>
      <c r="W309" s="73" t="s">
        <v>139</v>
      </c>
      <c r="X309" s="54" t="s">
        <v>139</v>
      </c>
      <c r="Y309" s="54" t="s">
        <v>139</v>
      </c>
      <c r="Z309" s="54" t="s">
        <v>2289</v>
      </c>
      <c r="AA309" s="54" t="s">
        <v>139</v>
      </c>
      <c r="AB309" s="55" t="s">
        <v>2287</v>
      </c>
      <c r="AC309" s="56"/>
      <c r="AD309" s="56"/>
      <c r="AE309" s="57"/>
      <c r="AF309" s="56"/>
      <c r="AG309" s="56"/>
      <c r="AH309" s="56"/>
      <c r="AI309" s="3" t="s">
        <v>1583</v>
      </c>
    </row>
    <row r="310" spans="1:35" ht="40.5">
      <c r="A310" s="144">
        <f t="shared" si="4"/>
        <v>308</v>
      </c>
      <c r="B310" s="148"/>
      <c r="C310" s="148"/>
      <c r="D310" s="148"/>
      <c r="E310" s="148"/>
      <c r="F310" s="148"/>
      <c r="G310" s="148"/>
      <c r="H310" s="148"/>
      <c r="I310" s="148"/>
      <c r="J310" s="98" t="s">
        <v>2101</v>
      </c>
      <c r="K310" s="104" t="str">
        <f>_xlfn.XLOOKUP(L310,'99_マスタ'!$D$5:$D$18,'99_マスタ'!$C$5:$C$18,"")</f>
        <v>02_生販在</v>
      </c>
      <c r="L310" s="104" t="s">
        <v>2325</v>
      </c>
      <c r="M310" s="104" t="s">
        <v>930</v>
      </c>
      <c r="N310" s="126" t="s">
        <v>931</v>
      </c>
      <c r="O310" s="40" t="s">
        <v>932</v>
      </c>
      <c r="P310" s="40" t="s">
        <v>933</v>
      </c>
      <c r="Q310" s="40" t="s">
        <v>192</v>
      </c>
      <c r="R310" s="41" t="s">
        <v>139</v>
      </c>
      <c r="S310" s="41" t="s">
        <v>139</v>
      </c>
      <c r="T310" s="41" t="s">
        <v>139</v>
      </c>
      <c r="U310" s="41" t="s">
        <v>934</v>
      </c>
      <c r="V310" s="41" t="s">
        <v>139</v>
      </c>
      <c r="W310" s="74" t="s">
        <v>139</v>
      </c>
      <c r="X310" s="41" t="s">
        <v>139</v>
      </c>
      <c r="Y310" s="41" t="s">
        <v>139</v>
      </c>
      <c r="Z310" s="41" t="s">
        <v>880</v>
      </c>
      <c r="AA310" s="41" t="s">
        <v>139</v>
      </c>
      <c r="AB310" s="44"/>
      <c r="AC310" s="45"/>
      <c r="AD310" s="45"/>
      <c r="AE310" s="46"/>
      <c r="AF310" s="45"/>
      <c r="AG310" s="45"/>
      <c r="AH310" s="45"/>
      <c r="AI310" s="3" t="s">
        <v>1583</v>
      </c>
    </row>
    <row r="311" spans="1:35" ht="54">
      <c r="A311" s="144">
        <f t="shared" si="4"/>
        <v>309</v>
      </c>
      <c r="B311" s="148"/>
      <c r="C311" s="148"/>
      <c r="D311" s="148"/>
      <c r="E311" s="148"/>
      <c r="F311" s="148"/>
      <c r="G311" s="148"/>
      <c r="H311" s="148"/>
      <c r="I311" s="148"/>
      <c r="J311" s="98" t="s">
        <v>2101</v>
      </c>
      <c r="K311" s="99" t="str">
        <f>_xlfn.XLOOKUP(L311,'99_マスタ'!$D$5:$D$18,'99_マスタ'!$C$5:$C$18,"")</f>
        <v>02_生販在</v>
      </c>
      <c r="L311" s="99" t="s">
        <v>2325</v>
      </c>
      <c r="M311" s="99" t="s">
        <v>2768</v>
      </c>
      <c r="N311" s="126" t="s">
        <v>727</v>
      </c>
      <c r="O311" s="40" t="s">
        <v>2770</v>
      </c>
      <c r="P311" s="40" t="s">
        <v>728</v>
      </c>
      <c r="Q311" s="40" t="s">
        <v>3068</v>
      </c>
      <c r="R311" s="41" t="s">
        <v>139</v>
      </c>
      <c r="S311" s="41" t="s">
        <v>139</v>
      </c>
      <c r="T311" s="41" t="s">
        <v>139</v>
      </c>
      <c r="U311" s="41" t="s">
        <v>729</v>
      </c>
      <c r="V311" s="41" t="s">
        <v>139</v>
      </c>
      <c r="W311" s="74" t="s">
        <v>139</v>
      </c>
      <c r="X311" s="41" t="s">
        <v>139</v>
      </c>
      <c r="Y311" s="41" t="s">
        <v>139</v>
      </c>
      <c r="Z311" s="41" t="s">
        <v>730</v>
      </c>
      <c r="AA311" s="41" t="s">
        <v>139</v>
      </c>
      <c r="AB311" s="44"/>
      <c r="AC311" s="45"/>
      <c r="AD311" s="45"/>
      <c r="AE311" s="46"/>
      <c r="AF311" s="45"/>
      <c r="AG311" s="45"/>
      <c r="AH311" s="45"/>
      <c r="AI311" s="3" t="s">
        <v>1583</v>
      </c>
    </row>
    <row r="312" spans="1:35" ht="54">
      <c r="A312" s="144">
        <f t="shared" si="4"/>
        <v>310</v>
      </c>
      <c r="B312" s="148"/>
      <c r="C312" s="148"/>
      <c r="D312" s="148"/>
      <c r="E312" s="148"/>
      <c r="F312" s="148"/>
      <c r="G312" s="148"/>
      <c r="H312" s="148"/>
      <c r="I312" s="148"/>
      <c r="J312" s="98" t="s">
        <v>2101</v>
      </c>
      <c r="K312" s="99" t="str">
        <f>_xlfn.XLOOKUP(L312,'99_マスタ'!$D$5:$D$18,'99_マスタ'!$C$5:$C$18,"")</f>
        <v>02_生販在</v>
      </c>
      <c r="L312" s="99" t="s">
        <v>2325</v>
      </c>
      <c r="M312" s="99" t="s">
        <v>2769</v>
      </c>
      <c r="N312" s="126" t="s">
        <v>727</v>
      </c>
      <c r="O312" s="40" t="s">
        <v>2771</v>
      </c>
      <c r="P312" s="40" t="s">
        <v>728</v>
      </c>
      <c r="Q312" s="40" t="s">
        <v>3068</v>
      </c>
      <c r="R312" s="41" t="s">
        <v>139</v>
      </c>
      <c r="S312" s="41" t="s">
        <v>139</v>
      </c>
      <c r="T312" s="41" t="s">
        <v>139</v>
      </c>
      <c r="U312" s="41" t="s">
        <v>729</v>
      </c>
      <c r="V312" s="41" t="s">
        <v>139</v>
      </c>
      <c r="W312" s="74" t="s">
        <v>139</v>
      </c>
      <c r="X312" s="41" t="s">
        <v>139</v>
      </c>
      <c r="Y312" s="41" t="s">
        <v>139</v>
      </c>
      <c r="Z312" s="41" t="s">
        <v>730</v>
      </c>
      <c r="AA312" s="41" t="s">
        <v>139</v>
      </c>
      <c r="AB312" s="44"/>
      <c r="AC312" s="45"/>
      <c r="AD312" s="45"/>
      <c r="AE312" s="46"/>
      <c r="AF312" s="45"/>
      <c r="AG312" s="45"/>
      <c r="AH312" s="45"/>
      <c r="AI312" s="3" t="s">
        <v>1583</v>
      </c>
    </row>
    <row r="313" spans="1:35" ht="27">
      <c r="A313" s="144">
        <f t="shared" si="4"/>
        <v>311</v>
      </c>
      <c r="B313" s="148"/>
      <c r="C313" s="148"/>
      <c r="D313" s="148"/>
      <c r="E313" s="148"/>
      <c r="F313" s="148"/>
      <c r="G313" s="148"/>
      <c r="H313" s="148"/>
      <c r="I313" s="148"/>
      <c r="J313" s="98" t="s">
        <v>2101</v>
      </c>
      <c r="K313" s="112" t="str">
        <f>_xlfn.XLOOKUP(L313,'99_マスタ'!$D$5:$D$18,'99_マスタ'!$C$5:$C$18,"")</f>
        <v>02_生販在</v>
      </c>
      <c r="L313" s="112" t="s">
        <v>2325</v>
      </c>
      <c r="M313" s="112" t="s">
        <v>965</v>
      </c>
      <c r="N313" s="126" t="s">
        <v>966</v>
      </c>
      <c r="O313" s="40" t="s">
        <v>967</v>
      </c>
      <c r="P313" s="40" t="s">
        <v>968</v>
      </c>
      <c r="Q313" s="40" t="s">
        <v>672</v>
      </c>
      <c r="R313" s="41" t="s">
        <v>139</v>
      </c>
      <c r="S313" s="41" t="s">
        <v>139</v>
      </c>
      <c r="T313" s="41" t="s">
        <v>969</v>
      </c>
      <c r="U313" s="41" t="s">
        <v>970</v>
      </c>
      <c r="V313" s="41" t="s">
        <v>139</v>
      </c>
      <c r="W313" s="74" t="s">
        <v>139</v>
      </c>
      <c r="X313" s="41" t="s">
        <v>139</v>
      </c>
      <c r="Y313" s="41" t="s">
        <v>971</v>
      </c>
      <c r="Z313" s="41" t="s">
        <v>971</v>
      </c>
      <c r="AA313" s="41" t="s">
        <v>139</v>
      </c>
      <c r="AB313" s="44"/>
      <c r="AC313" s="45"/>
      <c r="AD313" s="45"/>
      <c r="AE313" s="46"/>
      <c r="AF313" s="45"/>
      <c r="AG313" s="45"/>
      <c r="AH313" s="45"/>
      <c r="AI313" s="3" t="s">
        <v>1583</v>
      </c>
    </row>
    <row r="314" spans="1:35">
      <c r="A314" s="144">
        <f t="shared" si="4"/>
        <v>312</v>
      </c>
      <c r="B314" s="148"/>
      <c r="C314" s="148"/>
      <c r="D314" s="148"/>
      <c r="E314" s="148"/>
      <c r="F314" s="148"/>
      <c r="G314" s="148"/>
      <c r="H314" s="148"/>
      <c r="I314" s="148"/>
      <c r="J314" s="98" t="s">
        <v>2101</v>
      </c>
      <c r="K314" s="101" t="str">
        <f>_xlfn.XLOOKUP(L314,'99_マスタ'!$D$5:$D$18,'99_マスタ'!$C$5:$C$18,"")</f>
        <v>02_生販在</v>
      </c>
      <c r="L314" s="81" t="s">
        <v>2325</v>
      </c>
      <c r="M314" s="81" t="s">
        <v>312</v>
      </c>
      <c r="N314" s="54" t="s">
        <v>139</v>
      </c>
      <c r="O314" s="41" t="s">
        <v>313</v>
      </c>
      <c r="P314" s="41" t="s">
        <v>314</v>
      </c>
      <c r="Q314" s="41" t="s">
        <v>192</v>
      </c>
      <c r="R314" s="41" t="s">
        <v>311</v>
      </c>
      <c r="S314" s="41" t="s">
        <v>139</v>
      </c>
      <c r="T314" s="41" t="s">
        <v>139</v>
      </c>
      <c r="U314" s="41" t="s">
        <v>139</v>
      </c>
      <c r="V314" s="41" t="s">
        <v>139</v>
      </c>
      <c r="W314" s="73" t="s">
        <v>133</v>
      </c>
      <c r="X314" s="54" t="s">
        <v>139</v>
      </c>
      <c r="Y314" s="54" t="s">
        <v>139</v>
      </c>
      <c r="Z314" s="54" t="s">
        <v>139</v>
      </c>
      <c r="AA314" s="54" t="s">
        <v>139</v>
      </c>
      <c r="AB314" s="55"/>
      <c r="AC314" s="56"/>
      <c r="AD314" s="56"/>
      <c r="AE314" s="57"/>
      <c r="AF314" s="56"/>
      <c r="AG314" s="56"/>
      <c r="AH314" s="56"/>
      <c r="AI314" s="3" t="s">
        <v>1583</v>
      </c>
    </row>
    <row r="315" spans="1:35" ht="27">
      <c r="A315" s="144">
        <f t="shared" si="4"/>
        <v>313</v>
      </c>
      <c r="B315" s="148"/>
      <c r="C315" s="148"/>
      <c r="D315" s="148"/>
      <c r="E315" s="148"/>
      <c r="F315" s="148"/>
      <c r="G315" s="148"/>
      <c r="H315" s="148"/>
      <c r="I315" s="148"/>
      <c r="J315" s="98" t="s">
        <v>2101</v>
      </c>
      <c r="K315" s="102" t="str">
        <f>_xlfn.XLOOKUP(L315,'99_マスタ'!$D$5:$D$18,'99_マスタ'!$C$5:$C$18,"")</f>
        <v>02_生販在</v>
      </c>
      <c r="L315" s="102" t="s">
        <v>2325</v>
      </c>
      <c r="M315" s="102" t="s">
        <v>1623</v>
      </c>
      <c r="N315" s="126" t="s">
        <v>1637</v>
      </c>
      <c r="O315" s="40" t="s">
        <v>1626</v>
      </c>
      <c r="P315" s="40" t="s">
        <v>1625</v>
      </c>
      <c r="Q315" s="40" t="s">
        <v>161</v>
      </c>
      <c r="R315" s="41" t="s">
        <v>139</v>
      </c>
      <c r="S315" s="41" t="s">
        <v>139</v>
      </c>
      <c r="T315" s="41" t="s">
        <v>1128</v>
      </c>
      <c r="U315" s="41" t="s">
        <v>139</v>
      </c>
      <c r="V315" s="41" t="s">
        <v>139</v>
      </c>
      <c r="W315" s="74" t="s">
        <v>139</v>
      </c>
      <c r="X315" s="41" t="s">
        <v>139</v>
      </c>
      <c r="Y315" s="41" t="s">
        <v>1125</v>
      </c>
      <c r="Z315" s="41" t="s">
        <v>139</v>
      </c>
      <c r="AA315" s="41" t="s">
        <v>139</v>
      </c>
      <c r="AB315" s="44"/>
      <c r="AC315" s="45"/>
      <c r="AD315" s="45"/>
      <c r="AE315" s="46"/>
      <c r="AF315" s="45"/>
      <c r="AG315" s="45"/>
      <c r="AH315" s="45"/>
      <c r="AI315" s="3" t="s">
        <v>1583</v>
      </c>
    </row>
    <row r="316" spans="1:35" ht="67.5">
      <c r="A316" s="144">
        <f t="shared" si="4"/>
        <v>314</v>
      </c>
      <c r="B316" s="148"/>
      <c r="C316" s="148"/>
      <c r="D316" s="148"/>
      <c r="E316" s="148"/>
      <c r="F316" s="148"/>
      <c r="G316" s="148"/>
      <c r="H316" s="148"/>
      <c r="I316" s="148"/>
      <c r="J316" s="98" t="s">
        <v>2101</v>
      </c>
      <c r="K316" s="99" t="str">
        <f>_xlfn.XLOOKUP(L316,'99_マスタ'!$D$5:$D$18,'99_マスタ'!$C$5:$C$18,"")</f>
        <v>02_生販在</v>
      </c>
      <c r="L316" s="99" t="s">
        <v>2325</v>
      </c>
      <c r="M316" s="99" t="s">
        <v>675</v>
      </c>
      <c r="N316" s="126" t="s">
        <v>139</v>
      </c>
      <c r="O316" s="40" t="s">
        <v>676</v>
      </c>
      <c r="P316" s="40"/>
      <c r="Q316" s="40" t="s">
        <v>284</v>
      </c>
      <c r="R316" s="41" t="s">
        <v>139</v>
      </c>
      <c r="S316" s="41" t="s">
        <v>139</v>
      </c>
      <c r="T316" s="41" t="s">
        <v>139</v>
      </c>
      <c r="U316" s="41" t="s">
        <v>677</v>
      </c>
      <c r="V316" s="41" t="s">
        <v>139</v>
      </c>
      <c r="W316" s="74" t="s">
        <v>139</v>
      </c>
      <c r="X316" s="41" t="s">
        <v>139</v>
      </c>
      <c r="Y316" s="41" t="s">
        <v>139</v>
      </c>
      <c r="Z316" s="41" t="s">
        <v>668</v>
      </c>
      <c r="AA316" s="41" t="s">
        <v>139</v>
      </c>
      <c r="AB316" s="44"/>
      <c r="AC316" s="45"/>
      <c r="AD316" s="45"/>
      <c r="AE316" s="46"/>
      <c r="AF316" s="45"/>
      <c r="AG316" s="45"/>
      <c r="AH316" s="45"/>
      <c r="AI316" s="3" t="s">
        <v>1583</v>
      </c>
    </row>
    <row r="317" spans="1:35" ht="40.5">
      <c r="A317" s="144">
        <f t="shared" si="4"/>
        <v>315</v>
      </c>
      <c r="B317" s="148"/>
      <c r="C317" s="148"/>
      <c r="D317" s="148"/>
      <c r="E317" s="148"/>
      <c r="F317" s="148"/>
      <c r="G317" s="148"/>
      <c r="H317" s="148"/>
      <c r="I317" s="148"/>
      <c r="J317" s="98" t="s">
        <v>2101</v>
      </c>
      <c r="K317" s="100" t="str">
        <f>_xlfn.XLOOKUP(L317,'99_マスタ'!$D$5:$D$18,'99_マスタ'!$C$5:$C$18,"")</f>
        <v>02_生販在</v>
      </c>
      <c r="L317" s="69" t="s">
        <v>2325</v>
      </c>
      <c r="M317" s="69" t="s">
        <v>297</v>
      </c>
      <c r="N317" s="54" t="s">
        <v>1684</v>
      </c>
      <c r="O317" s="70" t="s">
        <v>298</v>
      </c>
      <c r="P317" s="70" t="s">
        <v>299</v>
      </c>
      <c r="Q317" s="41" t="s">
        <v>2097</v>
      </c>
      <c r="R317" s="41" t="s">
        <v>300</v>
      </c>
      <c r="S317" s="41" t="s">
        <v>139</v>
      </c>
      <c r="T317" s="41" t="s">
        <v>139</v>
      </c>
      <c r="U317" s="41" t="s">
        <v>139</v>
      </c>
      <c r="V317" s="41" t="s">
        <v>301</v>
      </c>
      <c r="W317" s="73" t="s">
        <v>218</v>
      </c>
      <c r="X317" s="54" t="s">
        <v>139</v>
      </c>
      <c r="Y317" s="54" t="s">
        <v>139</v>
      </c>
      <c r="Z317" s="54" t="s">
        <v>139</v>
      </c>
      <c r="AA317" s="54" t="s">
        <v>302</v>
      </c>
      <c r="AB317" s="55"/>
      <c r="AC317" s="56"/>
      <c r="AD317" s="56"/>
      <c r="AE317" s="57"/>
      <c r="AF317" s="56"/>
      <c r="AG317" s="56"/>
      <c r="AH317" s="56"/>
      <c r="AI317" s="3" t="s">
        <v>1583</v>
      </c>
    </row>
    <row r="318" spans="1:35" ht="27">
      <c r="A318" s="144">
        <f t="shared" si="4"/>
        <v>316</v>
      </c>
      <c r="B318" s="148"/>
      <c r="C318" s="148"/>
      <c r="D318" s="148"/>
      <c r="E318" s="148"/>
      <c r="F318" s="148"/>
      <c r="G318" s="148"/>
      <c r="H318" s="148"/>
      <c r="I318" s="148"/>
      <c r="J318" s="98" t="s">
        <v>2101</v>
      </c>
      <c r="K318" s="99" t="str">
        <f>_xlfn.XLOOKUP(L318,'99_マスタ'!$D$5:$D$18,'99_マスタ'!$C$5:$C$18,"")</f>
        <v>02_生販在</v>
      </c>
      <c r="L318" s="99" t="s">
        <v>2325</v>
      </c>
      <c r="M318" s="99" t="s">
        <v>855</v>
      </c>
      <c r="N318" s="126" t="s">
        <v>139</v>
      </c>
      <c r="O318" s="40" t="s">
        <v>2716</v>
      </c>
      <c r="P318" s="40"/>
      <c r="Q318" s="40" t="s">
        <v>787</v>
      </c>
      <c r="R318" s="41" t="s">
        <v>139</v>
      </c>
      <c r="S318" s="41" t="s">
        <v>139</v>
      </c>
      <c r="T318" s="41" t="s">
        <v>139</v>
      </c>
      <c r="U318" s="41" t="s">
        <v>856</v>
      </c>
      <c r="V318" s="41" t="s">
        <v>139</v>
      </c>
      <c r="W318" s="74" t="s">
        <v>139</v>
      </c>
      <c r="X318" s="41" t="s">
        <v>139</v>
      </c>
      <c r="Y318" s="41" t="s">
        <v>139</v>
      </c>
      <c r="Z318" s="41" t="s">
        <v>851</v>
      </c>
      <c r="AA318" s="41" t="s">
        <v>139</v>
      </c>
      <c r="AB318" s="44"/>
      <c r="AC318" s="45"/>
      <c r="AD318" s="45"/>
      <c r="AE318" s="46"/>
      <c r="AF318" s="45"/>
      <c r="AG318" s="45"/>
      <c r="AH318" s="45"/>
      <c r="AI318" s="3" t="s">
        <v>1583</v>
      </c>
    </row>
    <row r="319" spans="1:35" ht="54">
      <c r="A319" s="144">
        <f t="shared" si="4"/>
        <v>317</v>
      </c>
      <c r="B319" s="148"/>
      <c r="C319" s="148"/>
      <c r="D319" s="148"/>
      <c r="E319" s="148"/>
      <c r="F319" s="148"/>
      <c r="G319" s="148"/>
      <c r="H319" s="148"/>
      <c r="I319" s="148"/>
      <c r="J319" s="98" t="s">
        <v>2101</v>
      </c>
      <c r="K319" s="102" t="str">
        <f>_xlfn.XLOOKUP(L319,'99_マスタ'!$D$5:$D$18,'99_マスタ'!$C$5:$C$18,"")</f>
        <v>02_生販在</v>
      </c>
      <c r="L319" s="99" t="s">
        <v>2325</v>
      </c>
      <c r="M319" s="102" t="s">
        <v>1118</v>
      </c>
      <c r="N319" s="126" t="s">
        <v>1119</v>
      </c>
      <c r="O319" s="40" t="s">
        <v>1617</v>
      </c>
      <c r="P319" s="40" t="s">
        <v>1618</v>
      </c>
      <c r="Q319" s="40" t="s">
        <v>161</v>
      </c>
      <c r="R319" s="41" t="s">
        <v>139</v>
      </c>
      <c r="S319" s="41" t="s">
        <v>139</v>
      </c>
      <c r="T319" s="41" t="s">
        <v>1120</v>
      </c>
      <c r="U319" s="41" t="s">
        <v>139</v>
      </c>
      <c r="V319" s="41" t="s">
        <v>139</v>
      </c>
      <c r="W319" s="74" t="s">
        <v>139</v>
      </c>
      <c r="X319" s="41" t="s">
        <v>139</v>
      </c>
      <c r="Y319" s="41" t="s">
        <v>1613</v>
      </c>
      <c r="Z319" s="41" t="s">
        <v>139</v>
      </c>
      <c r="AA319" s="41" t="s">
        <v>139</v>
      </c>
      <c r="AB319" s="44"/>
      <c r="AC319" s="45"/>
      <c r="AD319" s="45"/>
      <c r="AE319" s="46"/>
      <c r="AF319" s="45"/>
      <c r="AG319" s="45"/>
      <c r="AH319" s="45"/>
      <c r="AI319" s="3" t="s">
        <v>1583</v>
      </c>
    </row>
    <row r="320" spans="1:35">
      <c r="A320" s="144">
        <f t="shared" si="4"/>
        <v>318</v>
      </c>
      <c r="B320" s="148"/>
      <c r="C320" s="148"/>
      <c r="D320" s="148"/>
      <c r="E320" s="148"/>
      <c r="F320" s="148"/>
      <c r="G320" s="148"/>
      <c r="H320" s="148"/>
      <c r="I320" s="148"/>
      <c r="J320" s="103" t="s">
        <v>2101</v>
      </c>
      <c r="K320" s="99" t="str">
        <f>_xlfn.XLOOKUP(L320,'99_マスタ'!$D$5:$D$18,'99_マスタ'!$C$5:$C$18,"")</f>
        <v>02_生販在</v>
      </c>
      <c r="L320" s="99" t="s">
        <v>2325</v>
      </c>
      <c r="M320" s="99" t="s">
        <v>2135</v>
      </c>
      <c r="N320" s="126" t="s">
        <v>1637</v>
      </c>
      <c r="O320" s="40" t="s">
        <v>2136</v>
      </c>
      <c r="P320" s="40"/>
      <c r="Q320" s="62" t="s">
        <v>2137</v>
      </c>
      <c r="R320" s="41" t="s">
        <v>139</v>
      </c>
      <c r="S320" s="41" t="s">
        <v>139</v>
      </c>
      <c r="T320" s="41" t="s">
        <v>139</v>
      </c>
      <c r="U320" s="41" t="s">
        <v>2139</v>
      </c>
      <c r="V320" s="41" t="s">
        <v>139</v>
      </c>
      <c r="W320" s="74" t="s">
        <v>139</v>
      </c>
      <c r="X320" s="41" t="s">
        <v>139</v>
      </c>
      <c r="Y320" s="41" t="s">
        <v>139</v>
      </c>
      <c r="Z320" s="41" t="s">
        <v>2138</v>
      </c>
      <c r="AA320" s="41" t="s">
        <v>139</v>
      </c>
      <c r="AB320" s="44"/>
      <c r="AC320" s="45"/>
      <c r="AD320" s="45"/>
      <c r="AE320" s="46"/>
      <c r="AF320" s="45"/>
      <c r="AG320" s="45"/>
      <c r="AH320" s="45"/>
      <c r="AI320" s="3" t="s">
        <v>1583</v>
      </c>
    </row>
    <row r="321" spans="1:35">
      <c r="A321" s="144">
        <f t="shared" si="4"/>
        <v>319</v>
      </c>
      <c r="B321" s="148"/>
      <c r="C321" s="148"/>
      <c r="D321" s="148"/>
      <c r="E321" s="148"/>
      <c r="F321" s="148"/>
      <c r="G321" s="148"/>
      <c r="H321" s="148"/>
      <c r="I321" s="148"/>
      <c r="J321" s="98" t="s">
        <v>2101</v>
      </c>
      <c r="K321" s="101" t="str">
        <f>_xlfn.XLOOKUP(L321,'99_マスタ'!$D$5:$D$18,'99_マスタ'!$C$5:$C$18,"")</f>
        <v>03_会社運営</v>
      </c>
      <c r="L321" s="100" t="s">
        <v>2836</v>
      </c>
      <c r="M321" s="82" t="s">
        <v>2087</v>
      </c>
      <c r="N321" s="54" t="s">
        <v>1637</v>
      </c>
      <c r="O321" s="70" t="s">
        <v>3221</v>
      </c>
      <c r="P321" s="72"/>
      <c r="Q321" s="72"/>
      <c r="R321" s="41" t="s">
        <v>139</v>
      </c>
      <c r="S321" s="41" t="s">
        <v>139</v>
      </c>
      <c r="T321" s="41" t="s">
        <v>139</v>
      </c>
      <c r="U321" s="41" t="s">
        <v>139</v>
      </c>
      <c r="V321" s="41" t="s">
        <v>139</v>
      </c>
      <c r="W321" s="74" t="s">
        <v>139</v>
      </c>
      <c r="X321" s="41" t="s">
        <v>139</v>
      </c>
      <c r="Y321" s="41" t="s">
        <v>139</v>
      </c>
      <c r="Z321" s="41" t="s">
        <v>139</v>
      </c>
      <c r="AA321" s="41" t="s">
        <v>139</v>
      </c>
      <c r="AB321" s="44"/>
      <c r="AC321" s="45"/>
      <c r="AD321" s="45"/>
      <c r="AE321" s="46"/>
      <c r="AF321" s="45"/>
      <c r="AG321" s="45"/>
      <c r="AH321" s="45"/>
      <c r="AI321" s="3" t="s">
        <v>1583</v>
      </c>
    </row>
    <row r="322" spans="1:35" ht="40.5">
      <c r="A322" s="144">
        <f t="shared" si="4"/>
        <v>320</v>
      </c>
      <c r="B322" s="148"/>
      <c r="C322" s="148"/>
      <c r="D322" s="148"/>
      <c r="E322" s="148"/>
      <c r="F322" s="148"/>
      <c r="G322" s="148"/>
      <c r="H322" s="148"/>
      <c r="I322" s="148"/>
      <c r="J322" s="98" t="s">
        <v>2101</v>
      </c>
      <c r="K322" s="100" t="str">
        <f>_xlfn.XLOOKUP(L322,'99_マスタ'!$D$5:$D$18,'99_マスタ'!$C$5:$C$18,"")</f>
        <v>03_会社運営</v>
      </c>
      <c r="L322" s="100" t="s">
        <v>2308</v>
      </c>
      <c r="M322" s="100" t="s">
        <v>2088</v>
      </c>
      <c r="N322" s="126" t="s">
        <v>2092</v>
      </c>
      <c r="O322" s="40" t="s">
        <v>1042</v>
      </c>
      <c r="P322" s="40" t="s">
        <v>1043</v>
      </c>
      <c r="Q322" s="40" t="s">
        <v>1044</v>
      </c>
      <c r="R322" s="41" t="s">
        <v>139</v>
      </c>
      <c r="S322" s="41" t="s">
        <v>139</v>
      </c>
      <c r="T322" s="41" t="s">
        <v>139</v>
      </c>
      <c r="U322" s="41" t="s">
        <v>139</v>
      </c>
      <c r="V322" s="41" t="s">
        <v>1045</v>
      </c>
      <c r="W322" s="74" t="s">
        <v>139</v>
      </c>
      <c r="X322" s="41" t="s">
        <v>139</v>
      </c>
      <c r="Y322" s="41" t="s">
        <v>139</v>
      </c>
      <c r="Z322" s="41" t="s">
        <v>139</v>
      </c>
      <c r="AA322" s="41" t="s">
        <v>614</v>
      </c>
      <c r="AB322" s="44"/>
      <c r="AC322" s="45"/>
      <c r="AD322" s="45"/>
      <c r="AE322" s="46"/>
      <c r="AF322" s="45"/>
      <c r="AG322" s="45"/>
      <c r="AH322" s="45"/>
      <c r="AI322" s="3" t="s">
        <v>1583</v>
      </c>
    </row>
    <row r="323" spans="1:35">
      <c r="A323" s="144">
        <f t="shared" ref="A323:A386" si="5">ROW()-2</f>
        <v>321</v>
      </c>
      <c r="B323" s="148"/>
      <c r="C323" s="148"/>
      <c r="D323" s="148"/>
      <c r="E323" s="148"/>
      <c r="F323" s="148"/>
      <c r="G323" s="148"/>
      <c r="H323" s="148"/>
      <c r="I323" s="148"/>
      <c r="J323" s="103" t="s">
        <v>2101</v>
      </c>
      <c r="K323" s="100" t="str">
        <f>_xlfn.XLOOKUP(L323,'99_マスタ'!$D$5:$D$18,'99_マスタ'!$C$5:$C$18,"")</f>
        <v>03_会社運営</v>
      </c>
      <c r="L323" s="69" t="s">
        <v>2310</v>
      </c>
      <c r="M323" s="69" t="s">
        <v>2039</v>
      </c>
      <c r="N323" s="54" t="s">
        <v>1637</v>
      </c>
      <c r="O323" s="72"/>
      <c r="P323" s="70" t="s">
        <v>2095</v>
      </c>
      <c r="Q323" s="70" t="s">
        <v>1666</v>
      </c>
      <c r="R323" s="41" t="s">
        <v>139</v>
      </c>
      <c r="S323" s="41" t="s">
        <v>139</v>
      </c>
      <c r="T323" s="41" t="s">
        <v>139</v>
      </c>
      <c r="U323" s="41" t="s">
        <v>139</v>
      </c>
      <c r="V323" s="41" t="s">
        <v>1891</v>
      </c>
      <c r="W323" s="73" t="s">
        <v>139</v>
      </c>
      <c r="X323" s="54" t="s">
        <v>139</v>
      </c>
      <c r="Y323" s="54" t="s">
        <v>139</v>
      </c>
      <c r="Z323" s="54" t="s">
        <v>139</v>
      </c>
      <c r="AA323" s="54" t="s">
        <v>1892</v>
      </c>
      <c r="AB323" s="55"/>
      <c r="AC323" s="56"/>
      <c r="AD323" s="56"/>
      <c r="AE323" s="57"/>
      <c r="AF323" s="56"/>
      <c r="AG323" s="56"/>
      <c r="AH323" s="56"/>
      <c r="AI323" s="3" t="s">
        <v>1583</v>
      </c>
    </row>
    <row r="324" spans="1:35" ht="27">
      <c r="A324" s="144">
        <f t="shared" si="5"/>
        <v>322</v>
      </c>
      <c r="B324" s="148"/>
      <c r="C324" s="148"/>
      <c r="D324" s="148"/>
      <c r="E324" s="148"/>
      <c r="F324" s="148"/>
      <c r="G324" s="148"/>
      <c r="H324" s="148"/>
      <c r="I324" s="148"/>
      <c r="J324" s="108" t="s">
        <v>2101</v>
      </c>
      <c r="K324" s="100" t="str">
        <f>_xlfn.XLOOKUP(L324,'99_マスタ'!$D$5:$D$18,'99_マスタ'!$C$5:$C$18,"")</f>
        <v>03_会社運営</v>
      </c>
      <c r="L324" s="100" t="s">
        <v>2310</v>
      </c>
      <c r="M324" s="100" t="s">
        <v>1387</v>
      </c>
      <c r="N324" s="126" t="s">
        <v>1388</v>
      </c>
      <c r="O324" s="40" t="s">
        <v>1389</v>
      </c>
      <c r="P324" s="62" t="s">
        <v>1390</v>
      </c>
      <c r="Q324" s="40" t="s">
        <v>1391</v>
      </c>
      <c r="R324" s="41" t="s">
        <v>139</v>
      </c>
      <c r="S324" s="41" t="s">
        <v>139</v>
      </c>
      <c r="T324" s="41" t="s">
        <v>139</v>
      </c>
      <c r="U324" s="41" t="s">
        <v>139</v>
      </c>
      <c r="V324" s="41" t="s">
        <v>1688</v>
      </c>
      <c r="W324" s="74" t="s">
        <v>139</v>
      </c>
      <c r="X324" s="41" t="s">
        <v>139</v>
      </c>
      <c r="Y324" s="41" t="s">
        <v>139</v>
      </c>
      <c r="Z324" s="41" t="s">
        <v>139</v>
      </c>
      <c r="AA324" s="41" t="s">
        <v>1392</v>
      </c>
      <c r="AB324" s="44"/>
      <c r="AC324" s="45"/>
      <c r="AD324" s="45"/>
      <c r="AE324" s="46"/>
      <c r="AF324" s="45"/>
      <c r="AG324" s="45"/>
      <c r="AH324" s="45"/>
      <c r="AI324" s="3" t="s">
        <v>1583</v>
      </c>
    </row>
    <row r="325" spans="1:35" ht="40.5">
      <c r="A325" s="144">
        <f t="shared" si="5"/>
        <v>323</v>
      </c>
      <c r="B325" s="148"/>
      <c r="C325" s="148"/>
      <c r="D325" s="148"/>
      <c r="E325" s="148"/>
      <c r="F325" s="148"/>
      <c r="G325" s="148"/>
      <c r="H325" s="148"/>
      <c r="I325" s="148"/>
      <c r="J325" s="98" t="s">
        <v>2101</v>
      </c>
      <c r="K325" s="100" t="str">
        <f>_xlfn.XLOOKUP(L325,'99_マスタ'!$D$5:$D$18,'99_マスタ'!$C$5:$C$18,"")</f>
        <v>03_会社運営</v>
      </c>
      <c r="L325" s="100" t="s">
        <v>2310</v>
      </c>
      <c r="M325" s="100" t="s">
        <v>3016</v>
      </c>
      <c r="N325" s="126" t="s">
        <v>139</v>
      </c>
      <c r="O325" s="40" t="s">
        <v>1601</v>
      </c>
      <c r="P325" s="61"/>
      <c r="Q325" s="40" t="s">
        <v>192</v>
      </c>
      <c r="R325" s="41" t="s">
        <v>139</v>
      </c>
      <c r="S325" s="41" t="s">
        <v>139</v>
      </c>
      <c r="T325" s="41" t="s">
        <v>139</v>
      </c>
      <c r="U325" s="41" t="s">
        <v>139</v>
      </c>
      <c r="V325" s="41" t="s">
        <v>1028</v>
      </c>
      <c r="W325" s="74" t="s">
        <v>139</v>
      </c>
      <c r="X325" s="41" t="s">
        <v>139</v>
      </c>
      <c r="Y325" s="41" t="s">
        <v>139</v>
      </c>
      <c r="Z325" s="41" t="s">
        <v>139</v>
      </c>
      <c r="AA325" s="41" t="s">
        <v>1017</v>
      </c>
      <c r="AB325" s="44"/>
      <c r="AC325" s="45"/>
      <c r="AD325" s="45"/>
      <c r="AE325" s="46"/>
      <c r="AF325" s="45"/>
      <c r="AG325" s="45"/>
      <c r="AH325" s="45"/>
      <c r="AI325" s="3" t="s">
        <v>1583</v>
      </c>
    </row>
    <row r="326" spans="1:35" ht="27">
      <c r="A326" s="144">
        <f t="shared" si="5"/>
        <v>324</v>
      </c>
      <c r="B326" s="148"/>
      <c r="C326" s="148"/>
      <c r="D326" s="148"/>
      <c r="E326" s="148"/>
      <c r="F326" s="148"/>
      <c r="G326" s="148"/>
      <c r="H326" s="148"/>
      <c r="I326" s="148"/>
      <c r="J326" s="98" t="s">
        <v>2102</v>
      </c>
      <c r="K326" s="101" t="str">
        <f>_xlfn.XLOOKUP(L326,'99_マスタ'!$D$5:$D$18,'99_マスタ'!$C$5:$C$18,"")</f>
        <v>01_財務・業績指標</v>
      </c>
      <c r="L326" s="113" t="s">
        <v>2300</v>
      </c>
      <c r="M326" s="113" t="s">
        <v>1155</v>
      </c>
      <c r="N326" s="126" t="s">
        <v>1156</v>
      </c>
      <c r="O326" s="40" t="s">
        <v>1157</v>
      </c>
      <c r="P326" s="40" t="s">
        <v>1158</v>
      </c>
      <c r="Q326" s="40" t="s">
        <v>161</v>
      </c>
      <c r="R326" s="41" t="s">
        <v>1145</v>
      </c>
      <c r="S326" s="41" t="s">
        <v>139</v>
      </c>
      <c r="T326" s="41" t="s">
        <v>139</v>
      </c>
      <c r="U326" s="41" t="s">
        <v>139</v>
      </c>
      <c r="V326" s="41" t="s">
        <v>139</v>
      </c>
      <c r="W326" s="74" t="s">
        <v>235</v>
      </c>
      <c r="X326" s="41" t="s">
        <v>139</v>
      </c>
      <c r="Y326" s="41" t="s">
        <v>139</v>
      </c>
      <c r="Z326" s="41" t="s">
        <v>139</v>
      </c>
      <c r="AA326" s="41" t="s">
        <v>139</v>
      </c>
      <c r="AB326" s="44"/>
      <c r="AC326" s="45"/>
      <c r="AD326" s="45"/>
      <c r="AE326" s="46"/>
      <c r="AF326" s="45"/>
      <c r="AG326" s="45"/>
      <c r="AH326" s="45"/>
      <c r="AI326" s="3" t="s">
        <v>1583</v>
      </c>
    </row>
    <row r="327" spans="1:35" ht="27">
      <c r="A327" s="144">
        <f t="shared" si="5"/>
        <v>325</v>
      </c>
      <c r="B327" s="148"/>
      <c r="C327" s="148"/>
      <c r="D327" s="148"/>
      <c r="E327" s="148"/>
      <c r="F327" s="148"/>
      <c r="G327" s="148"/>
      <c r="H327" s="148"/>
      <c r="I327" s="148"/>
      <c r="J327" s="108" t="s">
        <v>2102</v>
      </c>
      <c r="K327" s="100" t="str">
        <f>_xlfn.XLOOKUP(L327,'99_マスタ'!$D$5:$D$18,'99_マスタ'!$C$5:$C$18,"")</f>
        <v>01_財務・業績指標</v>
      </c>
      <c r="L327" s="100" t="s">
        <v>2299</v>
      </c>
      <c r="M327" s="100" t="s">
        <v>1029</v>
      </c>
      <c r="N327" s="126" t="s">
        <v>1030</v>
      </c>
      <c r="O327" s="40" t="s">
        <v>1921</v>
      </c>
      <c r="P327" s="40" t="s">
        <v>1031</v>
      </c>
      <c r="Q327" s="40" t="s">
        <v>1032</v>
      </c>
      <c r="R327" s="41" t="s">
        <v>139</v>
      </c>
      <c r="S327" s="41" t="s">
        <v>139</v>
      </c>
      <c r="T327" s="41" t="s">
        <v>139</v>
      </c>
      <c r="U327" s="41" t="s">
        <v>139</v>
      </c>
      <c r="V327" s="41" t="s">
        <v>1033</v>
      </c>
      <c r="W327" s="74" t="s">
        <v>139</v>
      </c>
      <c r="X327" s="41" t="s">
        <v>139</v>
      </c>
      <c r="Y327" s="41" t="s">
        <v>139</v>
      </c>
      <c r="Z327" s="41" t="s">
        <v>139</v>
      </c>
      <c r="AA327" s="41" t="s">
        <v>1017</v>
      </c>
      <c r="AB327" s="44" t="s">
        <v>1602</v>
      </c>
      <c r="AC327" s="45"/>
      <c r="AD327" s="45"/>
      <c r="AE327" s="46"/>
      <c r="AF327" s="45"/>
      <c r="AG327" s="45"/>
      <c r="AH327" s="45"/>
      <c r="AI327" s="3" t="s">
        <v>1583</v>
      </c>
    </row>
    <row r="328" spans="1:35" ht="40.5">
      <c r="A328" s="144">
        <f t="shared" si="5"/>
        <v>326</v>
      </c>
      <c r="B328" s="148"/>
      <c r="C328" s="148"/>
      <c r="D328" s="148"/>
      <c r="E328" s="148"/>
      <c r="F328" s="148"/>
      <c r="G328" s="148"/>
      <c r="H328" s="148"/>
      <c r="I328" s="148"/>
      <c r="J328" s="98" t="s">
        <v>2102</v>
      </c>
      <c r="K328" s="99" t="str">
        <f>_xlfn.XLOOKUP(L328,'99_マスタ'!$D$5:$D$18,'99_マスタ'!$C$5:$C$18,"")</f>
        <v>02_生販在</v>
      </c>
      <c r="L328" s="99" t="s">
        <v>2302</v>
      </c>
      <c r="M328" s="99" t="s">
        <v>683</v>
      </c>
      <c r="N328" s="126" t="s">
        <v>139</v>
      </c>
      <c r="O328" s="40" t="s">
        <v>684</v>
      </c>
      <c r="P328" s="40"/>
      <c r="Q328" s="40" t="s">
        <v>139</v>
      </c>
      <c r="R328" s="41" t="s">
        <v>139</v>
      </c>
      <c r="S328" s="41" t="s">
        <v>139</v>
      </c>
      <c r="T328" s="41" t="s">
        <v>139</v>
      </c>
      <c r="U328" s="41" t="s">
        <v>2129</v>
      </c>
      <c r="V328" s="41" t="s">
        <v>139</v>
      </c>
      <c r="W328" s="74" t="s">
        <v>139</v>
      </c>
      <c r="X328" s="41" t="s">
        <v>139</v>
      </c>
      <c r="Y328" s="41" t="s">
        <v>139</v>
      </c>
      <c r="Z328" s="41" t="s">
        <v>685</v>
      </c>
      <c r="AA328" s="41" t="s">
        <v>139</v>
      </c>
      <c r="AB328" s="44"/>
      <c r="AC328" s="45"/>
      <c r="AD328" s="45"/>
      <c r="AE328" s="46"/>
      <c r="AF328" s="45"/>
      <c r="AG328" s="45"/>
      <c r="AH328" s="45"/>
      <c r="AI328" s="3" t="s">
        <v>1583</v>
      </c>
    </row>
    <row r="329" spans="1:35" ht="27">
      <c r="A329" s="144">
        <f t="shared" si="5"/>
        <v>327</v>
      </c>
      <c r="B329" s="148"/>
      <c r="C329" s="148"/>
      <c r="D329" s="148"/>
      <c r="E329" s="148"/>
      <c r="F329" s="148"/>
      <c r="G329" s="148"/>
      <c r="H329" s="148"/>
      <c r="I329" s="148"/>
      <c r="J329" s="98" t="s">
        <v>2102</v>
      </c>
      <c r="K329" s="100" t="str">
        <f>_xlfn.XLOOKUP(L329,'99_マスタ'!$D$5:$D$18,'99_マスタ'!$C$5:$C$18,"")</f>
        <v>02_生販在</v>
      </c>
      <c r="L329" s="100" t="s">
        <v>2303</v>
      </c>
      <c r="M329" s="100" t="s">
        <v>2672</v>
      </c>
      <c r="N329" s="126" t="s">
        <v>1163</v>
      </c>
      <c r="O329" s="40" t="s">
        <v>1926</v>
      </c>
      <c r="P329" s="40" t="s">
        <v>1929</v>
      </c>
      <c r="Q329" s="40" t="s">
        <v>192</v>
      </c>
      <c r="R329" s="41" t="s">
        <v>1164</v>
      </c>
      <c r="S329" s="41" t="s">
        <v>139</v>
      </c>
      <c r="T329" s="41" t="s">
        <v>139</v>
      </c>
      <c r="U329" s="41" t="s">
        <v>139</v>
      </c>
      <c r="V329" s="41" t="s">
        <v>1165</v>
      </c>
      <c r="W329" s="74" t="s">
        <v>114</v>
      </c>
      <c r="X329" s="41" t="s">
        <v>139</v>
      </c>
      <c r="Y329" s="41" t="s">
        <v>139</v>
      </c>
      <c r="Z329" s="41" t="s">
        <v>139</v>
      </c>
      <c r="AA329" s="41" t="s">
        <v>1166</v>
      </c>
      <c r="AB329" s="44" t="s">
        <v>1605</v>
      </c>
      <c r="AC329" s="45"/>
      <c r="AD329" s="45"/>
      <c r="AE329" s="46"/>
      <c r="AF329" s="45"/>
      <c r="AG329" s="45"/>
      <c r="AH329" s="45"/>
      <c r="AI329" s="3" t="s">
        <v>1583</v>
      </c>
    </row>
    <row r="330" spans="1:35">
      <c r="A330" s="144">
        <f t="shared" si="5"/>
        <v>328</v>
      </c>
      <c r="B330" s="148"/>
      <c r="C330" s="148"/>
      <c r="D330" s="148"/>
      <c r="E330" s="148"/>
      <c r="F330" s="148"/>
      <c r="G330" s="148"/>
      <c r="H330" s="148"/>
      <c r="I330" s="148"/>
      <c r="J330" s="98" t="s">
        <v>2102</v>
      </c>
      <c r="K330" s="51" t="str">
        <f>_xlfn.XLOOKUP(L330,'99_マスタ'!$D$5:$D$18,'99_マスタ'!$C$5:$C$18,"")</f>
        <v>02_生販在</v>
      </c>
      <c r="L330" s="51" t="s">
        <v>2303</v>
      </c>
      <c r="M330" s="51" t="s">
        <v>364</v>
      </c>
      <c r="N330" s="54" t="s">
        <v>365</v>
      </c>
      <c r="O330" s="41" t="s">
        <v>366</v>
      </c>
      <c r="P330" s="41"/>
      <c r="Q330" s="41" t="s">
        <v>139</v>
      </c>
      <c r="R330" s="41" t="s">
        <v>183</v>
      </c>
      <c r="S330" s="41" t="s">
        <v>139</v>
      </c>
      <c r="T330" s="41" t="s">
        <v>139</v>
      </c>
      <c r="U330" s="41" t="s">
        <v>2193</v>
      </c>
      <c r="V330" s="41" t="s">
        <v>139</v>
      </c>
      <c r="W330" s="73" t="s">
        <v>367</v>
      </c>
      <c r="X330" s="54" t="s">
        <v>139</v>
      </c>
      <c r="Y330" s="54" t="s">
        <v>139</v>
      </c>
      <c r="Z330" s="54" t="s">
        <v>1006</v>
      </c>
      <c r="AA330" s="54" t="s">
        <v>139</v>
      </c>
      <c r="AB330" s="55"/>
      <c r="AC330" s="56"/>
      <c r="AD330" s="56"/>
      <c r="AE330" s="57"/>
      <c r="AF330" s="56"/>
      <c r="AG330" s="56"/>
      <c r="AH330" s="56"/>
      <c r="AI330" s="3" t="s">
        <v>1583</v>
      </c>
    </row>
    <row r="331" spans="1:35">
      <c r="A331" s="144">
        <f t="shared" si="5"/>
        <v>329</v>
      </c>
      <c r="B331" s="148"/>
      <c r="C331" s="148"/>
      <c r="D331" s="148"/>
      <c r="E331" s="148"/>
      <c r="F331" s="148"/>
      <c r="G331" s="148"/>
      <c r="H331" s="148"/>
      <c r="I331" s="148"/>
      <c r="J331" s="98" t="s">
        <v>2102</v>
      </c>
      <c r="K331" s="51" t="str">
        <f>_xlfn.XLOOKUP(L331,'99_マスタ'!$D$5:$D$18,'99_マスタ'!$C$5:$C$18,"")</f>
        <v>02_生販在</v>
      </c>
      <c r="L331" s="51" t="s">
        <v>2303</v>
      </c>
      <c r="M331" s="51" t="s">
        <v>2194</v>
      </c>
      <c r="N331" s="54" t="s">
        <v>2195</v>
      </c>
      <c r="O331" s="41" t="s">
        <v>379</v>
      </c>
      <c r="P331" s="41"/>
      <c r="Q331" s="41" t="s">
        <v>139</v>
      </c>
      <c r="R331" s="41" t="s">
        <v>183</v>
      </c>
      <c r="S331" s="41" t="s">
        <v>139</v>
      </c>
      <c r="T331" s="41" t="s">
        <v>139</v>
      </c>
      <c r="U331" s="41" t="s">
        <v>2193</v>
      </c>
      <c r="V331" s="41" t="s">
        <v>139</v>
      </c>
      <c r="W331" s="73" t="s">
        <v>228</v>
      </c>
      <c r="X331" s="54" t="s">
        <v>139</v>
      </c>
      <c r="Y331" s="54" t="s">
        <v>139</v>
      </c>
      <c r="Z331" s="54" t="s">
        <v>2192</v>
      </c>
      <c r="AA331" s="54" t="s">
        <v>139</v>
      </c>
      <c r="AB331" s="55"/>
      <c r="AC331" s="56"/>
      <c r="AD331" s="56"/>
      <c r="AE331" s="57"/>
      <c r="AF331" s="56"/>
      <c r="AG331" s="56"/>
      <c r="AH331" s="56"/>
      <c r="AI331" s="3" t="s">
        <v>1583</v>
      </c>
    </row>
    <row r="332" spans="1:35">
      <c r="A332" s="144">
        <f t="shared" si="5"/>
        <v>330</v>
      </c>
      <c r="B332" s="148"/>
      <c r="C332" s="148"/>
      <c r="D332" s="148"/>
      <c r="E332" s="148"/>
      <c r="F332" s="148"/>
      <c r="G332" s="148"/>
      <c r="H332" s="148"/>
      <c r="I332" s="148"/>
      <c r="J332" s="98" t="s">
        <v>2102</v>
      </c>
      <c r="K332" s="51" t="str">
        <f>_xlfn.XLOOKUP(L332,'99_マスタ'!$D$5:$D$18,'99_マスタ'!$C$5:$C$18,"")</f>
        <v>02_生販在</v>
      </c>
      <c r="L332" s="51" t="s">
        <v>2303</v>
      </c>
      <c r="M332" s="51" t="s">
        <v>380</v>
      </c>
      <c r="N332" s="54" t="s">
        <v>381</v>
      </c>
      <c r="O332" s="41" t="s">
        <v>382</v>
      </c>
      <c r="P332" s="41"/>
      <c r="Q332" s="41" t="s">
        <v>139</v>
      </c>
      <c r="R332" s="41" t="s">
        <v>378</v>
      </c>
      <c r="S332" s="41" t="s">
        <v>139</v>
      </c>
      <c r="T332" s="41" t="s">
        <v>139</v>
      </c>
      <c r="U332" s="41" t="s">
        <v>139</v>
      </c>
      <c r="V332" s="41" t="s">
        <v>139</v>
      </c>
      <c r="W332" s="73" t="s">
        <v>163</v>
      </c>
      <c r="X332" s="54" t="s">
        <v>139</v>
      </c>
      <c r="Y332" s="54" t="s">
        <v>139</v>
      </c>
      <c r="Z332" s="54" t="s">
        <v>139</v>
      </c>
      <c r="AA332" s="54" t="s">
        <v>139</v>
      </c>
      <c r="AB332" s="55"/>
      <c r="AC332" s="56"/>
      <c r="AD332" s="56"/>
      <c r="AE332" s="57"/>
      <c r="AF332" s="56"/>
      <c r="AG332" s="56"/>
      <c r="AH332" s="56"/>
      <c r="AI332" s="3" t="s">
        <v>1583</v>
      </c>
    </row>
    <row r="333" spans="1:35">
      <c r="A333" s="144">
        <f t="shared" si="5"/>
        <v>331</v>
      </c>
      <c r="B333" s="148"/>
      <c r="C333" s="148"/>
      <c r="D333" s="148"/>
      <c r="E333" s="148"/>
      <c r="F333" s="148"/>
      <c r="G333" s="148"/>
      <c r="H333" s="148"/>
      <c r="I333" s="148"/>
      <c r="J333" s="98" t="s">
        <v>2102</v>
      </c>
      <c r="K333" s="51" t="str">
        <f>_xlfn.XLOOKUP(L333,'99_マスタ'!$D$5:$D$18,'99_マスタ'!$C$5:$C$18,"")</f>
        <v>02_生販在</v>
      </c>
      <c r="L333" s="51" t="s">
        <v>2303</v>
      </c>
      <c r="M333" s="51" t="s">
        <v>393</v>
      </c>
      <c r="N333" s="54" t="s">
        <v>139</v>
      </c>
      <c r="O333" s="41" t="s">
        <v>394</v>
      </c>
      <c r="P333" s="41"/>
      <c r="Q333" s="41" t="s">
        <v>139</v>
      </c>
      <c r="R333" s="41" t="s">
        <v>389</v>
      </c>
      <c r="S333" s="41" t="s">
        <v>139</v>
      </c>
      <c r="T333" s="41" t="s">
        <v>139</v>
      </c>
      <c r="U333" s="41" t="s">
        <v>139</v>
      </c>
      <c r="V333" s="41" t="s">
        <v>139</v>
      </c>
      <c r="W333" s="73" t="s">
        <v>218</v>
      </c>
      <c r="X333" s="54" t="s">
        <v>139</v>
      </c>
      <c r="Y333" s="54" t="s">
        <v>139</v>
      </c>
      <c r="Z333" s="54" t="s">
        <v>139</v>
      </c>
      <c r="AA333" s="54" t="s">
        <v>139</v>
      </c>
      <c r="AB333" s="55"/>
      <c r="AC333" s="56"/>
      <c r="AD333" s="56"/>
      <c r="AE333" s="57"/>
      <c r="AF333" s="56"/>
      <c r="AG333" s="56"/>
      <c r="AH333" s="56"/>
      <c r="AI333" s="3" t="s">
        <v>1583</v>
      </c>
    </row>
    <row r="334" spans="1:35">
      <c r="A334" s="144">
        <f t="shared" si="5"/>
        <v>332</v>
      </c>
      <c r="B334" s="148"/>
      <c r="C334" s="148"/>
      <c r="D334" s="148"/>
      <c r="E334" s="148"/>
      <c r="F334" s="148"/>
      <c r="G334" s="148"/>
      <c r="H334" s="148"/>
      <c r="I334" s="148"/>
      <c r="J334" s="98" t="s">
        <v>2102</v>
      </c>
      <c r="K334" s="51" t="str">
        <f>_xlfn.XLOOKUP(L334,'99_マスタ'!$D$5:$D$18,'99_マスタ'!$C$5:$C$18,"")</f>
        <v>02_生販在</v>
      </c>
      <c r="L334" s="51" t="s">
        <v>2303</v>
      </c>
      <c r="M334" s="51" t="s">
        <v>386</v>
      </c>
      <c r="N334" s="54" t="s">
        <v>387</v>
      </c>
      <c r="O334" s="41" t="s">
        <v>388</v>
      </c>
      <c r="P334" s="41"/>
      <c r="Q334" s="41" t="s">
        <v>139</v>
      </c>
      <c r="R334" s="41" t="s">
        <v>389</v>
      </c>
      <c r="S334" s="41" t="s">
        <v>139</v>
      </c>
      <c r="T334" s="41" t="s">
        <v>139</v>
      </c>
      <c r="U334" s="41" t="s">
        <v>139</v>
      </c>
      <c r="V334" s="41" t="s">
        <v>139</v>
      </c>
      <c r="W334" s="73" t="s">
        <v>218</v>
      </c>
      <c r="X334" s="54" t="s">
        <v>139</v>
      </c>
      <c r="Y334" s="54" t="s">
        <v>139</v>
      </c>
      <c r="Z334" s="54" t="s">
        <v>139</v>
      </c>
      <c r="AA334" s="54" t="s">
        <v>139</v>
      </c>
      <c r="AB334" s="55"/>
      <c r="AC334" s="56"/>
      <c r="AD334" s="56"/>
      <c r="AE334" s="57"/>
      <c r="AF334" s="56"/>
      <c r="AG334" s="56"/>
      <c r="AH334" s="56"/>
      <c r="AI334" s="3" t="s">
        <v>1583</v>
      </c>
    </row>
    <row r="335" spans="1:35" ht="27">
      <c r="A335" s="144">
        <f t="shared" si="5"/>
        <v>333</v>
      </c>
      <c r="B335" s="148"/>
      <c r="C335" s="148"/>
      <c r="D335" s="148"/>
      <c r="E335" s="148"/>
      <c r="F335" s="148"/>
      <c r="G335" s="148"/>
      <c r="H335" s="148"/>
      <c r="I335" s="148"/>
      <c r="J335" s="98" t="s">
        <v>2102</v>
      </c>
      <c r="K335" s="51" t="str">
        <f>_xlfn.XLOOKUP(L335,'99_マスタ'!$D$5:$D$18,'99_マスタ'!$C$5:$C$18,"")</f>
        <v>02_生販在</v>
      </c>
      <c r="L335" s="51" t="s">
        <v>2303</v>
      </c>
      <c r="M335" s="51" t="s">
        <v>383</v>
      </c>
      <c r="N335" s="54" t="s">
        <v>384</v>
      </c>
      <c r="O335" s="41" t="s">
        <v>385</v>
      </c>
      <c r="P335" s="41"/>
      <c r="Q335" s="41" t="s">
        <v>139</v>
      </c>
      <c r="R335" s="41" t="s">
        <v>378</v>
      </c>
      <c r="S335" s="41" t="s">
        <v>139</v>
      </c>
      <c r="T335" s="41" t="s">
        <v>139</v>
      </c>
      <c r="U335" s="41" t="s">
        <v>139</v>
      </c>
      <c r="V335" s="41" t="s">
        <v>139</v>
      </c>
      <c r="W335" s="73" t="s">
        <v>163</v>
      </c>
      <c r="X335" s="54" t="s">
        <v>139</v>
      </c>
      <c r="Y335" s="54" t="s">
        <v>139</v>
      </c>
      <c r="Z335" s="54" t="s">
        <v>139</v>
      </c>
      <c r="AA335" s="54" t="s">
        <v>139</v>
      </c>
      <c r="AB335" s="55"/>
      <c r="AC335" s="56"/>
      <c r="AD335" s="56"/>
      <c r="AE335" s="57"/>
      <c r="AF335" s="56"/>
      <c r="AG335" s="56"/>
      <c r="AH335" s="56"/>
      <c r="AI335" s="3" t="s">
        <v>1583</v>
      </c>
    </row>
    <row r="336" spans="1:35">
      <c r="A336" s="144">
        <f t="shared" si="5"/>
        <v>334</v>
      </c>
      <c r="B336" s="148"/>
      <c r="C336" s="148"/>
      <c r="D336" s="148"/>
      <c r="E336" s="148"/>
      <c r="F336" s="148"/>
      <c r="G336" s="148"/>
      <c r="H336" s="148"/>
      <c r="I336" s="148"/>
      <c r="J336" s="98" t="s">
        <v>2102</v>
      </c>
      <c r="K336" s="51" t="str">
        <f>_xlfn.XLOOKUP(L336,'99_マスタ'!$D$5:$D$18,'99_マスタ'!$C$5:$C$18,"")</f>
        <v>02_生販在</v>
      </c>
      <c r="L336" s="52" t="s">
        <v>2303</v>
      </c>
      <c r="M336" s="52" t="s">
        <v>3281</v>
      </c>
      <c r="N336" s="54" t="s">
        <v>3282</v>
      </c>
      <c r="O336" s="41" t="s">
        <v>475</v>
      </c>
      <c r="P336" s="41" t="s">
        <v>476</v>
      </c>
      <c r="Q336" s="41" t="s">
        <v>408</v>
      </c>
      <c r="R336" s="41" t="s">
        <v>477</v>
      </c>
      <c r="S336" s="41" t="s">
        <v>139</v>
      </c>
      <c r="T336" s="41" t="s">
        <v>139</v>
      </c>
      <c r="U336" s="41" t="s">
        <v>139</v>
      </c>
      <c r="V336" s="41" t="s">
        <v>139</v>
      </c>
      <c r="W336" s="73" t="s">
        <v>361</v>
      </c>
      <c r="X336" s="54" t="s">
        <v>139</v>
      </c>
      <c r="Y336" s="54" t="s">
        <v>139</v>
      </c>
      <c r="Z336" s="54" t="s">
        <v>139</v>
      </c>
      <c r="AA336" s="54" t="s">
        <v>139</v>
      </c>
      <c r="AB336" s="55"/>
      <c r="AC336" s="56"/>
      <c r="AD336" s="56"/>
      <c r="AE336" s="57"/>
      <c r="AF336" s="56"/>
      <c r="AG336" s="56"/>
      <c r="AH336" s="56"/>
      <c r="AI336" s="3" t="s">
        <v>1583</v>
      </c>
    </row>
    <row r="337" spans="1:35">
      <c r="A337" s="144">
        <f t="shared" si="5"/>
        <v>335</v>
      </c>
      <c r="B337" s="148"/>
      <c r="C337" s="148"/>
      <c r="D337" s="148"/>
      <c r="E337" s="148"/>
      <c r="F337" s="148"/>
      <c r="G337" s="148"/>
      <c r="H337" s="148"/>
      <c r="I337" s="148"/>
      <c r="J337" s="98" t="s">
        <v>2102</v>
      </c>
      <c r="K337" s="51" t="str">
        <f>_xlfn.XLOOKUP(L337,'99_マスタ'!$D$5:$D$18,'99_マスタ'!$C$5:$C$18,"")</f>
        <v>02_生販在</v>
      </c>
      <c r="L337" s="51" t="s">
        <v>2303</v>
      </c>
      <c r="M337" s="51" t="s">
        <v>368</v>
      </c>
      <c r="N337" s="54" t="s">
        <v>369</v>
      </c>
      <c r="O337" s="41" t="s">
        <v>370</v>
      </c>
      <c r="P337" s="41"/>
      <c r="Q337" s="41" t="s">
        <v>139</v>
      </c>
      <c r="R337" s="41" t="s">
        <v>183</v>
      </c>
      <c r="S337" s="41" t="s">
        <v>139</v>
      </c>
      <c r="T337" s="41" t="s">
        <v>139</v>
      </c>
      <c r="U337" s="41" t="s">
        <v>2191</v>
      </c>
      <c r="V337" s="41" t="s">
        <v>139</v>
      </c>
      <c r="W337" s="73" t="s">
        <v>228</v>
      </c>
      <c r="X337" s="54" t="s">
        <v>139</v>
      </c>
      <c r="Y337" s="54" t="s">
        <v>139</v>
      </c>
      <c r="Z337" s="54" t="s">
        <v>2192</v>
      </c>
      <c r="AA337" s="54" t="s">
        <v>139</v>
      </c>
      <c r="AB337" s="55"/>
      <c r="AC337" s="56"/>
      <c r="AD337" s="56"/>
      <c r="AE337" s="57"/>
      <c r="AF337" s="56"/>
      <c r="AG337" s="56"/>
      <c r="AH337" s="56"/>
      <c r="AI337" s="3" t="s">
        <v>1583</v>
      </c>
    </row>
    <row r="338" spans="1:35" ht="27">
      <c r="A338" s="144">
        <f t="shared" si="5"/>
        <v>336</v>
      </c>
      <c r="B338" s="148"/>
      <c r="C338" s="148"/>
      <c r="D338" s="148"/>
      <c r="E338" s="148"/>
      <c r="F338" s="148"/>
      <c r="G338" s="148"/>
      <c r="H338" s="148"/>
      <c r="I338" s="148"/>
      <c r="J338" s="98" t="s">
        <v>2102</v>
      </c>
      <c r="K338" s="51" t="str">
        <f>_xlfn.XLOOKUP(L338,'99_マスタ'!$D$5:$D$18,'99_マスタ'!$C$5:$C$18,"")</f>
        <v>02_生販在</v>
      </c>
      <c r="L338" s="51" t="s">
        <v>2303</v>
      </c>
      <c r="M338" s="51" t="s">
        <v>371</v>
      </c>
      <c r="N338" s="54" t="s">
        <v>139</v>
      </c>
      <c r="O338" s="41" t="s">
        <v>372</v>
      </c>
      <c r="P338" s="41" t="s">
        <v>373</v>
      </c>
      <c r="Q338" s="41" t="s">
        <v>139</v>
      </c>
      <c r="R338" s="41" t="s">
        <v>374</v>
      </c>
      <c r="S338" s="41" t="s">
        <v>139</v>
      </c>
      <c r="T338" s="41" t="s">
        <v>139</v>
      </c>
      <c r="U338" s="41" t="s">
        <v>139</v>
      </c>
      <c r="V338" s="41" t="s">
        <v>139</v>
      </c>
      <c r="W338" s="73" t="s">
        <v>163</v>
      </c>
      <c r="X338" s="54" t="s">
        <v>139</v>
      </c>
      <c r="Y338" s="54" t="s">
        <v>139</v>
      </c>
      <c r="Z338" s="54" t="s">
        <v>139</v>
      </c>
      <c r="AA338" s="54" t="s">
        <v>139</v>
      </c>
      <c r="AB338" s="55"/>
      <c r="AC338" s="56"/>
      <c r="AD338" s="56"/>
      <c r="AE338" s="57"/>
      <c r="AF338" s="56"/>
      <c r="AG338" s="56"/>
      <c r="AH338" s="56"/>
      <c r="AI338" s="3" t="s">
        <v>1583</v>
      </c>
    </row>
    <row r="339" spans="1:35">
      <c r="A339" s="144">
        <f t="shared" si="5"/>
        <v>337</v>
      </c>
      <c r="B339" s="148"/>
      <c r="C339" s="148"/>
      <c r="D339" s="148"/>
      <c r="E339" s="148"/>
      <c r="F339" s="148"/>
      <c r="G339" s="148"/>
      <c r="H339" s="148"/>
      <c r="I339" s="148"/>
      <c r="J339" s="98" t="s">
        <v>2102</v>
      </c>
      <c r="K339" s="51" t="str">
        <f>_xlfn.XLOOKUP(L339,'99_マスタ'!$D$5:$D$18,'99_マスタ'!$C$5:$C$18,"")</f>
        <v>02_生販在</v>
      </c>
      <c r="L339" s="51" t="s">
        <v>2303</v>
      </c>
      <c r="M339" s="51" t="s">
        <v>375</v>
      </c>
      <c r="N339" s="54" t="s">
        <v>139</v>
      </c>
      <c r="O339" s="41" t="s">
        <v>376</v>
      </c>
      <c r="P339" s="41" t="s">
        <v>377</v>
      </c>
      <c r="Q339" s="41" t="s">
        <v>139</v>
      </c>
      <c r="R339" s="41" t="s">
        <v>378</v>
      </c>
      <c r="S339" s="41" t="s">
        <v>139</v>
      </c>
      <c r="T339" s="41" t="s">
        <v>139</v>
      </c>
      <c r="U339" s="41" t="s">
        <v>139</v>
      </c>
      <c r="V339" s="41" t="s">
        <v>139</v>
      </c>
      <c r="W339" s="73" t="s">
        <v>163</v>
      </c>
      <c r="X339" s="54" t="s">
        <v>139</v>
      </c>
      <c r="Y339" s="54" t="s">
        <v>139</v>
      </c>
      <c r="Z339" s="54" t="s">
        <v>139</v>
      </c>
      <c r="AA339" s="54" t="s">
        <v>139</v>
      </c>
      <c r="AB339" s="55"/>
      <c r="AC339" s="56"/>
      <c r="AD339" s="56"/>
      <c r="AE339" s="57"/>
      <c r="AF339" s="56"/>
      <c r="AG339" s="56"/>
      <c r="AH339" s="56"/>
      <c r="AI339" s="3" t="s">
        <v>1583</v>
      </c>
    </row>
    <row r="340" spans="1:35">
      <c r="A340" s="144">
        <f t="shared" si="5"/>
        <v>338</v>
      </c>
      <c r="B340" s="148"/>
      <c r="C340" s="148"/>
      <c r="D340" s="148"/>
      <c r="E340" s="148"/>
      <c r="F340" s="148"/>
      <c r="G340" s="148"/>
      <c r="H340" s="148"/>
      <c r="I340" s="148"/>
      <c r="J340" s="98" t="s">
        <v>2102</v>
      </c>
      <c r="K340" s="100" t="str">
        <f>_xlfn.XLOOKUP(L340,'99_マスタ'!$D$5:$D$18,'99_マスタ'!$C$5:$C$18,"")</f>
        <v>02_生販在</v>
      </c>
      <c r="L340" s="100" t="s">
        <v>2303</v>
      </c>
      <c r="M340" s="100" t="s">
        <v>2673</v>
      </c>
      <c r="N340" s="126" t="s">
        <v>1637</v>
      </c>
      <c r="O340" s="40" t="s">
        <v>1939</v>
      </c>
      <c r="P340" s="40" t="s">
        <v>1940</v>
      </c>
      <c r="Q340" s="40" t="s">
        <v>1895</v>
      </c>
      <c r="R340" s="41" t="s">
        <v>139</v>
      </c>
      <c r="S340" s="41" t="s">
        <v>139</v>
      </c>
      <c r="T340" s="41" t="s">
        <v>139</v>
      </c>
      <c r="U340" s="41" t="s">
        <v>139</v>
      </c>
      <c r="V340" s="41" t="s">
        <v>1165</v>
      </c>
      <c r="W340" s="74" t="s">
        <v>139</v>
      </c>
      <c r="X340" s="41" t="s">
        <v>139</v>
      </c>
      <c r="Y340" s="41" t="s">
        <v>139</v>
      </c>
      <c r="Z340" s="41" t="s">
        <v>139</v>
      </c>
      <c r="AA340" s="41" t="s">
        <v>1166</v>
      </c>
      <c r="AB340" s="44"/>
      <c r="AC340" s="45"/>
      <c r="AD340" s="45"/>
      <c r="AE340" s="46"/>
      <c r="AF340" s="45"/>
      <c r="AG340" s="45"/>
      <c r="AH340" s="45"/>
      <c r="AI340" s="3" t="s">
        <v>1583</v>
      </c>
    </row>
    <row r="341" spans="1:35">
      <c r="A341" s="144">
        <f t="shared" si="5"/>
        <v>339</v>
      </c>
      <c r="B341" s="148"/>
      <c r="C341" s="148"/>
      <c r="D341" s="148"/>
      <c r="E341" s="148"/>
      <c r="F341" s="148"/>
      <c r="G341" s="148"/>
      <c r="H341" s="148"/>
      <c r="I341" s="148"/>
      <c r="J341" s="98" t="s">
        <v>2102</v>
      </c>
      <c r="K341" s="100" t="str">
        <f>_xlfn.XLOOKUP(L341,'99_マスタ'!$D$5:$D$18,'99_マスタ'!$C$5:$C$18,"")</f>
        <v>02_生販在</v>
      </c>
      <c r="L341" s="100" t="s">
        <v>2303</v>
      </c>
      <c r="M341" s="100" t="s">
        <v>2676</v>
      </c>
      <c r="N341" s="126" t="s">
        <v>1637</v>
      </c>
      <c r="O341" s="40" t="s">
        <v>1947</v>
      </c>
      <c r="P341" s="40" t="s">
        <v>1949</v>
      </c>
      <c r="Q341" s="40" t="s">
        <v>1895</v>
      </c>
      <c r="R341" s="41" t="s">
        <v>139</v>
      </c>
      <c r="S341" s="41" t="s">
        <v>139</v>
      </c>
      <c r="T341" s="41" t="s">
        <v>139</v>
      </c>
      <c r="U341" s="41" t="s">
        <v>139</v>
      </c>
      <c r="V341" s="41" t="s">
        <v>1165</v>
      </c>
      <c r="W341" s="74" t="s">
        <v>139</v>
      </c>
      <c r="X341" s="41" t="s">
        <v>139</v>
      </c>
      <c r="Y341" s="41" t="s">
        <v>139</v>
      </c>
      <c r="Z341" s="41" t="s">
        <v>139</v>
      </c>
      <c r="AA341" s="41" t="s">
        <v>1166</v>
      </c>
      <c r="AB341" s="44"/>
      <c r="AC341" s="45"/>
      <c r="AD341" s="45"/>
      <c r="AE341" s="46"/>
      <c r="AF341" s="45"/>
      <c r="AG341" s="45"/>
      <c r="AH341" s="45"/>
      <c r="AI341" s="3" t="s">
        <v>1583</v>
      </c>
    </row>
    <row r="342" spans="1:35" ht="40.5">
      <c r="A342" s="144">
        <f t="shared" si="5"/>
        <v>340</v>
      </c>
      <c r="B342" s="148"/>
      <c r="C342" s="148"/>
      <c r="D342" s="148"/>
      <c r="E342" s="148"/>
      <c r="F342" s="148"/>
      <c r="G342" s="148"/>
      <c r="H342" s="148"/>
      <c r="I342" s="148"/>
      <c r="J342" s="98" t="s">
        <v>2102</v>
      </c>
      <c r="K342" s="100" t="str">
        <f>_xlfn.XLOOKUP(L342,'99_マスタ'!$D$5:$D$18,'99_マスタ'!$C$5:$C$18,"")</f>
        <v>02_生販在</v>
      </c>
      <c r="L342" s="100" t="s">
        <v>2303</v>
      </c>
      <c r="M342" s="100" t="s">
        <v>2679</v>
      </c>
      <c r="N342" s="126" t="s">
        <v>1637</v>
      </c>
      <c r="O342" s="40" t="s">
        <v>1998</v>
      </c>
      <c r="P342" s="40" t="s">
        <v>1979</v>
      </c>
      <c r="Q342" s="40" t="s">
        <v>1895</v>
      </c>
      <c r="R342" s="41" t="s">
        <v>139</v>
      </c>
      <c r="S342" s="41" t="s">
        <v>139</v>
      </c>
      <c r="T342" s="41" t="s">
        <v>139</v>
      </c>
      <c r="U342" s="41" t="s">
        <v>139</v>
      </c>
      <c r="V342" s="41" t="s">
        <v>1165</v>
      </c>
      <c r="W342" s="74" t="s">
        <v>139</v>
      </c>
      <c r="X342" s="41" t="s">
        <v>139</v>
      </c>
      <c r="Y342" s="41" t="s">
        <v>139</v>
      </c>
      <c r="Z342" s="41" t="s">
        <v>139</v>
      </c>
      <c r="AA342" s="41" t="s">
        <v>1166</v>
      </c>
      <c r="AB342" s="44"/>
      <c r="AC342" s="45"/>
      <c r="AD342" s="45"/>
      <c r="AE342" s="46"/>
      <c r="AF342" s="45"/>
      <c r="AG342" s="45"/>
      <c r="AH342" s="45"/>
      <c r="AI342" s="3" t="s">
        <v>1583</v>
      </c>
    </row>
    <row r="343" spans="1:35" ht="40.5">
      <c r="A343" s="144">
        <f t="shared" si="5"/>
        <v>341</v>
      </c>
      <c r="B343" s="148"/>
      <c r="C343" s="148"/>
      <c r="D343" s="148"/>
      <c r="E343" s="148"/>
      <c r="F343" s="148"/>
      <c r="G343" s="148"/>
      <c r="H343" s="148"/>
      <c r="I343" s="148"/>
      <c r="J343" s="98" t="s">
        <v>2102</v>
      </c>
      <c r="K343" s="51" t="str">
        <f>_xlfn.XLOOKUP(L343,'99_マスタ'!$D$5:$D$18,'99_マスタ'!$C$5:$C$18,"")</f>
        <v>02_生販在</v>
      </c>
      <c r="L343" s="52" t="s">
        <v>2303</v>
      </c>
      <c r="M343" s="52" t="s">
        <v>2877</v>
      </c>
      <c r="N343" s="54" t="s">
        <v>1637</v>
      </c>
      <c r="O343" s="41" t="s">
        <v>2882</v>
      </c>
      <c r="P343" s="41"/>
      <c r="Q343" s="41"/>
      <c r="R343" s="41" t="s">
        <v>2887</v>
      </c>
      <c r="S343" s="41" t="s">
        <v>139</v>
      </c>
      <c r="T343" s="41" t="s">
        <v>139</v>
      </c>
      <c r="U343" s="41" t="s">
        <v>139</v>
      </c>
      <c r="V343" s="41" t="s">
        <v>139</v>
      </c>
      <c r="W343" s="73" t="s">
        <v>235</v>
      </c>
      <c r="X343" s="54" t="s">
        <v>139</v>
      </c>
      <c r="Y343" s="54" t="s">
        <v>139</v>
      </c>
      <c r="Z343" s="54" t="s">
        <v>139</v>
      </c>
      <c r="AA343" s="54" t="s">
        <v>139</v>
      </c>
      <c r="AB343" s="55"/>
      <c r="AC343" s="56"/>
      <c r="AD343" s="56"/>
      <c r="AE343" s="57"/>
      <c r="AF343" s="56"/>
      <c r="AG343" s="56"/>
      <c r="AH343" s="56"/>
      <c r="AI343" s="3" t="s">
        <v>1583</v>
      </c>
    </row>
    <row r="344" spans="1:35" ht="40.5">
      <c r="A344" s="144">
        <f t="shared" si="5"/>
        <v>342</v>
      </c>
      <c r="B344" s="148"/>
      <c r="C344" s="148"/>
      <c r="D344" s="148"/>
      <c r="E344" s="148"/>
      <c r="F344" s="148"/>
      <c r="G344" s="148"/>
      <c r="H344" s="148"/>
      <c r="I344" s="148"/>
      <c r="J344" s="98" t="s">
        <v>2102</v>
      </c>
      <c r="K344" s="51" t="str">
        <f>_xlfn.XLOOKUP(L344,'99_マスタ'!$D$5:$D$18,'99_マスタ'!$C$5:$C$18,"")</f>
        <v>02_生販在</v>
      </c>
      <c r="L344" s="52" t="s">
        <v>2303</v>
      </c>
      <c r="M344" s="52" t="s">
        <v>2819</v>
      </c>
      <c r="N344" s="54" t="s">
        <v>1637</v>
      </c>
      <c r="O344" s="41" t="s">
        <v>2824</v>
      </c>
      <c r="P344" s="41"/>
      <c r="Q344" s="41"/>
      <c r="R344" s="41" t="s">
        <v>2815</v>
      </c>
      <c r="S344" s="41" t="s">
        <v>139</v>
      </c>
      <c r="T344" s="41" t="s">
        <v>139</v>
      </c>
      <c r="U344" s="41" t="s">
        <v>139</v>
      </c>
      <c r="V344" s="41" t="s">
        <v>139</v>
      </c>
      <c r="W344" s="73" t="s">
        <v>218</v>
      </c>
      <c r="X344" s="54" t="s">
        <v>139</v>
      </c>
      <c r="Y344" s="54" t="s">
        <v>139</v>
      </c>
      <c r="Z344" s="54" t="s">
        <v>139</v>
      </c>
      <c r="AA344" s="54" t="s">
        <v>139</v>
      </c>
      <c r="AB344" s="55"/>
      <c r="AC344" s="56"/>
      <c r="AD344" s="56"/>
      <c r="AE344" s="57"/>
      <c r="AF344" s="56"/>
      <c r="AG344" s="56"/>
      <c r="AH344" s="56"/>
      <c r="AI344" s="3" t="s">
        <v>1583</v>
      </c>
    </row>
    <row r="345" spans="1:35" ht="40.5">
      <c r="A345" s="144">
        <f t="shared" si="5"/>
        <v>343</v>
      </c>
      <c r="B345" s="148"/>
      <c r="C345" s="148"/>
      <c r="D345" s="148"/>
      <c r="E345" s="148"/>
      <c r="F345" s="148"/>
      <c r="G345" s="148"/>
      <c r="H345" s="148"/>
      <c r="I345" s="148"/>
      <c r="J345" s="98" t="s">
        <v>2102</v>
      </c>
      <c r="K345" s="51" t="str">
        <f>_xlfn.XLOOKUP(L345,'99_マスタ'!$D$5:$D$18,'99_マスタ'!$C$5:$C$18,"")</f>
        <v>02_生販在</v>
      </c>
      <c r="L345" s="52" t="s">
        <v>2303</v>
      </c>
      <c r="M345" s="52" t="s">
        <v>2822</v>
      </c>
      <c r="N345" s="54" t="s">
        <v>1637</v>
      </c>
      <c r="O345" s="41" t="s">
        <v>2827</v>
      </c>
      <c r="P345" s="41"/>
      <c r="Q345" s="41"/>
      <c r="R345" s="41" t="s">
        <v>2815</v>
      </c>
      <c r="S345" s="41" t="s">
        <v>139</v>
      </c>
      <c r="T345" s="41" t="s">
        <v>139</v>
      </c>
      <c r="U345" s="41" t="s">
        <v>139</v>
      </c>
      <c r="V345" s="41" t="s">
        <v>139</v>
      </c>
      <c r="W345" s="73" t="s">
        <v>218</v>
      </c>
      <c r="X345" s="54" t="s">
        <v>139</v>
      </c>
      <c r="Y345" s="54" t="s">
        <v>139</v>
      </c>
      <c r="Z345" s="54" t="s">
        <v>139</v>
      </c>
      <c r="AA345" s="54" t="s">
        <v>139</v>
      </c>
      <c r="AB345" s="55"/>
      <c r="AC345" s="56"/>
      <c r="AD345" s="56"/>
      <c r="AE345" s="57"/>
      <c r="AF345" s="56"/>
      <c r="AG345" s="56"/>
      <c r="AH345" s="56"/>
      <c r="AI345" s="3" t="s">
        <v>1583</v>
      </c>
    </row>
    <row r="346" spans="1:35" ht="27">
      <c r="A346" s="144">
        <f t="shared" si="5"/>
        <v>344</v>
      </c>
      <c r="B346" s="148"/>
      <c r="C346" s="148"/>
      <c r="D346" s="148"/>
      <c r="E346" s="148"/>
      <c r="F346" s="148"/>
      <c r="G346" s="148"/>
      <c r="H346" s="148"/>
      <c r="I346" s="148"/>
      <c r="J346" s="98" t="s">
        <v>2102</v>
      </c>
      <c r="K346" s="51" t="str">
        <f>_xlfn.XLOOKUP(L346,'99_マスタ'!$D$5:$D$18,'99_マスタ'!$C$5:$C$18,"")</f>
        <v>02_生販在</v>
      </c>
      <c r="L346" s="52" t="s">
        <v>2303</v>
      </c>
      <c r="M346" s="52" t="s">
        <v>452</v>
      </c>
      <c r="N346" s="54" t="s">
        <v>139</v>
      </c>
      <c r="O346" s="41" t="s">
        <v>453</v>
      </c>
      <c r="P346" s="41"/>
      <c r="Q346" s="41" t="s">
        <v>139</v>
      </c>
      <c r="R346" s="41" t="s">
        <v>454</v>
      </c>
      <c r="S346" s="41" t="s">
        <v>139</v>
      </c>
      <c r="T346" s="41" t="s">
        <v>139</v>
      </c>
      <c r="U346" s="41" t="s">
        <v>139</v>
      </c>
      <c r="V346" s="41" t="s">
        <v>139</v>
      </c>
      <c r="W346" s="73" t="s">
        <v>455</v>
      </c>
      <c r="X346" s="54" t="s">
        <v>139</v>
      </c>
      <c r="Y346" s="54" t="s">
        <v>139</v>
      </c>
      <c r="Z346" s="54" t="s">
        <v>139</v>
      </c>
      <c r="AA346" s="54" t="s">
        <v>139</v>
      </c>
      <c r="AB346" s="55"/>
      <c r="AC346" s="56"/>
      <c r="AD346" s="56"/>
      <c r="AE346" s="57"/>
      <c r="AF346" s="56"/>
      <c r="AG346" s="56"/>
      <c r="AH346" s="56"/>
      <c r="AI346" s="3" t="s">
        <v>1583</v>
      </c>
    </row>
    <row r="347" spans="1:35" ht="40.5">
      <c r="A347" s="144">
        <f t="shared" si="5"/>
        <v>345</v>
      </c>
      <c r="B347" s="148"/>
      <c r="C347" s="148"/>
      <c r="D347" s="148"/>
      <c r="E347" s="148"/>
      <c r="F347" s="148"/>
      <c r="G347" s="148"/>
      <c r="H347" s="148"/>
      <c r="I347" s="148"/>
      <c r="J347" s="98" t="s">
        <v>2102</v>
      </c>
      <c r="K347" s="51" t="str">
        <f>_xlfn.XLOOKUP(L347,'99_マスタ'!$D$5:$D$18,'99_マスタ'!$C$5:$C$18,"")</f>
        <v>02_生販在</v>
      </c>
      <c r="L347" s="52" t="s">
        <v>2303</v>
      </c>
      <c r="M347" s="52" t="s">
        <v>2821</v>
      </c>
      <c r="N347" s="54" t="s">
        <v>1637</v>
      </c>
      <c r="O347" s="41" t="s">
        <v>2826</v>
      </c>
      <c r="P347" s="41"/>
      <c r="Q347" s="41"/>
      <c r="R347" s="41" t="s">
        <v>2815</v>
      </c>
      <c r="S347" s="41" t="s">
        <v>139</v>
      </c>
      <c r="T347" s="41" t="s">
        <v>139</v>
      </c>
      <c r="U347" s="41" t="s">
        <v>139</v>
      </c>
      <c r="V347" s="41" t="s">
        <v>139</v>
      </c>
      <c r="W347" s="73" t="s">
        <v>218</v>
      </c>
      <c r="X347" s="54" t="s">
        <v>139</v>
      </c>
      <c r="Y347" s="54" t="s">
        <v>139</v>
      </c>
      <c r="Z347" s="54" t="s">
        <v>139</v>
      </c>
      <c r="AA347" s="54" t="s">
        <v>139</v>
      </c>
      <c r="AB347" s="55"/>
      <c r="AC347" s="56"/>
      <c r="AD347" s="56"/>
      <c r="AE347" s="57"/>
      <c r="AF347" s="56"/>
      <c r="AG347" s="56"/>
      <c r="AH347" s="56"/>
      <c r="AI347" s="3" t="s">
        <v>1583</v>
      </c>
    </row>
    <row r="348" spans="1:35" ht="40.5">
      <c r="A348" s="144">
        <f t="shared" si="5"/>
        <v>346</v>
      </c>
      <c r="B348" s="148"/>
      <c r="C348" s="148"/>
      <c r="D348" s="148"/>
      <c r="E348" s="148"/>
      <c r="F348" s="148"/>
      <c r="G348" s="148"/>
      <c r="H348" s="148"/>
      <c r="I348" s="148"/>
      <c r="J348" s="98" t="s">
        <v>2102</v>
      </c>
      <c r="K348" s="51" t="str">
        <f>_xlfn.XLOOKUP(L348,'99_マスタ'!$D$5:$D$18,'99_マスタ'!$C$5:$C$18,"")</f>
        <v>02_生販在</v>
      </c>
      <c r="L348" s="52" t="s">
        <v>2303</v>
      </c>
      <c r="M348" s="52" t="s">
        <v>2820</v>
      </c>
      <c r="N348" s="54" t="s">
        <v>1637</v>
      </c>
      <c r="O348" s="41" t="s">
        <v>2825</v>
      </c>
      <c r="P348" s="41"/>
      <c r="Q348" s="41"/>
      <c r="R348" s="41" t="s">
        <v>2815</v>
      </c>
      <c r="S348" s="41" t="s">
        <v>139</v>
      </c>
      <c r="T348" s="41" t="s">
        <v>139</v>
      </c>
      <c r="U348" s="41" t="s">
        <v>139</v>
      </c>
      <c r="V348" s="41" t="s">
        <v>139</v>
      </c>
      <c r="W348" s="73" t="s">
        <v>218</v>
      </c>
      <c r="X348" s="54" t="s">
        <v>139</v>
      </c>
      <c r="Y348" s="54" t="s">
        <v>139</v>
      </c>
      <c r="Z348" s="54" t="s">
        <v>139</v>
      </c>
      <c r="AA348" s="54" t="s">
        <v>139</v>
      </c>
      <c r="AB348" s="55"/>
      <c r="AC348" s="56"/>
      <c r="AD348" s="56"/>
      <c r="AE348" s="57"/>
      <c r="AF348" s="56"/>
      <c r="AG348" s="56"/>
      <c r="AH348" s="56"/>
      <c r="AI348" s="3" t="s">
        <v>1583</v>
      </c>
    </row>
    <row r="349" spans="1:35" ht="27">
      <c r="A349" s="144">
        <f t="shared" si="5"/>
        <v>347</v>
      </c>
      <c r="B349" s="148"/>
      <c r="C349" s="148"/>
      <c r="D349" s="148"/>
      <c r="E349" s="148"/>
      <c r="F349" s="148"/>
      <c r="G349" s="148"/>
      <c r="H349" s="148"/>
      <c r="I349" s="148"/>
      <c r="J349" s="98" t="s">
        <v>2102</v>
      </c>
      <c r="K349" s="51" t="str">
        <f>_xlfn.XLOOKUP(L349,'99_マスタ'!$D$5:$D$18,'99_マスタ'!$C$5:$C$18,"")</f>
        <v>02_生販在</v>
      </c>
      <c r="L349" s="52" t="s">
        <v>2303</v>
      </c>
      <c r="M349" s="110" t="s">
        <v>1169</v>
      </c>
      <c r="N349" s="126" t="s">
        <v>1170</v>
      </c>
      <c r="O349" s="40" t="s">
        <v>1171</v>
      </c>
      <c r="P349" s="40"/>
      <c r="Q349" s="40" t="s">
        <v>139</v>
      </c>
      <c r="R349" s="41" t="s">
        <v>1172</v>
      </c>
      <c r="S349" s="41" t="s">
        <v>139</v>
      </c>
      <c r="T349" s="41" t="s">
        <v>139</v>
      </c>
      <c r="U349" s="41" t="s">
        <v>139</v>
      </c>
      <c r="V349" s="41" t="s">
        <v>139</v>
      </c>
      <c r="W349" s="74" t="s">
        <v>1138</v>
      </c>
      <c r="X349" s="41" t="s">
        <v>139</v>
      </c>
      <c r="Y349" s="41" t="s">
        <v>139</v>
      </c>
      <c r="Z349" s="41" t="s">
        <v>139</v>
      </c>
      <c r="AA349" s="41" t="s">
        <v>139</v>
      </c>
      <c r="AB349" s="44"/>
      <c r="AC349" s="45"/>
      <c r="AD349" s="45"/>
      <c r="AE349" s="46"/>
      <c r="AF349" s="45"/>
      <c r="AG349" s="45"/>
      <c r="AH349" s="45"/>
      <c r="AI349" s="3" t="s">
        <v>1583</v>
      </c>
    </row>
    <row r="350" spans="1:35" ht="27">
      <c r="A350" s="144">
        <f t="shared" si="5"/>
        <v>348</v>
      </c>
      <c r="B350" s="148"/>
      <c r="C350" s="148"/>
      <c r="D350" s="148"/>
      <c r="E350" s="148"/>
      <c r="F350" s="148"/>
      <c r="G350" s="148"/>
      <c r="H350" s="148"/>
      <c r="I350" s="148"/>
      <c r="J350" s="98" t="s">
        <v>2102</v>
      </c>
      <c r="K350" s="51" t="str">
        <f>_xlfn.XLOOKUP(L350,'99_マスタ'!$D$5:$D$18,'99_マスタ'!$C$5:$C$18,"")</f>
        <v>02_生販在</v>
      </c>
      <c r="L350" s="67" t="s">
        <v>2303</v>
      </c>
      <c r="M350" s="67" t="s">
        <v>2984</v>
      </c>
      <c r="N350" s="54" t="s">
        <v>139</v>
      </c>
      <c r="O350" s="70" t="s">
        <v>402</v>
      </c>
      <c r="P350" s="70" t="s">
        <v>403</v>
      </c>
      <c r="Q350" s="41" t="s">
        <v>139</v>
      </c>
      <c r="R350" s="41" t="s">
        <v>404</v>
      </c>
      <c r="S350" s="41" t="s">
        <v>139</v>
      </c>
      <c r="T350" s="41" t="s">
        <v>139</v>
      </c>
      <c r="U350" s="41" t="s">
        <v>139</v>
      </c>
      <c r="V350" s="41" t="s">
        <v>139</v>
      </c>
      <c r="W350" s="73" t="s">
        <v>117</v>
      </c>
      <c r="X350" s="54" t="s">
        <v>139</v>
      </c>
      <c r="Y350" s="54" t="s">
        <v>139</v>
      </c>
      <c r="Z350" s="54" t="s">
        <v>139</v>
      </c>
      <c r="AA350" s="54" t="s">
        <v>139</v>
      </c>
      <c r="AB350" s="55"/>
      <c r="AC350" s="56"/>
      <c r="AD350" s="56"/>
      <c r="AE350" s="57"/>
      <c r="AF350" s="56"/>
      <c r="AG350" s="56"/>
      <c r="AH350" s="56"/>
      <c r="AI350" s="3" t="s">
        <v>1583</v>
      </c>
    </row>
    <row r="351" spans="1:35" ht="40.5">
      <c r="A351" s="144">
        <f t="shared" si="5"/>
        <v>349</v>
      </c>
      <c r="B351" s="148"/>
      <c r="C351" s="148"/>
      <c r="D351" s="148"/>
      <c r="E351" s="148"/>
      <c r="F351" s="148"/>
      <c r="G351" s="148"/>
      <c r="H351" s="148"/>
      <c r="I351" s="148"/>
      <c r="J351" s="98" t="s">
        <v>2102</v>
      </c>
      <c r="K351" s="81" t="str">
        <f>_xlfn.XLOOKUP(L351,'99_マスタ'!$D$5:$D$18,'99_マスタ'!$C$5:$C$18,"")</f>
        <v>02_生販在</v>
      </c>
      <c r="L351" s="81" t="s">
        <v>2303</v>
      </c>
      <c r="M351" s="81" t="s">
        <v>2061</v>
      </c>
      <c r="N351" s="54" t="s">
        <v>1637</v>
      </c>
      <c r="O351" s="70" t="s">
        <v>2062</v>
      </c>
      <c r="P351" s="41"/>
      <c r="Q351" s="41" t="s">
        <v>1645</v>
      </c>
      <c r="R351" s="41" t="s">
        <v>139</v>
      </c>
      <c r="S351" s="41" t="s">
        <v>139</v>
      </c>
      <c r="T351" s="41" t="s">
        <v>139</v>
      </c>
      <c r="U351" s="41" t="s">
        <v>2059</v>
      </c>
      <c r="V351" s="41" t="s">
        <v>139</v>
      </c>
      <c r="W351" s="73" t="s">
        <v>139</v>
      </c>
      <c r="X351" s="54" t="s">
        <v>139</v>
      </c>
      <c r="Y351" s="54" t="s">
        <v>139</v>
      </c>
      <c r="Z351" s="54" t="s">
        <v>2063</v>
      </c>
      <c r="AA351" s="54" t="s">
        <v>139</v>
      </c>
      <c r="AB351" s="55" t="s">
        <v>3218</v>
      </c>
      <c r="AC351" s="56"/>
      <c r="AD351" s="56"/>
      <c r="AE351" s="57"/>
      <c r="AF351" s="56"/>
      <c r="AG351" s="56"/>
      <c r="AH351" s="56"/>
      <c r="AI351" s="3" t="s">
        <v>1583</v>
      </c>
    </row>
    <row r="352" spans="1:35">
      <c r="A352" s="144">
        <f t="shared" si="5"/>
        <v>350</v>
      </c>
      <c r="B352" s="148"/>
      <c r="C352" s="148"/>
      <c r="D352" s="148"/>
      <c r="E352" s="148"/>
      <c r="F352" s="148"/>
      <c r="G352" s="148"/>
      <c r="H352" s="148"/>
      <c r="I352" s="148"/>
      <c r="J352" s="98" t="s">
        <v>2102</v>
      </c>
      <c r="K352" s="51" t="str">
        <f>_xlfn.XLOOKUP(L352,'99_マスタ'!$D$5:$D$18,'99_マスタ'!$C$5:$C$18,"")</f>
        <v>02_生販在</v>
      </c>
      <c r="L352" s="69" t="s">
        <v>2303</v>
      </c>
      <c r="M352" s="69" t="s">
        <v>2053</v>
      </c>
      <c r="N352" s="54" t="s">
        <v>1637</v>
      </c>
      <c r="O352" s="72"/>
      <c r="P352" s="72"/>
      <c r="Q352" s="41" t="s">
        <v>2055</v>
      </c>
      <c r="R352" s="41" t="s">
        <v>139</v>
      </c>
      <c r="S352" s="41" t="s">
        <v>139</v>
      </c>
      <c r="T352" s="41" t="s">
        <v>139</v>
      </c>
      <c r="U352" s="41" t="s">
        <v>139</v>
      </c>
      <c r="V352" s="41" t="s">
        <v>1891</v>
      </c>
      <c r="W352" s="73" t="s">
        <v>139</v>
      </c>
      <c r="X352" s="54" t="s">
        <v>139</v>
      </c>
      <c r="Y352" s="54" t="s">
        <v>139</v>
      </c>
      <c r="Z352" s="54" t="s">
        <v>139</v>
      </c>
      <c r="AA352" s="54" t="s">
        <v>1596</v>
      </c>
      <c r="AB352" s="55"/>
      <c r="AC352" s="56"/>
      <c r="AD352" s="56"/>
      <c r="AE352" s="57"/>
      <c r="AF352" s="56"/>
      <c r="AG352" s="56"/>
      <c r="AH352" s="56"/>
      <c r="AI352" s="3" t="s">
        <v>1583</v>
      </c>
    </row>
    <row r="353" spans="1:35">
      <c r="A353" s="144">
        <f t="shared" si="5"/>
        <v>351</v>
      </c>
      <c r="B353" s="148"/>
      <c r="C353" s="148"/>
      <c r="D353" s="148"/>
      <c r="E353" s="148"/>
      <c r="F353" s="148"/>
      <c r="G353" s="148"/>
      <c r="H353" s="148"/>
      <c r="I353" s="148"/>
      <c r="J353" s="98" t="s">
        <v>2102</v>
      </c>
      <c r="K353" s="51" t="str">
        <f>_xlfn.XLOOKUP(L353,'99_マスタ'!$D$5:$D$18,'99_マスタ'!$C$5:$C$18,"")</f>
        <v>02_生販在</v>
      </c>
      <c r="L353" s="67" t="s">
        <v>2303</v>
      </c>
      <c r="M353" s="67" t="s">
        <v>411</v>
      </c>
      <c r="N353" s="54" t="s">
        <v>139</v>
      </c>
      <c r="O353" s="41" t="s">
        <v>412</v>
      </c>
      <c r="P353" s="41" t="s">
        <v>413</v>
      </c>
      <c r="Q353" s="41" t="s">
        <v>408</v>
      </c>
      <c r="R353" s="41" t="s">
        <v>295</v>
      </c>
      <c r="S353" s="41" t="s">
        <v>139</v>
      </c>
      <c r="T353" s="41" t="s">
        <v>139</v>
      </c>
      <c r="U353" s="41" t="s">
        <v>139</v>
      </c>
      <c r="V353" s="41" t="s">
        <v>139</v>
      </c>
      <c r="W353" s="73" t="s">
        <v>410</v>
      </c>
      <c r="X353" s="54" t="s">
        <v>139</v>
      </c>
      <c r="Y353" s="54" t="s">
        <v>139</v>
      </c>
      <c r="Z353" s="54" t="s">
        <v>139</v>
      </c>
      <c r="AA353" s="54" t="s">
        <v>139</v>
      </c>
      <c r="AB353" s="55"/>
      <c r="AC353" s="56"/>
      <c r="AD353" s="56"/>
      <c r="AE353" s="57"/>
      <c r="AF353" s="56"/>
      <c r="AG353" s="56"/>
      <c r="AH353" s="56"/>
      <c r="AI353" s="3" t="s">
        <v>1583</v>
      </c>
    </row>
    <row r="354" spans="1:35" ht="27">
      <c r="A354" s="144">
        <f t="shared" si="5"/>
        <v>352</v>
      </c>
      <c r="B354" s="148"/>
      <c r="C354" s="148"/>
      <c r="D354" s="148"/>
      <c r="E354" s="148"/>
      <c r="F354" s="148"/>
      <c r="G354" s="148"/>
      <c r="H354" s="148"/>
      <c r="I354" s="148"/>
      <c r="J354" s="98" t="s">
        <v>2102</v>
      </c>
      <c r="K354" s="51" t="str">
        <f>_xlfn.XLOOKUP(L354,'99_マスタ'!$D$5:$D$18,'99_マスタ'!$C$5:$C$18,"")</f>
        <v>02_生販在</v>
      </c>
      <c r="L354" s="67" t="s">
        <v>2303</v>
      </c>
      <c r="M354" s="67" t="s">
        <v>405</v>
      </c>
      <c r="N354" s="54" t="s">
        <v>139</v>
      </c>
      <c r="O354" s="41" t="s">
        <v>406</v>
      </c>
      <c r="P354" s="41" t="s">
        <v>407</v>
      </c>
      <c r="Q354" s="41" t="s">
        <v>408</v>
      </c>
      <c r="R354" s="41" t="s">
        <v>409</v>
      </c>
      <c r="S354" s="41" t="s">
        <v>139</v>
      </c>
      <c r="T354" s="41" t="s">
        <v>139</v>
      </c>
      <c r="U354" s="41" t="s">
        <v>139</v>
      </c>
      <c r="V354" s="41" t="s">
        <v>139</v>
      </c>
      <c r="W354" s="73" t="s">
        <v>410</v>
      </c>
      <c r="X354" s="54" t="s">
        <v>139</v>
      </c>
      <c r="Y354" s="54" t="s">
        <v>139</v>
      </c>
      <c r="Z354" s="54" t="s">
        <v>139</v>
      </c>
      <c r="AA354" s="54" t="s">
        <v>139</v>
      </c>
      <c r="AB354" s="55"/>
      <c r="AC354" s="56"/>
      <c r="AD354" s="56"/>
      <c r="AE354" s="57"/>
      <c r="AF354" s="56"/>
      <c r="AG354" s="56"/>
      <c r="AH354" s="56"/>
      <c r="AI354" s="3" t="s">
        <v>1583</v>
      </c>
    </row>
    <row r="355" spans="1:35" ht="27">
      <c r="A355" s="144">
        <f t="shared" si="5"/>
        <v>353</v>
      </c>
      <c r="B355" s="148"/>
      <c r="C355" s="148"/>
      <c r="D355" s="148"/>
      <c r="E355" s="148"/>
      <c r="F355" s="148"/>
      <c r="G355" s="148"/>
      <c r="H355" s="148"/>
      <c r="I355" s="148"/>
      <c r="J355" s="98" t="s">
        <v>2102</v>
      </c>
      <c r="K355" s="51" t="str">
        <f>_xlfn.XLOOKUP(L355,'99_マスタ'!$D$5:$D$18,'99_マスタ'!$C$5:$C$18,"")</f>
        <v>02_生販在</v>
      </c>
      <c r="L355" s="52" t="s">
        <v>2303</v>
      </c>
      <c r="M355" s="52" t="s">
        <v>2801</v>
      </c>
      <c r="N355" s="54" t="s">
        <v>1637</v>
      </c>
      <c r="O355" s="41" t="s">
        <v>2828</v>
      </c>
      <c r="P355" s="41"/>
      <c r="Q355" s="41"/>
      <c r="R355" s="41" t="s">
        <v>2814</v>
      </c>
      <c r="S355" s="41" t="s">
        <v>139</v>
      </c>
      <c r="T355" s="41" t="s">
        <v>139</v>
      </c>
      <c r="U355" s="41" t="s">
        <v>139</v>
      </c>
      <c r="V355" s="41" t="s">
        <v>139</v>
      </c>
      <c r="W355" s="73" t="s">
        <v>218</v>
      </c>
      <c r="X355" s="54" t="s">
        <v>139</v>
      </c>
      <c r="Y355" s="54" t="s">
        <v>139</v>
      </c>
      <c r="Z355" s="54" t="s">
        <v>139</v>
      </c>
      <c r="AA355" s="54" t="s">
        <v>139</v>
      </c>
      <c r="AB355" s="55"/>
      <c r="AC355" s="56"/>
      <c r="AD355" s="56"/>
      <c r="AE355" s="57"/>
      <c r="AF355" s="56"/>
      <c r="AG355" s="56"/>
      <c r="AH355" s="56"/>
      <c r="AI355" s="3" t="s">
        <v>1583</v>
      </c>
    </row>
    <row r="356" spans="1:35" ht="27">
      <c r="A356" s="144">
        <f t="shared" si="5"/>
        <v>354</v>
      </c>
      <c r="B356" s="148"/>
      <c r="C356" s="148"/>
      <c r="D356" s="148"/>
      <c r="E356" s="148"/>
      <c r="F356" s="148"/>
      <c r="G356" s="148"/>
      <c r="H356" s="148"/>
      <c r="I356" s="148"/>
      <c r="J356" s="98" t="s">
        <v>2102</v>
      </c>
      <c r="K356" s="51" t="str">
        <f>_xlfn.XLOOKUP(L356,'99_マスタ'!$D$5:$D$18,'99_マスタ'!$C$5:$C$18,"")</f>
        <v>02_生販在</v>
      </c>
      <c r="L356" s="52" t="s">
        <v>2303</v>
      </c>
      <c r="M356" s="52" t="s">
        <v>2802</v>
      </c>
      <c r="N356" s="54" t="s">
        <v>1637</v>
      </c>
      <c r="O356" s="41" t="s">
        <v>2808</v>
      </c>
      <c r="P356" s="41"/>
      <c r="Q356" s="41"/>
      <c r="R356" s="41" t="s">
        <v>2814</v>
      </c>
      <c r="S356" s="41" t="s">
        <v>139</v>
      </c>
      <c r="T356" s="41" t="s">
        <v>139</v>
      </c>
      <c r="U356" s="41" t="s">
        <v>139</v>
      </c>
      <c r="V356" s="41" t="s">
        <v>139</v>
      </c>
      <c r="W356" s="73" t="s">
        <v>218</v>
      </c>
      <c r="X356" s="54" t="s">
        <v>139</v>
      </c>
      <c r="Y356" s="54" t="s">
        <v>139</v>
      </c>
      <c r="Z356" s="54" t="s">
        <v>139</v>
      </c>
      <c r="AA356" s="54" t="s">
        <v>139</v>
      </c>
      <c r="AB356" s="55"/>
      <c r="AC356" s="56"/>
      <c r="AD356" s="56"/>
      <c r="AE356" s="57"/>
      <c r="AF356" s="56"/>
      <c r="AG356" s="56"/>
      <c r="AH356" s="56"/>
      <c r="AI356" s="3" t="s">
        <v>1583</v>
      </c>
    </row>
    <row r="357" spans="1:35" ht="27">
      <c r="A357" s="144">
        <f t="shared" si="5"/>
        <v>355</v>
      </c>
      <c r="B357" s="148"/>
      <c r="C357" s="148"/>
      <c r="D357" s="148"/>
      <c r="E357" s="148"/>
      <c r="F357" s="148"/>
      <c r="G357" s="148"/>
      <c r="H357" s="148"/>
      <c r="I357" s="148"/>
      <c r="J357" s="98" t="s">
        <v>2102</v>
      </c>
      <c r="K357" s="51" t="str">
        <f>_xlfn.XLOOKUP(L357,'99_マスタ'!$D$5:$D$18,'99_マスタ'!$C$5:$C$18,"")</f>
        <v>02_生販在</v>
      </c>
      <c r="L357" s="52" t="s">
        <v>2303</v>
      </c>
      <c r="M357" s="52" t="s">
        <v>2805</v>
      </c>
      <c r="N357" s="54" t="s">
        <v>1637</v>
      </c>
      <c r="O357" s="41" t="s">
        <v>2811</v>
      </c>
      <c r="P357" s="41"/>
      <c r="Q357" s="41"/>
      <c r="R357" s="41" t="s">
        <v>2814</v>
      </c>
      <c r="S357" s="41" t="s">
        <v>139</v>
      </c>
      <c r="T357" s="41" t="s">
        <v>139</v>
      </c>
      <c r="U357" s="41" t="s">
        <v>139</v>
      </c>
      <c r="V357" s="41" t="s">
        <v>139</v>
      </c>
      <c r="W357" s="73" t="s">
        <v>218</v>
      </c>
      <c r="X357" s="54" t="s">
        <v>139</v>
      </c>
      <c r="Y357" s="54" t="s">
        <v>139</v>
      </c>
      <c r="Z357" s="54" t="s">
        <v>139</v>
      </c>
      <c r="AA357" s="54" t="s">
        <v>139</v>
      </c>
      <c r="AB357" s="55"/>
      <c r="AC357" s="56"/>
      <c r="AD357" s="56"/>
      <c r="AE357" s="57"/>
      <c r="AF357" s="56"/>
      <c r="AG357" s="56"/>
      <c r="AH357" s="56"/>
      <c r="AI357" s="3" t="s">
        <v>1583</v>
      </c>
    </row>
    <row r="358" spans="1:35">
      <c r="A358" s="144">
        <f t="shared" si="5"/>
        <v>356</v>
      </c>
      <c r="B358" s="148"/>
      <c r="C358" s="148"/>
      <c r="D358" s="148"/>
      <c r="E358" s="148"/>
      <c r="F358" s="148"/>
      <c r="G358" s="148"/>
      <c r="H358" s="148"/>
      <c r="I358" s="148"/>
      <c r="J358" s="98" t="s">
        <v>2102</v>
      </c>
      <c r="K358" s="51" t="str">
        <f>_xlfn.XLOOKUP(L358,'99_マスタ'!$D$5:$D$18,'99_マスタ'!$C$5:$C$18,"")</f>
        <v>02_生販在</v>
      </c>
      <c r="L358" s="52" t="s">
        <v>2303</v>
      </c>
      <c r="M358" s="52" t="s">
        <v>3297</v>
      </c>
      <c r="N358" s="54" t="s">
        <v>139</v>
      </c>
      <c r="O358" s="41" t="s">
        <v>463</v>
      </c>
      <c r="P358" s="41"/>
      <c r="Q358" s="41" t="s">
        <v>139</v>
      </c>
      <c r="R358" s="41" t="s">
        <v>378</v>
      </c>
      <c r="S358" s="41" t="s">
        <v>139</v>
      </c>
      <c r="T358" s="41" t="s">
        <v>139</v>
      </c>
      <c r="U358" s="41" t="s">
        <v>139</v>
      </c>
      <c r="V358" s="41" t="s">
        <v>139</v>
      </c>
      <c r="W358" s="73" t="s">
        <v>163</v>
      </c>
      <c r="X358" s="54" t="s">
        <v>139</v>
      </c>
      <c r="Y358" s="54" t="s">
        <v>139</v>
      </c>
      <c r="Z358" s="54" t="s">
        <v>139</v>
      </c>
      <c r="AA358" s="54" t="s">
        <v>139</v>
      </c>
      <c r="AB358" s="55"/>
      <c r="AC358" s="56"/>
      <c r="AD358" s="56"/>
      <c r="AE358" s="57"/>
      <c r="AF358" s="56"/>
      <c r="AG358" s="56"/>
      <c r="AH358" s="56"/>
      <c r="AI358" s="3" t="s">
        <v>1583</v>
      </c>
    </row>
    <row r="359" spans="1:35" ht="40.5">
      <c r="A359" s="144">
        <f t="shared" si="5"/>
        <v>357</v>
      </c>
      <c r="B359" s="148"/>
      <c r="C359" s="148"/>
      <c r="D359" s="148"/>
      <c r="E359" s="148"/>
      <c r="F359" s="148"/>
      <c r="G359" s="148"/>
      <c r="H359" s="148"/>
      <c r="I359" s="148"/>
      <c r="J359" s="98" t="s">
        <v>2102</v>
      </c>
      <c r="K359" s="101" t="str">
        <f>_xlfn.XLOOKUP(L359,'99_マスタ'!$D$5:$D$18,'99_マスタ'!$C$5:$C$18,"")</f>
        <v>02_生販在</v>
      </c>
      <c r="L359" s="101" t="s">
        <v>2303</v>
      </c>
      <c r="M359" s="101" t="s">
        <v>1333</v>
      </c>
      <c r="N359" s="126" t="s">
        <v>1334</v>
      </c>
      <c r="O359" s="40" t="s">
        <v>1335</v>
      </c>
      <c r="P359" s="40"/>
      <c r="Q359" s="40" t="s">
        <v>2075</v>
      </c>
      <c r="R359" s="41" t="s">
        <v>1336</v>
      </c>
      <c r="S359" s="41" t="s">
        <v>139</v>
      </c>
      <c r="T359" s="41" t="s">
        <v>139</v>
      </c>
      <c r="U359" s="41" t="s">
        <v>139</v>
      </c>
      <c r="V359" s="41" t="s">
        <v>139</v>
      </c>
      <c r="W359" s="74" t="s">
        <v>117</v>
      </c>
      <c r="X359" s="41" t="s">
        <v>139</v>
      </c>
      <c r="Y359" s="41" t="s">
        <v>139</v>
      </c>
      <c r="Z359" s="41" t="s">
        <v>139</v>
      </c>
      <c r="AA359" s="41" t="s">
        <v>139</v>
      </c>
      <c r="AB359" s="44"/>
      <c r="AC359" s="45"/>
      <c r="AD359" s="45"/>
      <c r="AE359" s="46"/>
      <c r="AF359" s="45"/>
      <c r="AG359" s="45"/>
      <c r="AH359" s="45"/>
      <c r="AI359" s="3" t="s">
        <v>1583</v>
      </c>
    </row>
    <row r="360" spans="1:35">
      <c r="A360" s="144">
        <f t="shared" si="5"/>
        <v>358</v>
      </c>
      <c r="B360" s="148"/>
      <c r="C360" s="148"/>
      <c r="D360" s="148"/>
      <c r="E360" s="148"/>
      <c r="F360" s="148"/>
      <c r="G360" s="148"/>
      <c r="H360" s="148"/>
      <c r="I360" s="148"/>
      <c r="J360" s="98" t="s">
        <v>2102</v>
      </c>
      <c r="K360" s="101" t="str">
        <f>_xlfn.XLOOKUP(L360,'99_マスタ'!$D$5:$D$18,'99_マスタ'!$C$5:$C$18,"")</f>
        <v>02_生販在</v>
      </c>
      <c r="L360" s="81" t="s">
        <v>2303</v>
      </c>
      <c r="M360" s="81" t="s">
        <v>362</v>
      </c>
      <c r="N360" s="54" t="s">
        <v>139</v>
      </c>
      <c r="O360" s="41" t="s">
        <v>363</v>
      </c>
      <c r="P360" s="41"/>
      <c r="Q360" s="41" t="s">
        <v>192</v>
      </c>
      <c r="R360" s="41" t="s">
        <v>162</v>
      </c>
      <c r="S360" s="41" t="s">
        <v>139</v>
      </c>
      <c r="T360" s="41" t="s">
        <v>139</v>
      </c>
      <c r="U360" s="41" t="s">
        <v>139</v>
      </c>
      <c r="V360" s="41" t="s">
        <v>139</v>
      </c>
      <c r="W360" s="73" t="s">
        <v>163</v>
      </c>
      <c r="X360" s="54" t="s">
        <v>139</v>
      </c>
      <c r="Y360" s="54" t="s">
        <v>139</v>
      </c>
      <c r="Z360" s="54" t="s">
        <v>139</v>
      </c>
      <c r="AA360" s="54" t="s">
        <v>139</v>
      </c>
      <c r="AB360" s="55"/>
      <c r="AC360" s="56"/>
      <c r="AD360" s="56"/>
      <c r="AE360" s="57"/>
      <c r="AF360" s="56"/>
      <c r="AG360" s="56"/>
      <c r="AH360" s="56"/>
      <c r="AI360" s="3" t="s">
        <v>1583</v>
      </c>
    </row>
    <row r="361" spans="1:35" ht="40.5">
      <c r="A361" s="144">
        <f t="shared" si="5"/>
        <v>359</v>
      </c>
      <c r="B361" s="148"/>
      <c r="C361" s="148"/>
      <c r="D361" s="148"/>
      <c r="E361" s="148"/>
      <c r="F361" s="148"/>
      <c r="G361" s="148"/>
      <c r="H361" s="148"/>
      <c r="I361" s="148"/>
      <c r="J361" s="98" t="s">
        <v>2102</v>
      </c>
      <c r="K361" s="101" t="str">
        <f>_xlfn.XLOOKUP(L361,'99_マスタ'!$D$5:$D$18,'99_マスタ'!$C$5:$C$18,"")</f>
        <v>02_生販在</v>
      </c>
      <c r="L361" s="101" t="s">
        <v>2303</v>
      </c>
      <c r="M361" s="101" t="s">
        <v>3275</v>
      </c>
      <c r="N361" s="126" t="s">
        <v>132</v>
      </c>
      <c r="O361" s="40" t="s">
        <v>1285</v>
      </c>
      <c r="P361" s="40"/>
      <c r="Q361" s="40" t="s">
        <v>192</v>
      </c>
      <c r="R361" s="41" t="s">
        <v>1286</v>
      </c>
      <c r="S361" s="41" t="s">
        <v>139</v>
      </c>
      <c r="T361" s="41" t="s">
        <v>139</v>
      </c>
      <c r="U361" s="41" t="s">
        <v>139</v>
      </c>
      <c r="V361" s="41" t="s">
        <v>139</v>
      </c>
      <c r="W361" s="74" t="s">
        <v>117</v>
      </c>
      <c r="X361" s="41" t="s">
        <v>139</v>
      </c>
      <c r="Y361" s="41" t="s">
        <v>139</v>
      </c>
      <c r="Z361" s="41" t="s">
        <v>139</v>
      </c>
      <c r="AA361" s="41" t="s">
        <v>139</v>
      </c>
      <c r="AB361" s="44"/>
      <c r="AC361" s="45"/>
      <c r="AD361" s="45"/>
      <c r="AE361" s="46"/>
      <c r="AF361" s="45"/>
      <c r="AG361" s="45"/>
      <c r="AH361" s="45"/>
      <c r="AI361" s="3" t="s">
        <v>1583</v>
      </c>
    </row>
    <row r="362" spans="1:35">
      <c r="A362" s="144">
        <f t="shared" si="5"/>
        <v>360</v>
      </c>
      <c r="B362" s="148"/>
      <c r="C362" s="148"/>
      <c r="D362" s="148"/>
      <c r="E362" s="148"/>
      <c r="F362" s="148"/>
      <c r="G362" s="148"/>
      <c r="H362" s="148"/>
      <c r="I362" s="148"/>
      <c r="J362" s="98" t="s">
        <v>2102</v>
      </c>
      <c r="K362" s="51" t="str">
        <f>_xlfn.XLOOKUP(L362,'99_マスタ'!$D$5:$D$18,'99_マスタ'!$C$5:$C$18,"")</f>
        <v>02_生販在</v>
      </c>
      <c r="L362" s="67" t="s">
        <v>2303</v>
      </c>
      <c r="M362" s="67" t="s">
        <v>424</v>
      </c>
      <c r="N362" s="54" t="s">
        <v>139</v>
      </c>
      <c r="O362" s="41" t="s">
        <v>425</v>
      </c>
      <c r="P362" s="41" t="s">
        <v>426</v>
      </c>
      <c r="Q362" s="41" t="s">
        <v>408</v>
      </c>
      <c r="R362" s="41" t="s">
        <v>416</v>
      </c>
      <c r="S362" s="41" t="s">
        <v>139</v>
      </c>
      <c r="T362" s="41" t="s">
        <v>139</v>
      </c>
      <c r="U362" s="41" t="s">
        <v>139</v>
      </c>
      <c r="V362" s="41" t="s">
        <v>139</v>
      </c>
      <c r="W362" s="73" t="s">
        <v>410</v>
      </c>
      <c r="X362" s="54" t="s">
        <v>139</v>
      </c>
      <c r="Y362" s="54" t="s">
        <v>139</v>
      </c>
      <c r="Z362" s="54" t="s">
        <v>139</v>
      </c>
      <c r="AA362" s="54" t="s">
        <v>139</v>
      </c>
      <c r="AB362" s="55"/>
      <c r="AC362" s="56"/>
      <c r="AD362" s="56"/>
      <c r="AE362" s="57"/>
      <c r="AF362" s="56"/>
      <c r="AG362" s="56"/>
      <c r="AH362" s="56"/>
      <c r="AI362" s="3" t="s">
        <v>1583</v>
      </c>
    </row>
    <row r="363" spans="1:35" ht="40.5">
      <c r="A363" s="144">
        <f t="shared" si="5"/>
        <v>361</v>
      </c>
      <c r="B363" s="148"/>
      <c r="C363" s="148"/>
      <c r="D363" s="148"/>
      <c r="E363" s="148"/>
      <c r="F363" s="148"/>
      <c r="G363" s="148"/>
      <c r="H363" s="148"/>
      <c r="I363" s="148"/>
      <c r="J363" s="98" t="s">
        <v>2102</v>
      </c>
      <c r="K363" s="65" t="str">
        <f>_xlfn.XLOOKUP(L363,'99_マスタ'!$D$5:$D$18,'99_マスタ'!$C$5:$C$18,"")</f>
        <v>02_生販在</v>
      </c>
      <c r="L363" s="101" t="s">
        <v>2303</v>
      </c>
      <c r="M363" s="101" t="s">
        <v>656</v>
      </c>
      <c r="N363" s="126" t="s">
        <v>139</v>
      </c>
      <c r="O363" s="40" t="s">
        <v>657</v>
      </c>
      <c r="P363" s="40" t="s">
        <v>658</v>
      </c>
      <c r="Q363" s="40" t="s">
        <v>161</v>
      </c>
      <c r="R363" s="41" t="s">
        <v>139</v>
      </c>
      <c r="S363" s="41" t="s">
        <v>139</v>
      </c>
      <c r="T363" s="41" t="s">
        <v>139</v>
      </c>
      <c r="U363" s="41" t="s">
        <v>654</v>
      </c>
      <c r="V363" s="41" t="s">
        <v>139</v>
      </c>
      <c r="W363" s="74" t="s">
        <v>139</v>
      </c>
      <c r="X363" s="41" t="s">
        <v>139</v>
      </c>
      <c r="Y363" s="41" t="s">
        <v>139</v>
      </c>
      <c r="Z363" s="41" t="s">
        <v>655</v>
      </c>
      <c r="AA363" s="41" t="s">
        <v>139</v>
      </c>
      <c r="AB363" s="44"/>
      <c r="AC363" s="45"/>
      <c r="AD363" s="45"/>
      <c r="AE363" s="46"/>
      <c r="AF363" s="45"/>
      <c r="AG363" s="45"/>
      <c r="AH363" s="45"/>
      <c r="AI363" s="3" t="s">
        <v>1583</v>
      </c>
    </row>
    <row r="364" spans="1:35">
      <c r="A364" s="144">
        <f t="shared" si="5"/>
        <v>362</v>
      </c>
      <c r="B364" s="148"/>
      <c r="C364" s="148"/>
      <c r="D364" s="148"/>
      <c r="E364" s="148"/>
      <c r="F364" s="148"/>
      <c r="G364" s="148"/>
      <c r="H364" s="148"/>
      <c r="I364" s="148"/>
      <c r="J364" s="98" t="s">
        <v>2102</v>
      </c>
      <c r="K364" s="51" t="str">
        <f>_xlfn.XLOOKUP(L364,'99_マスタ'!$D$5:$D$18,'99_マスタ'!$C$5:$C$18,"")</f>
        <v>02_生販在</v>
      </c>
      <c r="L364" s="67" t="s">
        <v>2303</v>
      </c>
      <c r="M364" s="67" t="s">
        <v>417</v>
      </c>
      <c r="N364" s="54" t="s">
        <v>139</v>
      </c>
      <c r="O364" s="41" t="s">
        <v>418</v>
      </c>
      <c r="P364" s="41" t="s">
        <v>419</v>
      </c>
      <c r="Q364" s="41" t="s">
        <v>139</v>
      </c>
      <c r="R364" s="41" t="s">
        <v>420</v>
      </c>
      <c r="S364" s="41" t="s">
        <v>139</v>
      </c>
      <c r="T364" s="41" t="s">
        <v>139</v>
      </c>
      <c r="U364" s="41" t="s">
        <v>139</v>
      </c>
      <c r="V364" s="41" t="s">
        <v>139</v>
      </c>
      <c r="W364" s="73" t="s">
        <v>410</v>
      </c>
      <c r="X364" s="54" t="s">
        <v>139</v>
      </c>
      <c r="Y364" s="54" t="s">
        <v>139</v>
      </c>
      <c r="Z364" s="54" t="s">
        <v>139</v>
      </c>
      <c r="AA364" s="54" t="s">
        <v>139</v>
      </c>
      <c r="AB364" s="55"/>
      <c r="AC364" s="56"/>
      <c r="AD364" s="56"/>
      <c r="AE364" s="57"/>
      <c r="AF364" s="56"/>
      <c r="AG364" s="56"/>
      <c r="AH364" s="56"/>
      <c r="AI364" s="3" t="s">
        <v>1583</v>
      </c>
    </row>
    <row r="365" spans="1:35">
      <c r="A365" s="144">
        <f t="shared" si="5"/>
        <v>363</v>
      </c>
      <c r="B365" s="148"/>
      <c r="C365" s="148"/>
      <c r="D365" s="148"/>
      <c r="E365" s="148"/>
      <c r="F365" s="148"/>
      <c r="G365" s="148"/>
      <c r="H365" s="148"/>
      <c r="I365" s="148"/>
      <c r="J365" s="98" t="s">
        <v>2102</v>
      </c>
      <c r="K365" s="51" t="str">
        <f>_xlfn.XLOOKUP(L365,'99_マスタ'!$D$5:$D$18,'99_マスタ'!$C$5:$C$18,"")</f>
        <v>02_生販在</v>
      </c>
      <c r="L365" s="67" t="s">
        <v>2303</v>
      </c>
      <c r="M365" s="67" t="s">
        <v>421</v>
      </c>
      <c r="N365" s="54" t="s">
        <v>139</v>
      </c>
      <c r="O365" s="41" t="s">
        <v>422</v>
      </c>
      <c r="P365" s="41"/>
      <c r="Q365" s="41" t="s">
        <v>139</v>
      </c>
      <c r="R365" s="41" t="s">
        <v>423</v>
      </c>
      <c r="S365" s="41" t="s">
        <v>139</v>
      </c>
      <c r="T365" s="41" t="s">
        <v>139</v>
      </c>
      <c r="U365" s="41" t="s">
        <v>139</v>
      </c>
      <c r="V365" s="41" t="s">
        <v>139</v>
      </c>
      <c r="W365" s="73" t="s">
        <v>410</v>
      </c>
      <c r="X365" s="54" t="s">
        <v>139</v>
      </c>
      <c r="Y365" s="54" t="s">
        <v>139</v>
      </c>
      <c r="Z365" s="54" t="s">
        <v>139</v>
      </c>
      <c r="AA365" s="54" t="s">
        <v>139</v>
      </c>
      <c r="AB365" s="55"/>
      <c r="AC365" s="56"/>
      <c r="AD365" s="56"/>
      <c r="AE365" s="57"/>
      <c r="AF365" s="56"/>
      <c r="AG365" s="56"/>
      <c r="AH365" s="56"/>
      <c r="AI365" s="3" t="s">
        <v>1583</v>
      </c>
    </row>
    <row r="366" spans="1:35" ht="40.5">
      <c r="A366" s="144">
        <f t="shared" si="5"/>
        <v>364</v>
      </c>
      <c r="B366" s="148"/>
      <c r="C366" s="148"/>
      <c r="D366" s="148"/>
      <c r="E366" s="148"/>
      <c r="F366" s="148"/>
      <c r="G366" s="148"/>
      <c r="H366" s="148"/>
      <c r="I366" s="148"/>
      <c r="J366" s="98" t="s">
        <v>2102</v>
      </c>
      <c r="K366" s="51" t="str">
        <f>_xlfn.XLOOKUP(L366,'99_マスタ'!$D$5:$D$18,'99_マスタ'!$C$5:$C$18,"")</f>
        <v>02_生販在</v>
      </c>
      <c r="L366" s="52" t="s">
        <v>2305</v>
      </c>
      <c r="M366" s="52" t="s">
        <v>2412</v>
      </c>
      <c r="N366" s="54" t="s">
        <v>1637</v>
      </c>
      <c r="O366" s="41" t="s">
        <v>3132</v>
      </c>
      <c r="P366" s="41" t="s">
        <v>2537</v>
      </c>
      <c r="Q366" s="41"/>
      <c r="R366" s="41" t="s">
        <v>139</v>
      </c>
      <c r="S366" s="41" t="s">
        <v>139</v>
      </c>
      <c r="T366" s="41" t="s">
        <v>139</v>
      </c>
      <c r="U366" s="41" t="s">
        <v>2670</v>
      </c>
      <c r="V366" s="41" t="s">
        <v>139</v>
      </c>
      <c r="W366" s="73" t="s">
        <v>139</v>
      </c>
      <c r="X366" s="54" t="s">
        <v>139</v>
      </c>
      <c r="Y366" s="54" t="s">
        <v>139</v>
      </c>
      <c r="Z366" s="54" t="s">
        <v>2667</v>
      </c>
      <c r="AA366" s="54" t="s">
        <v>139</v>
      </c>
      <c r="AB366" s="55"/>
      <c r="AC366" s="56"/>
      <c r="AD366" s="56"/>
      <c r="AE366" s="57"/>
      <c r="AF366" s="56"/>
      <c r="AG366" s="56"/>
      <c r="AH366" s="56"/>
      <c r="AI366" s="3" t="s">
        <v>1583</v>
      </c>
    </row>
    <row r="367" spans="1:35" ht="40.5">
      <c r="A367" s="144">
        <f t="shared" si="5"/>
        <v>365</v>
      </c>
      <c r="B367" s="148"/>
      <c r="C367" s="148"/>
      <c r="D367" s="148"/>
      <c r="E367" s="148"/>
      <c r="F367" s="148"/>
      <c r="G367" s="148"/>
      <c r="H367" s="148"/>
      <c r="I367" s="148"/>
      <c r="J367" s="98" t="s">
        <v>2102</v>
      </c>
      <c r="K367" s="51" t="str">
        <f>_xlfn.XLOOKUP(L367,'99_マスタ'!$D$5:$D$18,'99_マスタ'!$C$5:$C$18,"")</f>
        <v>02_生販在</v>
      </c>
      <c r="L367" s="52" t="s">
        <v>2305</v>
      </c>
      <c r="M367" s="52" t="s">
        <v>2436</v>
      </c>
      <c r="N367" s="54" t="s">
        <v>1637</v>
      </c>
      <c r="O367" s="41" t="s">
        <v>3133</v>
      </c>
      <c r="P367" s="41" t="s">
        <v>2538</v>
      </c>
      <c r="Q367" s="41"/>
      <c r="R367" s="41" t="s">
        <v>139</v>
      </c>
      <c r="S367" s="41" t="s">
        <v>139</v>
      </c>
      <c r="T367" s="41" t="s">
        <v>139</v>
      </c>
      <c r="U367" s="41" t="s">
        <v>2670</v>
      </c>
      <c r="V367" s="41" t="s">
        <v>139</v>
      </c>
      <c r="W367" s="73" t="s">
        <v>139</v>
      </c>
      <c r="X367" s="54" t="s">
        <v>139</v>
      </c>
      <c r="Y367" s="54" t="s">
        <v>139</v>
      </c>
      <c r="Z367" s="54" t="s">
        <v>2667</v>
      </c>
      <c r="AA367" s="54" t="s">
        <v>139</v>
      </c>
      <c r="AB367" s="55"/>
      <c r="AC367" s="56"/>
      <c r="AD367" s="56"/>
      <c r="AE367" s="57"/>
      <c r="AF367" s="56"/>
      <c r="AG367" s="56"/>
      <c r="AH367" s="56"/>
      <c r="AI367" s="3" t="s">
        <v>1583</v>
      </c>
    </row>
    <row r="368" spans="1:35" ht="27">
      <c r="A368" s="144">
        <f t="shared" si="5"/>
        <v>366</v>
      </c>
      <c r="B368" s="148"/>
      <c r="C368" s="148"/>
      <c r="D368" s="148"/>
      <c r="E368" s="148"/>
      <c r="F368" s="148"/>
      <c r="G368" s="148"/>
      <c r="H368" s="148"/>
      <c r="I368" s="148"/>
      <c r="J368" s="98" t="s">
        <v>2102</v>
      </c>
      <c r="K368" s="99" t="str">
        <f>_xlfn.XLOOKUP(L368,'99_マスタ'!$D$5:$D$18,'99_マスタ'!$C$5:$C$18,"")</f>
        <v>02_生販在</v>
      </c>
      <c r="L368" s="99" t="s">
        <v>2305</v>
      </c>
      <c r="M368" s="99" t="s">
        <v>2185</v>
      </c>
      <c r="N368" s="126" t="s">
        <v>2187</v>
      </c>
      <c r="O368" s="40" t="s">
        <v>2188</v>
      </c>
      <c r="P368" s="40"/>
      <c r="Q368" s="40" t="s">
        <v>139</v>
      </c>
      <c r="R368" s="41" t="s">
        <v>139</v>
      </c>
      <c r="S368" s="41" t="s">
        <v>139</v>
      </c>
      <c r="T368" s="41" t="s">
        <v>139</v>
      </c>
      <c r="U368" s="41" t="s">
        <v>2190</v>
      </c>
      <c r="V368" s="41" t="s">
        <v>139</v>
      </c>
      <c r="W368" s="74" t="s">
        <v>139</v>
      </c>
      <c r="X368" s="41" t="s">
        <v>139</v>
      </c>
      <c r="Y368" s="41" t="s">
        <v>139</v>
      </c>
      <c r="Z368" s="41" t="s">
        <v>1542</v>
      </c>
      <c r="AA368" s="41" t="s">
        <v>139</v>
      </c>
      <c r="AB368" s="44"/>
      <c r="AC368" s="45"/>
      <c r="AD368" s="45"/>
      <c r="AE368" s="46"/>
      <c r="AF368" s="45"/>
      <c r="AG368" s="45"/>
      <c r="AH368" s="45"/>
      <c r="AI368" s="3" t="s">
        <v>1583</v>
      </c>
    </row>
    <row r="369" spans="1:35" ht="40.5">
      <c r="A369" s="144">
        <f t="shared" si="5"/>
        <v>367</v>
      </c>
      <c r="B369" s="148"/>
      <c r="C369" s="148"/>
      <c r="D369" s="148"/>
      <c r="E369" s="148"/>
      <c r="F369" s="148"/>
      <c r="G369" s="148"/>
      <c r="H369" s="148"/>
      <c r="I369" s="148"/>
      <c r="J369" s="98" t="s">
        <v>2102</v>
      </c>
      <c r="K369" s="51" t="str">
        <f>_xlfn.XLOOKUP(L369,'99_マスタ'!$D$5:$D$18,'99_マスタ'!$C$5:$C$18,"")</f>
        <v>02_生販在</v>
      </c>
      <c r="L369" s="52" t="s">
        <v>2305</v>
      </c>
      <c r="M369" s="52" t="s">
        <v>2466</v>
      </c>
      <c r="N369" s="54" t="s">
        <v>1637</v>
      </c>
      <c r="O369" s="41" t="s">
        <v>3134</v>
      </c>
      <c r="P369" s="41" t="s">
        <v>2466</v>
      </c>
      <c r="Q369" s="41"/>
      <c r="R369" s="41" t="s">
        <v>139</v>
      </c>
      <c r="S369" s="41" t="s">
        <v>139</v>
      </c>
      <c r="T369" s="41" t="s">
        <v>139</v>
      </c>
      <c r="U369" s="41" t="s">
        <v>2670</v>
      </c>
      <c r="V369" s="41" t="s">
        <v>139</v>
      </c>
      <c r="W369" s="73" t="s">
        <v>139</v>
      </c>
      <c r="X369" s="54" t="s">
        <v>139</v>
      </c>
      <c r="Y369" s="54" t="s">
        <v>139</v>
      </c>
      <c r="Z369" s="54" t="s">
        <v>2667</v>
      </c>
      <c r="AA369" s="54" t="s">
        <v>139</v>
      </c>
      <c r="AB369" s="55"/>
      <c r="AC369" s="56"/>
      <c r="AD369" s="56"/>
      <c r="AE369" s="57"/>
      <c r="AF369" s="56"/>
      <c r="AG369" s="56"/>
      <c r="AH369" s="56"/>
      <c r="AI369" s="3" t="s">
        <v>1583</v>
      </c>
    </row>
    <row r="370" spans="1:35" ht="40.5">
      <c r="A370" s="144">
        <f t="shared" si="5"/>
        <v>368</v>
      </c>
      <c r="B370" s="148"/>
      <c r="C370" s="148"/>
      <c r="D370" s="148"/>
      <c r="E370" s="148"/>
      <c r="F370" s="148"/>
      <c r="G370" s="148"/>
      <c r="H370" s="148"/>
      <c r="I370" s="148"/>
      <c r="J370" s="98" t="s">
        <v>2102</v>
      </c>
      <c r="K370" s="51" t="str">
        <f>_xlfn.XLOOKUP(L370,'99_マスタ'!$D$5:$D$18,'99_マスタ'!$C$5:$C$18,"")</f>
        <v>02_生販在</v>
      </c>
      <c r="L370" s="52" t="s">
        <v>2305</v>
      </c>
      <c r="M370" s="52" t="s">
        <v>2376</v>
      </c>
      <c r="N370" s="54" t="s">
        <v>1637</v>
      </c>
      <c r="O370" s="41" t="s">
        <v>2539</v>
      </c>
      <c r="P370" s="41" t="s">
        <v>2438</v>
      </c>
      <c r="Q370" s="41"/>
      <c r="R370" s="41" t="s">
        <v>139</v>
      </c>
      <c r="S370" s="41" t="s">
        <v>139</v>
      </c>
      <c r="T370" s="41" t="s">
        <v>139</v>
      </c>
      <c r="U370" s="41" t="s">
        <v>2670</v>
      </c>
      <c r="V370" s="41" t="s">
        <v>139</v>
      </c>
      <c r="W370" s="73" t="s">
        <v>139</v>
      </c>
      <c r="X370" s="54" t="s">
        <v>139</v>
      </c>
      <c r="Y370" s="54" t="s">
        <v>139</v>
      </c>
      <c r="Z370" s="54" t="s">
        <v>2667</v>
      </c>
      <c r="AA370" s="54" t="s">
        <v>139</v>
      </c>
      <c r="AB370" s="55"/>
      <c r="AC370" s="56"/>
      <c r="AD370" s="56"/>
      <c r="AE370" s="57"/>
      <c r="AF370" s="56"/>
      <c r="AG370" s="56"/>
      <c r="AH370" s="56"/>
      <c r="AI370" s="3" t="s">
        <v>1583</v>
      </c>
    </row>
    <row r="371" spans="1:35" ht="40.5">
      <c r="A371" s="144">
        <f t="shared" si="5"/>
        <v>369</v>
      </c>
      <c r="B371" s="148"/>
      <c r="C371" s="148"/>
      <c r="D371" s="148"/>
      <c r="E371" s="148"/>
      <c r="F371" s="148"/>
      <c r="G371" s="148"/>
      <c r="H371" s="148"/>
      <c r="I371" s="148"/>
      <c r="J371" s="98" t="s">
        <v>2102</v>
      </c>
      <c r="K371" s="51" t="str">
        <f>_xlfn.XLOOKUP(L371,'99_マスタ'!$D$5:$D$18,'99_マスタ'!$C$5:$C$18,"")</f>
        <v>02_生販在</v>
      </c>
      <c r="L371" s="52" t="s">
        <v>2305</v>
      </c>
      <c r="M371" s="52" t="s">
        <v>2385</v>
      </c>
      <c r="N371" s="54" t="s">
        <v>1637</v>
      </c>
      <c r="O371" s="41" t="s">
        <v>2540</v>
      </c>
      <c r="P371" s="41" t="s">
        <v>2440</v>
      </c>
      <c r="Q371" s="41"/>
      <c r="R371" s="41" t="s">
        <v>139</v>
      </c>
      <c r="S371" s="41" t="s">
        <v>139</v>
      </c>
      <c r="T371" s="41" t="s">
        <v>139</v>
      </c>
      <c r="U371" s="41" t="s">
        <v>2670</v>
      </c>
      <c r="V371" s="41" t="s">
        <v>139</v>
      </c>
      <c r="W371" s="73" t="s">
        <v>139</v>
      </c>
      <c r="X371" s="54" t="s">
        <v>139</v>
      </c>
      <c r="Y371" s="54" t="s">
        <v>139</v>
      </c>
      <c r="Z371" s="54" t="s">
        <v>2667</v>
      </c>
      <c r="AA371" s="54" t="s">
        <v>139</v>
      </c>
      <c r="AB371" s="55"/>
      <c r="AC371" s="56"/>
      <c r="AD371" s="56"/>
      <c r="AE371" s="57"/>
      <c r="AF371" s="56"/>
      <c r="AG371" s="56"/>
      <c r="AH371" s="56"/>
      <c r="AI371" s="3" t="s">
        <v>1583</v>
      </c>
    </row>
    <row r="372" spans="1:35" ht="40.5">
      <c r="A372" s="144">
        <f t="shared" si="5"/>
        <v>370</v>
      </c>
      <c r="B372" s="148"/>
      <c r="C372" s="148"/>
      <c r="D372" s="148"/>
      <c r="E372" s="148"/>
      <c r="F372" s="148"/>
      <c r="G372" s="148"/>
      <c r="H372" s="148"/>
      <c r="I372" s="148"/>
      <c r="J372" s="98" t="s">
        <v>2102</v>
      </c>
      <c r="K372" s="51" t="str">
        <f>_xlfn.XLOOKUP(L372,'99_マスタ'!$D$5:$D$18,'99_マスタ'!$C$5:$C$18,"")</f>
        <v>02_生販在</v>
      </c>
      <c r="L372" s="52" t="s">
        <v>2305</v>
      </c>
      <c r="M372" s="52" t="s">
        <v>2467</v>
      </c>
      <c r="N372" s="54" t="s">
        <v>1637</v>
      </c>
      <c r="O372" s="41" t="s">
        <v>2541</v>
      </c>
      <c r="P372" s="41" t="s">
        <v>2542</v>
      </c>
      <c r="Q372" s="41"/>
      <c r="R372" s="41" t="s">
        <v>139</v>
      </c>
      <c r="S372" s="41" t="s">
        <v>139</v>
      </c>
      <c r="T372" s="41" t="s">
        <v>139</v>
      </c>
      <c r="U372" s="41" t="s">
        <v>2670</v>
      </c>
      <c r="V372" s="41" t="s">
        <v>139</v>
      </c>
      <c r="W372" s="73" t="s">
        <v>139</v>
      </c>
      <c r="X372" s="54" t="s">
        <v>139</v>
      </c>
      <c r="Y372" s="54" t="s">
        <v>139</v>
      </c>
      <c r="Z372" s="54" t="s">
        <v>2667</v>
      </c>
      <c r="AA372" s="54" t="s">
        <v>139</v>
      </c>
      <c r="AB372" s="55"/>
      <c r="AC372" s="56"/>
      <c r="AD372" s="56"/>
      <c r="AE372" s="57"/>
      <c r="AF372" s="56"/>
      <c r="AG372" s="56"/>
      <c r="AH372" s="56"/>
      <c r="AI372" s="3" t="s">
        <v>1583</v>
      </c>
    </row>
    <row r="373" spans="1:35" ht="40.5">
      <c r="A373" s="144">
        <f t="shared" si="5"/>
        <v>371</v>
      </c>
      <c r="B373" s="148"/>
      <c r="C373" s="148"/>
      <c r="D373" s="148"/>
      <c r="E373" s="148"/>
      <c r="F373" s="148"/>
      <c r="G373" s="148"/>
      <c r="H373" s="148"/>
      <c r="I373" s="148"/>
      <c r="J373" s="98" t="s">
        <v>2102</v>
      </c>
      <c r="K373" s="51" t="str">
        <f>_xlfn.XLOOKUP(L373,'99_マスタ'!$D$5:$D$18,'99_マスタ'!$C$5:$C$18,"")</f>
        <v>02_生販在</v>
      </c>
      <c r="L373" s="52" t="s">
        <v>2305</v>
      </c>
      <c r="M373" s="52" t="s">
        <v>2468</v>
      </c>
      <c r="N373" s="54" t="s">
        <v>1637</v>
      </c>
      <c r="O373" s="41" t="s">
        <v>2543</v>
      </c>
      <c r="P373" s="41" t="s">
        <v>2544</v>
      </c>
      <c r="Q373" s="41"/>
      <c r="R373" s="41" t="s">
        <v>139</v>
      </c>
      <c r="S373" s="41" t="s">
        <v>139</v>
      </c>
      <c r="T373" s="41" t="s">
        <v>139</v>
      </c>
      <c r="U373" s="41" t="s">
        <v>2670</v>
      </c>
      <c r="V373" s="41" t="s">
        <v>139</v>
      </c>
      <c r="W373" s="73" t="s">
        <v>139</v>
      </c>
      <c r="X373" s="54" t="s">
        <v>139</v>
      </c>
      <c r="Y373" s="54" t="s">
        <v>139</v>
      </c>
      <c r="Z373" s="54" t="s">
        <v>2667</v>
      </c>
      <c r="AA373" s="54" t="s">
        <v>139</v>
      </c>
      <c r="AB373" s="55"/>
      <c r="AC373" s="56"/>
      <c r="AD373" s="56"/>
      <c r="AE373" s="57"/>
      <c r="AF373" s="56"/>
      <c r="AG373" s="56"/>
      <c r="AH373" s="56"/>
      <c r="AI373" s="3" t="s">
        <v>1583</v>
      </c>
    </row>
    <row r="374" spans="1:35" ht="40.5">
      <c r="A374" s="144">
        <f t="shared" si="5"/>
        <v>372</v>
      </c>
      <c r="B374" s="148"/>
      <c r="C374" s="148"/>
      <c r="D374" s="148"/>
      <c r="E374" s="148"/>
      <c r="F374" s="148"/>
      <c r="G374" s="148"/>
      <c r="H374" s="148"/>
      <c r="I374" s="148"/>
      <c r="J374" s="98" t="s">
        <v>2102</v>
      </c>
      <c r="K374" s="51" t="str">
        <f>_xlfn.XLOOKUP(L374,'99_マスタ'!$D$5:$D$18,'99_マスタ'!$C$5:$C$18,"")</f>
        <v>02_生販在</v>
      </c>
      <c r="L374" s="52" t="s">
        <v>2305</v>
      </c>
      <c r="M374" s="52" t="s">
        <v>2415</v>
      </c>
      <c r="N374" s="54" t="s">
        <v>1637</v>
      </c>
      <c r="O374" s="41" t="s">
        <v>2448</v>
      </c>
      <c r="P374" s="41" t="s">
        <v>2449</v>
      </c>
      <c r="Q374" s="41"/>
      <c r="R374" s="41" t="s">
        <v>139</v>
      </c>
      <c r="S374" s="41" t="s">
        <v>139</v>
      </c>
      <c r="T374" s="41" t="s">
        <v>139</v>
      </c>
      <c r="U374" s="41" t="s">
        <v>2670</v>
      </c>
      <c r="V374" s="41" t="s">
        <v>139</v>
      </c>
      <c r="W374" s="73" t="s">
        <v>139</v>
      </c>
      <c r="X374" s="54" t="s">
        <v>139</v>
      </c>
      <c r="Y374" s="54" t="s">
        <v>139</v>
      </c>
      <c r="Z374" s="54" t="s">
        <v>2667</v>
      </c>
      <c r="AA374" s="54" t="s">
        <v>139</v>
      </c>
      <c r="AB374" s="55"/>
      <c r="AC374" s="56"/>
      <c r="AD374" s="56"/>
      <c r="AE374" s="57"/>
      <c r="AF374" s="56"/>
      <c r="AG374" s="56"/>
      <c r="AH374" s="56"/>
      <c r="AI374" s="3" t="s">
        <v>1583</v>
      </c>
    </row>
    <row r="375" spans="1:35" ht="40.5">
      <c r="A375" s="144">
        <f t="shared" si="5"/>
        <v>373</v>
      </c>
      <c r="B375" s="148"/>
      <c r="C375" s="148"/>
      <c r="D375" s="148"/>
      <c r="E375" s="148"/>
      <c r="F375" s="148"/>
      <c r="G375" s="148"/>
      <c r="H375" s="148"/>
      <c r="I375" s="148"/>
      <c r="J375" s="98" t="s">
        <v>2102</v>
      </c>
      <c r="K375" s="51" t="str">
        <f>_xlfn.XLOOKUP(L375,'99_マスタ'!$D$5:$D$18,'99_マスタ'!$C$5:$C$18,"")</f>
        <v>02_生販在</v>
      </c>
      <c r="L375" s="52" t="s">
        <v>2305</v>
      </c>
      <c r="M375" s="52" t="s">
        <v>2411</v>
      </c>
      <c r="N375" s="54" t="s">
        <v>1637</v>
      </c>
      <c r="O375" s="41" t="s">
        <v>2545</v>
      </c>
      <c r="P375" s="41" t="s">
        <v>2410</v>
      </c>
      <c r="Q375" s="41"/>
      <c r="R375" s="41" t="s">
        <v>139</v>
      </c>
      <c r="S375" s="41" t="s">
        <v>139</v>
      </c>
      <c r="T375" s="41" t="s">
        <v>139</v>
      </c>
      <c r="U375" s="41" t="s">
        <v>2670</v>
      </c>
      <c r="V375" s="41" t="s">
        <v>139</v>
      </c>
      <c r="W375" s="73" t="s">
        <v>139</v>
      </c>
      <c r="X375" s="54" t="s">
        <v>139</v>
      </c>
      <c r="Y375" s="54" t="s">
        <v>139</v>
      </c>
      <c r="Z375" s="54" t="s">
        <v>2667</v>
      </c>
      <c r="AA375" s="54" t="s">
        <v>139</v>
      </c>
      <c r="AB375" s="55"/>
      <c r="AC375" s="56"/>
      <c r="AD375" s="56"/>
      <c r="AE375" s="57"/>
      <c r="AF375" s="56"/>
      <c r="AG375" s="56"/>
      <c r="AH375" s="56"/>
      <c r="AI375" s="3" t="s">
        <v>1583</v>
      </c>
    </row>
    <row r="376" spans="1:35" ht="40.5">
      <c r="A376" s="144">
        <f t="shared" si="5"/>
        <v>374</v>
      </c>
      <c r="B376" s="148"/>
      <c r="C376" s="148"/>
      <c r="D376" s="148"/>
      <c r="E376" s="148"/>
      <c r="F376" s="148"/>
      <c r="G376" s="148"/>
      <c r="H376" s="148"/>
      <c r="I376" s="148"/>
      <c r="J376" s="98" t="s">
        <v>2102</v>
      </c>
      <c r="K376" s="51" t="str">
        <f>_xlfn.XLOOKUP(L376,'99_マスタ'!$D$5:$D$18,'99_マスタ'!$C$5:$C$18,"")</f>
        <v>02_生販在</v>
      </c>
      <c r="L376" s="52" t="s">
        <v>2305</v>
      </c>
      <c r="M376" s="52" t="s">
        <v>2469</v>
      </c>
      <c r="N376" s="54" t="s">
        <v>1637</v>
      </c>
      <c r="O376" s="41" t="s">
        <v>3135</v>
      </c>
      <c r="P376" s="41" t="s">
        <v>2546</v>
      </c>
      <c r="Q376" s="41"/>
      <c r="R376" s="41" t="s">
        <v>139</v>
      </c>
      <c r="S376" s="41" t="s">
        <v>139</v>
      </c>
      <c r="T376" s="41" t="s">
        <v>139</v>
      </c>
      <c r="U376" s="41" t="s">
        <v>2670</v>
      </c>
      <c r="V376" s="41" t="s">
        <v>139</v>
      </c>
      <c r="W376" s="73" t="s">
        <v>139</v>
      </c>
      <c r="X376" s="54" t="s">
        <v>139</v>
      </c>
      <c r="Y376" s="54" t="s">
        <v>139</v>
      </c>
      <c r="Z376" s="54" t="s">
        <v>2667</v>
      </c>
      <c r="AA376" s="54" t="s">
        <v>139</v>
      </c>
      <c r="AB376" s="55"/>
      <c r="AC376" s="56"/>
      <c r="AD376" s="56"/>
      <c r="AE376" s="57"/>
      <c r="AF376" s="56"/>
      <c r="AG376" s="56"/>
      <c r="AH376" s="56"/>
      <c r="AI376" s="3" t="s">
        <v>1583</v>
      </c>
    </row>
    <row r="377" spans="1:35" ht="40.5">
      <c r="A377" s="144">
        <f t="shared" si="5"/>
        <v>375</v>
      </c>
      <c r="B377" s="148"/>
      <c r="C377" s="148"/>
      <c r="D377" s="148"/>
      <c r="E377" s="148"/>
      <c r="F377" s="148"/>
      <c r="G377" s="148"/>
      <c r="H377" s="148"/>
      <c r="I377" s="148"/>
      <c r="J377" s="98" t="s">
        <v>2102</v>
      </c>
      <c r="K377" s="51" t="str">
        <f>_xlfn.XLOOKUP(L377,'99_マスタ'!$D$5:$D$18,'99_マスタ'!$C$5:$C$18,"")</f>
        <v>02_生販在</v>
      </c>
      <c r="L377" s="52" t="s">
        <v>2305</v>
      </c>
      <c r="M377" s="52" t="s">
        <v>2470</v>
      </c>
      <c r="N377" s="54" t="s">
        <v>1637</v>
      </c>
      <c r="O377" s="41" t="s">
        <v>3136</v>
      </c>
      <c r="P377" s="41" t="s">
        <v>2547</v>
      </c>
      <c r="Q377" s="41"/>
      <c r="R377" s="41" t="s">
        <v>139</v>
      </c>
      <c r="S377" s="41" t="s">
        <v>139</v>
      </c>
      <c r="T377" s="41" t="s">
        <v>139</v>
      </c>
      <c r="U377" s="41" t="s">
        <v>2670</v>
      </c>
      <c r="V377" s="41" t="s">
        <v>139</v>
      </c>
      <c r="W377" s="73" t="s">
        <v>139</v>
      </c>
      <c r="X377" s="54" t="s">
        <v>139</v>
      </c>
      <c r="Y377" s="54" t="s">
        <v>139</v>
      </c>
      <c r="Z377" s="54" t="s">
        <v>2667</v>
      </c>
      <c r="AA377" s="54" t="s">
        <v>139</v>
      </c>
      <c r="AB377" s="55"/>
      <c r="AC377" s="56"/>
      <c r="AD377" s="56"/>
      <c r="AE377" s="57"/>
      <c r="AF377" s="56"/>
      <c r="AG377" s="56"/>
      <c r="AH377" s="56"/>
      <c r="AI377" s="3" t="s">
        <v>1583</v>
      </c>
    </row>
    <row r="378" spans="1:35" ht="27">
      <c r="A378" s="144">
        <f t="shared" si="5"/>
        <v>376</v>
      </c>
      <c r="B378" s="148"/>
      <c r="C378" s="148"/>
      <c r="D378" s="148"/>
      <c r="E378" s="148"/>
      <c r="F378" s="148"/>
      <c r="G378" s="148"/>
      <c r="H378" s="148"/>
      <c r="I378" s="148"/>
      <c r="J378" s="98" t="s">
        <v>2102</v>
      </c>
      <c r="K378" s="51" t="str">
        <f>_xlfn.XLOOKUP(L378,'99_マスタ'!$D$5:$D$18,'99_マスタ'!$C$5:$C$18,"")</f>
        <v>02_生販在</v>
      </c>
      <c r="L378" s="52" t="s">
        <v>2305</v>
      </c>
      <c r="M378" s="110" t="s">
        <v>3245</v>
      </c>
      <c r="N378" s="126" t="s">
        <v>1315</v>
      </c>
      <c r="O378" s="40" t="s">
        <v>1316</v>
      </c>
      <c r="P378" s="40"/>
      <c r="Q378" s="40" t="s">
        <v>192</v>
      </c>
      <c r="R378" s="41" t="s">
        <v>1317</v>
      </c>
      <c r="S378" s="41" t="s">
        <v>139</v>
      </c>
      <c r="T378" s="41" t="s">
        <v>139</v>
      </c>
      <c r="U378" s="41" t="s">
        <v>139</v>
      </c>
      <c r="V378" s="41" t="s">
        <v>139</v>
      </c>
      <c r="W378" s="74" t="s">
        <v>117</v>
      </c>
      <c r="X378" s="41" t="s">
        <v>139</v>
      </c>
      <c r="Y378" s="41" t="s">
        <v>139</v>
      </c>
      <c r="Z378" s="41" t="s">
        <v>139</v>
      </c>
      <c r="AA378" s="41" t="s">
        <v>139</v>
      </c>
      <c r="AB378" s="44"/>
      <c r="AC378" s="45"/>
      <c r="AD378" s="45"/>
      <c r="AE378" s="46"/>
      <c r="AF378" s="45"/>
      <c r="AG378" s="45"/>
      <c r="AH378" s="45"/>
      <c r="AI378" s="3" t="s">
        <v>1583</v>
      </c>
    </row>
    <row r="379" spans="1:35" ht="54">
      <c r="A379" s="144">
        <f t="shared" si="5"/>
        <v>377</v>
      </c>
      <c r="B379" s="148"/>
      <c r="C379" s="148"/>
      <c r="D379" s="148"/>
      <c r="E379" s="148"/>
      <c r="F379" s="148"/>
      <c r="G379" s="148"/>
      <c r="H379" s="148"/>
      <c r="I379" s="148"/>
      <c r="J379" s="98" t="s">
        <v>2102</v>
      </c>
      <c r="K379" s="51" t="str">
        <f>_xlfn.XLOOKUP(L379,'99_マスタ'!$D$5:$D$18,'99_マスタ'!$C$5:$C$18,"")</f>
        <v>02_生販在</v>
      </c>
      <c r="L379" s="52" t="s">
        <v>2305</v>
      </c>
      <c r="M379" s="52" t="s">
        <v>2418</v>
      </c>
      <c r="N379" s="54" t="s">
        <v>1637</v>
      </c>
      <c r="O379" s="41" t="s">
        <v>2450</v>
      </c>
      <c r="P379" s="41" t="s">
        <v>2548</v>
      </c>
      <c r="Q379" s="41"/>
      <c r="R379" s="41" t="s">
        <v>139</v>
      </c>
      <c r="S379" s="41" t="s">
        <v>139</v>
      </c>
      <c r="T379" s="41" t="s">
        <v>139</v>
      </c>
      <c r="U379" s="41" t="s">
        <v>2670</v>
      </c>
      <c r="V379" s="41" t="s">
        <v>139</v>
      </c>
      <c r="W379" s="73" t="s">
        <v>139</v>
      </c>
      <c r="X379" s="54" t="s">
        <v>139</v>
      </c>
      <c r="Y379" s="54" t="s">
        <v>139</v>
      </c>
      <c r="Z379" s="54" t="s">
        <v>2667</v>
      </c>
      <c r="AA379" s="54" t="s">
        <v>139</v>
      </c>
      <c r="AB379" s="55"/>
      <c r="AC379" s="56"/>
      <c r="AD379" s="56"/>
      <c r="AE379" s="57"/>
      <c r="AF379" s="56"/>
      <c r="AG379" s="56"/>
      <c r="AH379" s="56"/>
      <c r="AI379" s="3" t="s">
        <v>1583</v>
      </c>
    </row>
    <row r="380" spans="1:35" ht="40.5">
      <c r="A380" s="144">
        <f t="shared" si="5"/>
        <v>378</v>
      </c>
      <c r="B380" s="148"/>
      <c r="C380" s="148"/>
      <c r="D380" s="148"/>
      <c r="E380" s="148"/>
      <c r="F380" s="148"/>
      <c r="G380" s="148"/>
      <c r="H380" s="148"/>
      <c r="I380" s="148"/>
      <c r="J380" s="98" t="s">
        <v>2102</v>
      </c>
      <c r="K380" s="51" t="str">
        <f>_xlfn.XLOOKUP(L380,'99_マスタ'!$D$5:$D$18,'99_マスタ'!$C$5:$C$18,"")</f>
        <v>02_生販在</v>
      </c>
      <c r="L380" s="52" t="s">
        <v>2305</v>
      </c>
      <c r="M380" s="52" t="s">
        <v>2402</v>
      </c>
      <c r="N380" s="54" t="s">
        <v>1637</v>
      </c>
      <c r="O380" s="41" t="s">
        <v>2444</v>
      </c>
      <c r="P380" s="41" t="s">
        <v>2445</v>
      </c>
      <c r="Q380" s="41"/>
      <c r="R380" s="41" t="s">
        <v>139</v>
      </c>
      <c r="S380" s="41" t="s">
        <v>139</v>
      </c>
      <c r="T380" s="41" t="s">
        <v>139</v>
      </c>
      <c r="U380" s="41" t="s">
        <v>2670</v>
      </c>
      <c r="V380" s="41" t="s">
        <v>139</v>
      </c>
      <c r="W380" s="73" t="s">
        <v>139</v>
      </c>
      <c r="X380" s="54" t="s">
        <v>139</v>
      </c>
      <c r="Y380" s="54" t="s">
        <v>139</v>
      </c>
      <c r="Z380" s="54" t="s">
        <v>2667</v>
      </c>
      <c r="AA380" s="54" t="s">
        <v>139</v>
      </c>
      <c r="AB380" s="55"/>
      <c r="AC380" s="56"/>
      <c r="AD380" s="56"/>
      <c r="AE380" s="57"/>
      <c r="AF380" s="56"/>
      <c r="AG380" s="56"/>
      <c r="AH380" s="56"/>
      <c r="AI380" s="3" t="s">
        <v>1583</v>
      </c>
    </row>
    <row r="381" spans="1:35" ht="40.5">
      <c r="A381" s="144">
        <f t="shared" si="5"/>
        <v>379</v>
      </c>
      <c r="B381" s="148"/>
      <c r="C381" s="148"/>
      <c r="D381" s="148"/>
      <c r="E381" s="148"/>
      <c r="F381" s="148"/>
      <c r="G381" s="148"/>
      <c r="H381" s="148"/>
      <c r="I381" s="148"/>
      <c r="J381" s="98" t="s">
        <v>2102</v>
      </c>
      <c r="K381" s="51" t="str">
        <f>_xlfn.XLOOKUP(L381,'99_マスタ'!$D$5:$D$18,'99_マスタ'!$C$5:$C$18,"")</f>
        <v>02_生販在</v>
      </c>
      <c r="L381" s="52" t="s">
        <v>2305</v>
      </c>
      <c r="M381" s="52" t="s">
        <v>2421</v>
      </c>
      <c r="N381" s="54" t="s">
        <v>1637</v>
      </c>
      <c r="O381" s="41" t="s">
        <v>2451</v>
      </c>
      <c r="P381" s="41" t="s">
        <v>2549</v>
      </c>
      <c r="Q381" s="41"/>
      <c r="R381" s="41" t="s">
        <v>139</v>
      </c>
      <c r="S381" s="41" t="s">
        <v>139</v>
      </c>
      <c r="T381" s="41" t="s">
        <v>139</v>
      </c>
      <c r="U381" s="41" t="s">
        <v>2670</v>
      </c>
      <c r="V381" s="41" t="s">
        <v>139</v>
      </c>
      <c r="W381" s="73" t="s">
        <v>139</v>
      </c>
      <c r="X381" s="54" t="s">
        <v>139</v>
      </c>
      <c r="Y381" s="54" t="s">
        <v>139</v>
      </c>
      <c r="Z381" s="54" t="s">
        <v>2667</v>
      </c>
      <c r="AA381" s="54" t="s">
        <v>139</v>
      </c>
      <c r="AB381" s="55"/>
      <c r="AC381" s="56"/>
      <c r="AD381" s="56"/>
      <c r="AE381" s="57"/>
      <c r="AF381" s="56"/>
      <c r="AG381" s="56"/>
      <c r="AH381" s="56"/>
      <c r="AI381" s="3" t="s">
        <v>1583</v>
      </c>
    </row>
    <row r="382" spans="1:35" ht="40.5">
      <c r="A382" s="144">
        <f t="shared" si="5"/>
        <v>380</v>
      </c>
      <c r="B382" s="148"/>
      <c r="C382" s="148"/>
      <c r="D382" s="148"/>
      <c r="E382" s="148"/>
      <c r="F382" s="148"/>
      <c r="G382" s="148"/>
      <c r="H382" s="148"/>
      <c r="I382" s="148"/>
      <c r="J382" s="98" t="s">
        <v>2102</v>
      </c>
      <c r="K382" s="51" t="str">
        <f>_xlfn.XLOOKUP(L382,'99_マスタ'!$D$5:$D$18,'99_マスタ'!$C$5:$C$18,"")</f>
        <v>02_生販在</v>
      </c>
      <c r="L382" s="52" t="s">
        <v>2305</v>
      </c>
      <c r="M382" s="52" t="s">
        <v>2388</v>
      </c>
      <c r="N382" s="54" t="s">
        <v>1637</v>
      </c>
      <c r="O382" s="41" t="s">
        <v>3137</v>
      </c>
      <c r="P382" s="41" t="s">
        <v>2550</v>
      </c>
      <c r="Q382" s="41" t="s">
        <v>1645</v>
      </c>
      <c r="R382" s="41" t="s">
        <v>139</v>
      </c>
      <c r="S382" s="41" t="s">
        <v>139</v>
      </c>
      <c r="T382" s="41" t="s">
        <v>139</v>
      </c>
      <c r="U382" s="41" t="s">
        <v>2670</v>
      </c>
      <c r="V382" s="41" t="s">
        <v>139</v>
      </c>
      <c r="W382" s="73" t="s">
        <v>139</v>
      </c>
      <c r="X382" s="54" t="s">
        <v>139</v>
      </c>
      <c r="Y382" s="54" t="s">
        <v>139</v>
      </c>
      <c r="Z382" s="54" t="s">
        <v>2667</v>
      </c>
      <c r="AA382" s="54" t="s">
        <v>139</v>
      </c>
      <c r="AB382" s="55"/>
      <c r="AC382" s="56"/>
      <c r="AD382" s="56"/>
      <c r="AE382" s="57"/>
      <c r="AF382" s="56"/>
      <c r="AG382" s="56"/>
      <c r="AH382" s="56"/>
      <c r="AI382" s="3" t="s">
        <v>1583</v>
      </c>
    </row>
    <row r="383" spans="1:35" ht="40.5">
      <c r="A383" s="144">
        <f t="shared" si="5"/>
        <v>381</v>
      </c>
      <c r="B383" s="148"/>
      <c r="C383" s="148"/>
      <c r="D383" s="148"/>
      <c r="E383" s="148"/>
      <c r="F383" s="148"/>
      <c r="G383" s="148"/>
      <c r="H383" s="148"/>
      <c r="I383" s="148"/>
      <c r="J383" s="98" t="s">
        <v>2102</v>
      </c>
      <c r="K383" s="51" t="str">
        <f>_xlfn.XLOOKUP(L383,'99_マスタ'!$D$5:$D$18,'99_マスタ'!$C$5:$C$18,"")</f>
        <v>02_生販在</v>
      </c>
      <c r="L383" s="52" t="s">
        <v>2305</v>
      </c>
      <c r="M383" s="52" t="s">
        <v>2391</v>
      </c>
      <c r="N383" s="54" t="s">
        <v>1637</v>
      </c>
      <c r="O383" s="41" t="s">
        <v>3138</v>
      </c>
      <c r="P383" s="41" t="s">
        <v>2551</v>
      </c>
      <c r="Q383" s="41" t="s">
        <v>1645</v>
      </c>
      <c r="R383" s="41" t="s">
        <v>139</v>
      </c>
      <c r="S383" s="41" t="s">
        <v>139</v>
      </c>
      <c r="T383" s="41" t="s">
        <v>139</v>
      </c>
      <c r="U383" s="41" t="s">
        <v>2670</v>
      </c>
      <c r="V383" s="41" t="s">
        <v>139</v>
      </c>
      <c r="W383" s="73" t="s">
        <v>139</v>
      </c>
      <c r="X383" s="54" t="s">
        <v>139</v>
      </c>
      <c r="Y383" s="54" t="s">
        <v>139</v>
      </c>
      <c r="Z383" s="54" t="s">
        <v>2667</v>
      </c>
      <c r="AA383" s="54" t="s">
        <v>139</v>
      </c>
      <c r="AB383" s="55"/>
      <c r="AC383" s="56"/>
      <c r="AD383" s="56"/>
      <c r="AE383" s="57"/>
      <c r="AF383" s="56"/>
      <c r="AG383" s="56"/>
      <c r="AH383" s="56"/>
      <c r="AI383" s="3" t="s">
        <v>1583</v>
      </c>
    </row>
    <row r="384" spans="1:35" ht="40.5">
      <c r="A384" s="144">
        <f t="shared" si="5"/>
        <v>382</v>
      </c>
      <c r="B384" s="148"/>
      <c r="C384" s="148"/>
      <c r="D384" s="148"/>
      <c r="E384" s="148"/>
      <c r="F384" s="148"/>
      <c r="G384" s="148"/>
      <c r="H384" s="148"/>
      <c r="I384" s="148"/>
      <c r="J384" s="98" t="s">
        <v>2102</v>
      </c>
      <c r="K384" s="51" t="str">
        <f>_xlfn.XLOOKUP(L384,'99_マスタ'!$D$5:$D$18,'99_マスタ'!$C$5:$C$18,"")</f>
        <v>02_生販在</v>
      </c>
      <c r="L384" s="52" t="s">
        <v>2305</v>
      </c>
      <c r="M384" s="52" t="s">
        <v>2389</v>
      </c>
      <c r="N384" s="54" t="s">
        <v>1637</v>
      </c>
      <c r="O384" s="41" t="s">
        <v>3139</v>
      </c>
      <c r="P384" s="41" t="s">
        <v>2552</v>
      </c>
      <c r="Q384" s="41" t="s">
        <v>1645</v>
      </c>
      <c r="R384" s="41" t="s">
        <v>139</v>
      </c>
      <c r="S384" s="41" t="s">
        <v>139</v>
      </c>
      <c r="T384" s="41" t="s">
        <v>139</v>
      </c>
      <c r="U384" s="41" t="s">
        <v>2670</v>
      </c>
      <c r="V384" s="41" t="s">
        <v>139</v>
      </c>
      <c r="W384" s="73" t="s">
        <v>139</v>
      </c>
      <c r="X384" s="54" t="s">
        <v>139</v>
      </c>
      <c r="Y384" s="54" t="s">
        <v>139</v>
      </c>
      <c r="Z384" s="54" t="s">
        <v>2667</v>
      </c>
      <c r="AA384" s="54" t="s">
        <v>139</v>
      </c>
      <c r="AB384" s="55"/>
      <c r="AC384" s="56"/>
      <c r="AD384" s="56"/>
      <c r="AE384" s="57"/>
      <c r="AF384" s="56"/>
      <c r="AG384" s="56"/>
      <c r="AH384" s="56"/>
      <c r="AI384" s="3" t="s">
        <v>1583</v>
      </c>
    </row>
    <row r="385" spans="1:35" ht="40.5">
      <c r="A385" s="144">
        <f t="shared" si="5"/>
        <v>383</v>
      </c>
      <c r="B385" s="148"/>
      <c r="C385" s="148"/>
      <c r="D385" s="148"/>
      <c r="E385" s="148"/>
      <c r="F385" s="148"/>
      <c r="G385" s="148"/>
      <c r="H385" s="148"/>
      <c r="I385" s="148"/>
      <c r="J385" s="98" t="s">
        <v>2102</v>
      </c>
      <c r="K385" s="51" t="str">
        <f>_xlfn.XLOOKUP(L385,'99_マスタ'!$D$5:$D$18,'99_マスタ'!$C$5:$C$18,"")</f>
        <v>02_生販在</v>
      </c>
      <c r="L385" s="52" t="s">
        <v>2305</v>
      </c>
      <c r="M385" s="52" t="s">
        <v>2390</v>
      </c>
      <c r="N385" s="54" t="s">
        <v>1637</v>
      </c>
      <c r="O385" s="41" t="s">
        <v>3140</v>
      </c>
      <c r="P385" s="41" t="s">
        <v>2553</v>
      </c>
      <c r="Q385" s="41" t="s">
        <v>1645</v>
      </c>
      <c r="R385" s="41" t="s">
        <v>139</v>
      </c>
      <c r="S385" s="41" t="s">
        <v>139</v>
      </c>
      <c r="T385" s="41" t="s">
        <v>139</v>
      </c>
      <c r="U385" s="41" t="s">
        <v>2670</v>
      </c>
      <c r="V385" s="41" t="s">
        <v>139</v>
      </c>
      <c r="W385" s="73" t="s">
        <v>139</v>
      </c>
      <c r="X385" s="54" t="s">
        <v>139</v>
      </c>
      <c r="Y385" s="54" t="s">
        <v>139</v>
      </c>
      <c r="Z385" s="54" t="s">
        <v>2667</v>
      </c>
      <c r="AA385" s="54" t="s">
        <v>139</v>
      </c>
      <c r="AB385" s="55"/>
      <c r="AC385" s="56"/>
      <c r="AD385" s="56"/>
      <c r="AE385" s="57"/>
      <c r="AF385" s="56"/>
      <c r="AG385" s="56"/>
      <c r="AH385" s="56"/>
      <c r="AI385" s="3" t="s">
        <v>1583</v>
      </c>
    </row>
    <row r="386" spans="1:35" ht="40.5">
      <c r="A386" s="144">
        <f t="shared" si="5"/>
        <v>384</v>
      </c>
      <c r="B386" s="148"/>
      <c r="C386" s="148"/>
      <c r="D386" s="148"/>
      <c r="E386" s="148"/>
      <c r="F386" s="148"/>
      <c r="G386" s="148"/>
      <c r="H386" s="148"/>
      <c r="I386" s="148"/>
      <c r="J386" s="98" t="s">
        <v>2102</v>
      </c>
      <c r="K386" s="51" t="str">
        <f>_xlfn.XLOOKUP(L386,'99_マスタ'!$D$5:$D$18,'99_マスタ'!$C$5:$C$18,"")</f>
        <v>02_生販在</v>
      </c>
      <c r="L386" s="52" t="s">
        <v>2305</v>
      </c>
      <c r="M386" s="52" t="s">
        <v>2386</v>
      </c>
      <c r="N386" s="54" t="s">
        <v>1637</v>
      </c>
      <c r="O386" s="41" t="s">
        <v>3141</v>
      </c>
      <c r="P386" s="41" t="s">
        <v>2554</v>
      </c>
      <c r="Q386" s="41" t="s">
        <v>1645</v>
      </c>
      <c r="R386" s="41" t="s">
        <v>139</v>
      </c>
      <c r="S386" s="41" t="s">
        <v>139</v>
      </c>
      <c r="T386" s="41" t="s">
        <v>139</v>
      </c>
      <c r="U386" s="41" t="s">
        <v>2670</v>
      </c>
      <c r="V386" s="41" t="s">
        <v>139</v>
      </c>
      <c r="W386" s="73" t="s">
        <v>139</v>
      </c>
      <c r="X386" s="54" t="s">
        <v>139</v>
      </c>
      <c r="Y386" s="54" t="s">
        <v>139</v>
      </c>
      <c r="Z386" s="54" t="s">
        <v>2667</v>
      </c>
      <c r="AA386" s="54" t="s">
        <v>139</v>
      </c>
      <c r="AB386" s="55"/>
      <c r="AC386" s="56"/>
      <c r="AD386" s="56"/>
      <c r="AE386" s="57"/>
      <c r="AF386" s="56"/>
      <c r="AG386" s="56"/>
      <c r="AH386" s="56"/>
      <c r="AI386" s="3" t="s">
        <v>1583</v>
      </c>
    </row>
    <row r="387" spans="1:35" ht="40.5">
      <c r="A387" s="144">
        <f t="shared" ref="A387:A450" si="6">ROW()-2</f>
        <v>385</v>
      </c>
      <c r="B387" s="148"/>
      <c r="C387" s="148"/>
      <c r="D387" s="148"/>
      <c r="E387" s="148"/>
      <c r="F387" s="148"/>
      <c r="G387" s="148"/>
      <c r="H387" s="148"/>
      <c r="I387" s="148"/>
      <c r="J387" s="98" t="s">
        <v>2102</v>
      </c>
      <c r="K387" s="51" t="str">
        <f>_xlfn.XLOOKUP(L387,'99_マスタ'!$D$5:$D$18,'99_マスタ'!$C$5:$C$18,"")</f>
        <v>02_生販在</v>
      </c>
      <c r="L387" s="52" t="s">
        <v>2305</v>
      </c>
      <c r="M387" s="52" t="s">
        <v>2387</v>
      </c>
      <c r="N387" s="54" t="s">
        <v>1637</v>
      </c>
      <c r="O387" s="41" t="s">
        <v>3142</v>
      </c>
      <c r="P387" s="41" t="s">
        <v>2555</v>
      </c>
      <c r="Q387" s="41" t="s">
        <v>1645</v>
      </c>
      <c r="R387" s="41" t="s">
        <v>139</v>
      </c>
      <c r="S387" s="41" t="s">
        <v>139</v>
      </c>
      <c r="T387" s="41" t="s">
        <v>139</v>
      </c>
      <c r="U387" s="41" t="s">
        <v>2670</v>
      </c>
      <c r="V387" s="41" t="s">
        <v>139</v>
      </c>
      <c r="W387" s="73" t="s">
        <v>139</v>
      </c>
      <c r="X387" s="54" t="s">
        <v>139</v>
      </c>
      <c r="Y387" s="54" t="s">
        <v>139</v>
      </c>
      <c r="Z387" s="54" t="s">
        <v>2667</v>
      </c>
      <c r="AA387" s="54" t="s">
        <v>139</v>
      </c>
      <c r="AB387" s="55"/>
      <c r="AC387" s="56"/>
      <c r="AD387" s="56"/>
      <c r="AE387" s="57"/>
      <c r="AF387" s="56"/>
      <c r="AG387" s="56"/>
      <c r="AH387" s="56"/>
      <c r="AI387" s="3" t="s">
        <v>1583</v>
      </c>
    </row>
    <row r="388" spans="1:35" ht="40.5">
      <c r="A388" s="144">
        <f t="shared" si="6"/>
        <v>386</v>
      </c>
      <c r="B388" s="148"/>
      <c r="C388" s="148"/>
      <c r="D388" s="148"/>
      <c r="E388" s="148"/>
      <c r="F388" s="148"/>
      <c r="G388" s="148"/>
      <c r="H388" s="148"/>
      <c r="I388" s="148"/>
      <c r="J388" s="98" t="s">
        <v>2102</v>
      </c>
      <c r="K388" s="51" t="str">
        <f>_xlfn.XLOOKUP(L388,'99_マスタ'!$D$5:$D$18,'99_マスタ'!$C$5:$C$18,"")</f>
        <v>02_生販在</v>
      </c>
      <c r="L388" s="52" t="s">
        <v>2305</v>
      </c>
      <c r="M388" s="52" t="s">
        <v>2430</v>
      </c>
      <c r="N388" s="54" t="s">
        <v>1637</v>
      </c>
      <c r="O388" s="41" t="s">
        <v>3143</v>
      </c>
      <c r="P388" s="41" t="s">
        <v>2556</v>
      </c>
      <c r="Q388" s="41" t="s">
        <v>1645</v>
      </c>
      <c r="R388" s="41" t="s">
        <v>139</v>
      </c>
      <c r="S388" s="41" t="s">
        <v>139</v>
      </c>
      <c r="T388" s="41" t="s">
        <v>139</v>
      </c>
      <c r="U388" s="41" t="s">
        <v>2670</v>
      </c>
      <c r="V388" s="41" t="s">
        <v>139</v>
      </c>
      <c r="W388" s="73" t="s">
        <v>139</v>
      </c>
      <c r="X388" s="54" t="s">
        <v>139</v>
      </c>
      <c r="Y388" s="54" t="s">
        <v>139</v>
      </c>
      <c r="Z388" s="54" t="s">
        <v>2667</v>
      </c>
      <c r="AA388" s="54" t="s">
        <v>139</v>
      </c>
      <c r="AB388" s="55"/>
      <c r="AC388" s="56"/>
      <c r="AD388" s="56"/>
      <c r="AE388" s="57"/>
      <c r="AF388" s="56"/>
      <c r="AG388" s="56"/>
      <c r="AH388" s="56"/>
      <c r="AI388" s="3" t="s">
        <v>1583</v>
      </c>
    </row>
    <row r="389" spans="1:35" ht="40.5">
      <c r="A389" s="144">
        <f t="shared" si="6"/>
        <v>387</v>
      </c>
      <c r="B389" s="148"/>
      <c r="C389" s="148"/>
      <c r="D389" s="148"/>
      <c r="E389" s="148"/>
      <c r="F389" s="148"/>
      <c r="G389" s="148"/>
      <c r="H389" s="148"/>
      <c r="I389" s="148"/>
      <c r="J389" s="98" t="s">
        <v>2102</v>
      </c>
      <c r="K389" s="51" t="str">
        <f>_xlfn.XLOOKUP(L389,'99_マスタ'!$D$5:$D$18,'99_マスタ'!$C$5:$C$18,"")</f>
        <v>02_生販在</v>
      </c>
      <c r="L389" s="52" t="s">
        <v>2305</v>
      </c>
      <c r="M389" s="52" t="s">
        <v>2429</v>
      </c>
      <c r="N389" s="54" t="s">
        <v>1637</v>
      </c>
      <c r="O389" s="41" t="s">
        <v>3144</v>
      </c>
      <c r="P389" s="41" t="s">
        <v>2557</v>
      </c>
      <c r="Q389" s="41" t="s">
        <v>1645</v>
      </c>
      <c r="R389" s="41" t="s">
        <v>139</v>
      </c>
      <c r="S389" s="41" t="s">
        <v>139</v>
      </c>
      <c r="T389" s="41" t="s">
        <v>139</v>
      </c>
      <c r="U389" s="41" t="s">
        <v>2670</v>
      </c>
      <c r="V389" s="41" t="s">
        <v>139</v>
      </c>
      <c r="W389" s="73" t="s">
        <v>139</v>
      </c>
      <c r="X389" s="54" t="s">
        <v>139</v>
      </c>
      <c r="Y389" s="54" t="s">
        <v>139</v>
      </c>
      <c r="Z389" s="54" t="s">
        <v>2667</v>
      </c>
      <c r="AA389" s="54" t="s">
        <v>139</v>
      </c>
      <c r="AB389" s="55"/>
      <c r="AC389" s="56"/>
      <c r="AD389" s="56"/>
      <c r="AE389" s="57"/>
      <c r="AF389" s="56"/>
      <c r="AG389" s="56"/>
      <c r="AH389" s="56"/>
      <c r="AI389" s="3" t="s">
        <v>1583</v>
      </c>
    </row>
    <row r="390" spans="1:35" ht="40.5">
      <c r="A390" s="144">
        <f t="shared" si="6"/>
        <v>388</v>
      </c>
      <c r="B390" s="148"/>
      <c r="C390" s="148"/>
      <c r="D390" s="148"/>
      <c r="E390" s="148"/>
      <c r="F390" s="148"/>
      <c r="G390" s="148"/>
      <c r="H390" s="148"/>
      <c r="I390" s="148"/>
      <c r="J390" s="98" t="s">
        <v>2102</v>
      </c>
      <c r="K390" s="51" t="str">
        <f>_xlfn.XLOOKUP(L390,'99_マスタ'!$D$5:$D$18,'99_マスタ'!$C$5:$C$18,"")</f>
        <v>02_生販在</v>
      </c>
      <c r="L390" s="52" t="s">
        <v>2305</v>
      </c>
      <c r="M390" s="52" t="s">
        <v>2427</v>
      </c>
      <c r="N390" s="54" t="s">
        <v>1637</v>
      </c>
      <c r="O390" s="41" t="s">
        <v>3145</v>
      </c>
      <c r="P390" s="41" t="s">
        <v>2558</v>
      </c>
      <c r="Q390" s="41" t="s">
        <v>1645</v>
      </c>
      <c r="R390" s="41" t="s">
        <v>139</v>
      </c>
      <c r="S390" s="41" t="s">
        <v>139</v>
      </c>
      <c r="T390" s="41" t="s">
        <v>139</v>
      </c>
      <c r="U390" s="41" t="s">
        <v>2670</v>
      </c>
      <c r="V390" s="41" t="s">
        <v>139</v>
      </c>
      <c r="W390" s="73" t="s">
        <v>139</v>
      </c>
      <c r="X390" s="54" t="s">
        <v>139</v>
      </c>
      <c r="Y390" s="54" t="s">
        <v>139</v>
      </c>
      <c r="Z390" s="54" t="s">
        <v>2667</v>
      </c>
      <c r="AA390" s="54" t="s">
        <v>139</v>
      </c>
      <c r="AB390" s="55"/>
      <c r="AC390" s="56"/>
      <c r="AD390" s="56"/>
      <c r="AE390" s="57"/>
      <c r="AF390" s="56"/>
      <c r="AG390" s="56"/>
      <c r="AH390" s="56"/>
      <c r="AI390" s="3" t="s">
        <v>1583</v>
      </c>
    </row>
    <row r="391" spans="1:35" ht="40.5">
      <c r="A391" s="144">
        <f t="shared" si="6"/>
        <v>389</v>
      </c>
      <c r="B391" s="148"/>
      <c r="C391" s="148"/>
      <c r="D391" s="148"/>
      <c r="E391" s="148"/>
      <c r="F391" s="148"/>
      <c r="G391" s="148"/>
      <c r="H391" s="148"/>
      <c r="I391" s="148"/>
      <c r="J391" s="98" t="s">
        <v>2102</v>
      </c>
      <c r="K391" s="51" t="str">
        <f>_xlfn.XLOOKUP(L391,'99_マスタ'!$D$5:$D$18,'99_マスタ'!$C$5:$C$18,"")</f>
        <v>02_生販在</v>
      </c>
      <c r="L391" s="52" t="s">
        <v>2305</v>
      </c>
      <c r="M391" s="52" t="s">
        <v>2428</v>
      </c>
      <c r="N391" s="54" t="s">
        <v>1637</v>
      </c>
      <c r="O391" s="41" t="s">
        <v>3146</v>
      </c>
      <c r="P391" s="41" t="s">
        <v>2559</v>
      </c>
      <c r="Q391" s="41" t="s">
        <v>1645</v>
      </c>
      <c r="R391" s="41" t="s">
        <v>139</v>
      </c>
      <c r="S391" s="41" t="s">
        <v>139</v>
      </c>
      <c r="T391" s="41" t="s">
        <v>139</v>
      </c>
      <c r="U391" s="41" t="s">
        <v>2670</v>
      </c>
      <c r="V391" s="41" t="s">
        <v>139</v>
      </c>
      <c r="W391" s="73" t="s">
        <v>139</v>
      </c>
      <c r="X391" s="54" t="s">
        <v>139</v>
      </c>
      <c r="Y391" s="54" t="s">
        <v>139</v>
      </c>
      <c r="Z391" s="54" t="s">
        <v>2667</v>
      </c>
      <c r="AA391" s="54" t="s">
        <v>139</v>
      </c>
      <c r="AB391" s="55"/>
      <c r="AC391" s="56"/>
      <c r="AD391" s="56"/>
      <c r="AE391" s="57"/>
      <c r="AF391" s="56"/>
      <c r="AG391" s="56"/>
      <c r="AH391" s="56"/>
      <c r="AI391" s="3" t="s">
        <v>1583</v>
      </c>
    </row>
    <row r="392" spans="1:35" ht="40.5">
      <c r="A392" s="144">
        <f t="shared" si="6"/>
        <v>390</v>
      </c>
      <c r="B392" s="148"/>
      <c r="C392" s="148"/>
      <c r="D392" s="148"/>
      <c r="E392" s="148"/>
      <c r="F392" s="148"/>
      <c r="G392" s="148"/>
      <c r="H392" s="148"/>
      <c r="I392" s="148"/>
      <c r="J392" s="98" t="s">
        <v>2102</v>
      </c>
      <c r="K392" s="51" t="str">
        <f>_xlfn.XLOOKUP(L392,'99_マスタ'!$D$5:$D$18,'99_マスタ'!$C$5:$C$18,"")</f>
        <v>02_生販在</v>
      </c>
      <c r="L392" s="52" t="s">
        <v>2305</v>
      </c>
      <c r="M392" s="52" t="s">
        <v>2425</v>
      </c>
      <c r="N392" s="54" t="s">
        <v>1637</v>
      </c>
      <c r="O392" s="41" t="s">
        <v>3147</v>
      </c>
      <c r="P392" s="41" t="s">
        <v>2560</v>
      </c>
      <c r="Q392" s="41" t="s">
        <v>1645</v>
      </c>
      <c r="R392" s="41" t="s">
        <v>139</v>
      </c>
      <c r="S392" s="41" t="s">
        <v>139</v>
      </c>
      <c r="T392" s="41" t="s">
        <v>139</v>
      </c>
      <c r="U392" s="41" t="s">
        <v>2670</v>
      </c>
      <c r="V392" s="41" t="s">
        <v>139</v>
      </c>
      <c r="W392" s="73" t="s">
        <v>139</v>
      </c>
      <c r="X392" s="54" t="s">
        <v>139</v>
      </c>
      <c r="Y392" s="54" t="s">
        <v>139</v>
      </c>
      <c r="Z392" s="54" t="s">
        <v>2667</v>
      </c>
      <c r="AA392" s="54" t="s">
        <v>139</v>
      </c>
      <c r="AB392" s="55"/>
      <c r="AC392" s="56"/>
      <c r="AD392" s="56"/>
      <c r="AE392" s="57"/>
      <c r="AF392" s="56"/>
      <c r="AG392" s="56"/>
      <c r="AH392" s="56"/>
      <c r="AI392" s="3" t="s">
        <v>1583</v>
      </c>
    </row>
    <row r="393" spans="1:35" ht="40.5">
      <c r="A393" s="144">
        <f t="shared" si="6"/>
        <v>391</v>
      </c>
      <c r="B393" s="148"/>
      <c r="C393" s="148"/>
      <c r="D393" s="148"/>
      <c r="E393" s="148"/>
      <c r="F393" s="148"/>
      <c r="G393" s="148"/>
      <c r="H393" s="148"/>
      <c r="I393" s="148"/>
      <c r="J393" s="98" t="s">
        <v>2102</v>
      </c>
      <c r="K393" s="51" t="str">
        <f>_xlfn.XLOOKUP(L393,'99_マスタ'!$D$5:$D$18,'99_マスタ'!$C$5:$C$18,"")</f>
        <v>02_生販在</v>
      </c>
      <c r="L393" s="52" t="s">
        <v>2305</v>
      </c>
      <c r="M393" s="52" t="s">
        <v>2426</v>
      </c>
      <c r="N393" s="54" t="s">
        <v>1637</v>
      </c>
      <c r="O393" s="41" t="s">
        <v>3148</v>
      </c>
      <c r="P393" s="41" t="s">
        <v>2561</v>
      </c>
      <c r="Q393" s="41" t="s">
        <v>1645</v>
      </c>
      <c r="R393" s="41" t="s">
        <v>139</v>
      </c>
      <c r="S393" s="41" t="s">
        <v>139</v>
      </c>
      <c r="T393" s="41" t="s">
        <v>139</v>
      </c>
      <c r="U393" s="41" t="s">
        <v>2670</v>
      </c>
      <c r="V393" s="41" t="s">
        <v>139</v>
      </c>
      <c r="W393" s="73" t="s">
        <v>139</v>
      </c>
      <c r="X393" s="54" t="s">
        <v>139</v>
      </c>
      <c r="Y393" s="54" t="s">
        <v>139</v>
      </c>
      <c r="Z393" s="54" t="s">
        <v>2667</v>
      </c>
      <c r="AA393" s="54" t="s">
        <v>139</v>
      </c>
      <c r="AB393" s="55"/>
      <c r="AC393" s="56"/>
      <c r="AD393" s="56"/>
      <c r="AE393" s="57"/>
      <c r="AF393" s="56"/>
      <c r="AG393" s="56"/>
      <c r="AH393" s="56"/>
      <c r="AI393" s="3" t="s">
        <v>1583</v>
      </c>
    </row>
    <row r="394" spans="1:35" ht="54">
      <c r="A394" s="144">
        <f t="shared" si="6"/>
        <v>392</v>
      </c>
      <c r="B394" s="148"/>
      <c r="C394" s="148"/>
      <c r="D394" s="148"/>
      <c r="E394" s="148"/>
      <c r="F394" s="148"/>
      <c r="G394" s="148"/>
      <c r="H394" s="148"/>
      <c r="I394" s="148"/>
      <c r="J394" s="98" t="s">
        <v>2102</v>
      </c>
      <c r="K394" s="51" t="str">
        <f>_xlfn.XLOOKUP(L394,'99_マスタ'!$D$5:$D$18,'99_マスタ'!$C$5:$C$18,"")</f>
        <v>02_生販在</v>
      </c>
      <c r="L394" s="52" t="s">
        <v>2305</v>
      </c>
      <c r="M394" s="52" t="s">
        <v>2471</v>
      </c>
      <c r="N394" s="54" t="s">
        <v>1637</v>
      </c>
      <c r="O394" s="41" t="s">
        <v>3149</v>
      </c>
      <c r="P394" s="41" t="s">
        <v>2562</v>
      </c>
      <c r="Q394" s="41" t="s">
        <v>1645</v>
      </c>
      <c r="R394" s="41" t="s">
        <v>139</v>
      </c>
      <c r="S394" s="41" t="s">
        <v>139</v>
      </c>
      <c r="T394" s="41" t="s">
        <v>139</v>
      </c>
      <c r="U394" s="41" t="s">
        <v>2670</v>
      </c>
      <c r="V394" s="41" t="s">
        <v>139</v>
      </c>
      <c r="W394" s="73" t="s">
        <v>139</v>
      </c>
      <c r="X394" s="54" t="s">
        <v>139</v>
      </c>
      <c r="Y394" s="54" t="s">
        <v>139</v>
      </c>
      <c r="Z394" s="54" t="s">
        <v>2667</v>
      </c>
      <c r="AA394" s="54" t="s">
        <v>139</v>
      </c>
      <c r="AB394" s="55"/>
      <c r="AC394" s="56"/>
      <c r="AD394" s="56"/>
      <c r="AE394" s="57"/>
      <c r="AF394" s="56"/>
      <c r="AG394" s="56"/>
      <c r="AH394" s="56"/>
      <c r="AI394" s="3" t="s">
        <v>1583</v>
      </c>
    </row>
    <row r="395" spans="1:35" ht="40.5">
      <c r="A395" s="144">
        <f t="shared" si="6"/>
        <v>393</v>
      </c>
      <c r="B395" s="148"/>
      <c r="C395" s="148"/>
      <c r="D395" s="148"/>
      <c r="E395" s="148"/>
      <c r="F395" s="148"/>
      <c r="G395" s="148"/>
      <c r="H395" s="148"/>
      <c r="I395" s="148"/>
      <c r="J395" s="98" t="s">
        <v>2102</v>
      </c>
      <c r="K395" s="51" t="str">
        <f>_xlfn.XLOOKUP(L395,'99_マスタ'!$D$5:$D$18,'99_マスタ'!$C$5:$C$18,"")</f>
        <v>02_生販在</v>
      </c>
      <c r="L395" s="52" t="s">
        <v>2305</v>
      </c>
      <c r="M395" s="52" t="s">
        <v>2392</v>
      </c>
      <c r="N395" s="54" t="s">
        <v>1637</v>
      </c>
      <c r="O395" s="41" t="s">
        <v>3150</v>
      </c>
      <c r="P395" s="41" t="s">
        <v>2563</v>
      </c>
      <c r="Q395" s="41" t="s">
        <v>1645</v>
      </c>
      <c r="R395" s="41" t="s">
        <v>139</v>
      </c>
      <c r="S395" s="41" t="s">
        <v>139</v>
      </c>
      <c r="T395" s="41" t="s">
        <v>139</v>
      </c>
      <c r="U395" s="41" t="s">
        <v>2670</v>
      </c>
      <c r="V395" s="41" t="s">
        <v>139</v>
      </c>
      <c r="W395" s="73" t="s">
        <v>139</v>
      </c>
      <c r="X395" s="54" t="s">
        <v>139</v>
      </c>
      <c r="Y395" s="54" t="s">
        <v>139</v>
      </c>
      <c r="Z395" s="54" t="s">
        <v>2667</v>
      </c>
      <c r="AA395" s="54" t="s">
        <v>139</v>
      </c>
      <c r="AB395" s="55"/>
      <c r="AC395" s="56"/>
      <c r="AD395" s="56"/>
      <c r="AE395" s="57"/>
      <c r="AF395" s="56"/>
      <c r="AG395" s="56"/>
      <c r="AH395" s="56"/>
      <c r="AI395" s="3" t="s">
        <v>1583</v>
      </c>
    </row>
    <row r="396" spans="1:35" ht="40.5">
      <c r="A396" s="144">
        <f t="shared" si="6"/>
        <v>394</v>
      </c>
      <c r="B396" s="148"/>
      <c r="C396" s="148"/>
      <c r="D396" s="148"/>
      <c r="E396" s="148"/>
      <c r="F396" s="148"/>
      <c r="G396" s="148"/>
      <c r="H396" s="148"/>
      <c r="I396" s="148"/>
      <c r="J396" s="98" t="s">
        <v>2102</v>
      </c>
      <c r="K396" s="51" t="str">
        <f>_xlfn.XLOOKUP(L396,'99_マスタ'!$D$5:$D$18,'99_マスタ'!$C$5:$C$18,"")</f>
        <v>02_生販在</v>
      </c>
      <c r="L396" s="52" t="s">
        <v>2305</v>
      </c>
      <c r="M396" s="52" t="s">
        <v>438</v>
      </c>
      <c r="N396" s="54" t="s">
        <v>1637</v>
      </c>
      <c r="O396" s="41" t="s">
        <v>2564</v>
      </c>
      <c r="P396" s="41" t="s">
        <v>2565</v>
      </c>
      <c r="Q396" s="41"/>
      <c r="R396" s="41" t="s">
        <v>139</v>
      </c>
      <c r="S396" s="41" t="s">
        <v>139</v>
      </c>
      <c r="T396" s="41" t="s">
        <v>139</v>
      </c>
      <c r="U396" s="41" t="s">
        <v>2670</v>
      </c>
      <c r="V396" s="41" t="s">
        <v>139</v>
      </c>
      <c r="W396" s="73" t="s">
        <v>139</v>
      </c>
      <c r="X396" s="54" t="s">
        <v>139</v>
      </c>
      <c r="Y396" s="54" t="s">
        <v>139</v>
      </c>
      <c r="Z396" s="54" t="s">
        <v>2667</v>
      </c>
      <c r="AA396" s="54" t="s">
        <v>139</v>
      </c>
      <c r="AB396" s="55"/>
      <c r="AC396" s="56"/>
      <c r="AD396" s="56"/>
      <c r="AE396" s="57"/>
      <c r="AF396" s="56"/>
      <c r="AG396" s="56"/>
      <c r="AH396" s="56"/>
      <c r="AI396" s="3" t="s">
        <v>1583</v>
      </c>
    </row>
    <row r="397" spans="1:35" ht="40.5">
      <c r="A397" s="144">
        <f t="shared" si="6"/>
        <v>395</v>
      </c>
      <c r="B397" s="148"/>
      <c r="C397" s="148"/>
      <c r="D397" s="148"/>
      <c r="E397" s="148"/>
      <c r="F397" s="148"/>
      <c r="G397" s="148"/>
      <c r="H397" s="148"/>
      <c r="I397" s="148"/>
      <c r="J397" s="98" t="s">
        <v>2102</v>
      </c>
      <c r="K397" s="51" t="str">
        <f>_xlfn.XLOOKUP(L397,'99_マスタ'!$D$5:$D$18,'99_マスタ'!$C$5:$C$18,"")</f>
        <v>02_生販在</v>
      </c>
      <c r="L397" s="52" t="s">
        <v>2305</v>
      </c>
      <c r="M397" s="52" t="s">
        <v>2472</v>
      </c>
      <c r="N397" s="54" t="s">
        <v>1637</v>
      </c>
      <c r="O397" s="41" t="s">
        <v>3151</v>
      </c>
      <c r="P397" s="41" t="s">
        <v>2566</v>
      </c>
      <c r="Q397" s="41"/>
      <c r="R397" s="41" t="s">
        <v>139</v>
      </c>
      <c r="S397" s="41" t="s">
        <v>139</v>
      </c>
      <c r="T397" s="41" t="s">
        <v>139</v>
      </c>
      <c r="U397" s="41" t="s">
        <v>2670</v>
      </c>
      <c r="V397" s="41" t="s">
        <v>139</v>
      </c>
      <c r="W397" s="73" t="s">
        <v>139</v>
      </c>
      <c r="X397" s="54" t="s">
        <v>139</v>
      </c>
      <c r="Y397" s="54" t="s">
        <v>139</v>
      </c>
      <c r="Z397" s="54" t="s">
        <v>2667</v>
      </c>
      <c r="AA397" s="54" t="s">
        <v>139</v>
      </c>
      <c r="AB397" s="55"/>
      <c r="AC397" s="56"/>
      <c r="AD397" s="56"/>
      <c r="AE397" s="57"/>
      <c r="AF397" s="56"/>
      <c r="AG397" s="56"/>
      <c r="AH397" s="56"/>
      <c r="AI397" s="3" t="s">
        <v>1583</v>
      </c>
    </row>
    <row r="398" spans="1:35" ht="40.5">
      <c r="A398" s="144">
        <f t="shared" si="6"/>
        <v>396</v>
      </c>
      <c r="B398" s="148"/>
      <c r="C398" s="148"/>
      <c r="D398" s="148"/>
      <c r="E398" s="148"/>
      <c r="F398" s="148"/>
      <c r="G398" s="148"/>
      <c r="H398" s="148"/>
      <c r="I398" s="148"/>
      <c r="J398" s="98" t="s">
        <v>2102</v>
      </c>
      <c r="K398" s="51" t="str">
        <f>_xlfn.XLOOKUP(L398,'99_マスタ'!$D$5:$D$18,'99_マスタ'!$C$5:$C$18,"")</f>
        <v>02_生販在</v>
      </c>
      <c r="L398" s="52" t="s">
        <v>2305</v>
      </c>
      <c r="M398" s="52" t="s">
        <v>2434</v>
      </c>
      <c r="N398" s="54" t="s">
        <v>1637</v>
      </c>
      <c r="O398" s="41" t="s">
        <v>2567</v>
      </c>
      <c r="P398" s="41" t="s">
        <v>2568</v>
      </c>
      <c r="Q398" s="41"/>
      <c r="R398" s="41" t="s">
        <v>139</v>
      </c>
      <c r="S398" s="41" t="s">
        <v>139</v>
      </c>
      <c r="T398" s="41" t="s">
        <v>139</v>
      </c>
      <c r="U398" s="41" t="s">
        <v>2670</v>
      </c>
      <c r="V398" s="41" t="s">
        <v>139</v>
      </c>
      <c r="W398" s="73" t="s">
        <v>139</v>
      </c>
      <c r="X398" s="54" t="s">
        <v>139</v>
      </c>
      <c r="Y398" s="54" t="s">
        <v>139</v>
      </c>
      <c r="Z398" s="54" t="s">
        <v>2667</v>
      </c>
      <c r="AA398" s="54" t="s">
        <v>139</v>
      </c>
      <c r="AB398" s="55"/>
      <c r="AC398" s="56"/>
      <c r="AD398" s="56"/>
      <c r="AE398" s="57"/>
      <c r="AF398" s="56"/>
      <c r="AG398" s="56"/>
      <c r="AH398" s="56"/>
      <c r="AI398" s="3" t="s">
        <v>1583</v>
      </c>
    </row>
    <row r="399" spans="1:35" ht="40.5">
      <c r="A399" s="144">
        <f t="shared" si="6"/>
        <v>397</v>
      </c>
      <c r="B399" s="148"/>
      <c r="C399" s="148"/>
      <c r="D399" s="148"/>
      <c r="E399" s="148"/>
      <c r="F399" s="148"/>
      <c r="G399" s="148"/>
      <c r="H399" s="148"/>
      <c r="I399" s="148"/>
      <c r="J399" s="98" t="s">
        <v>2102</v>
      </c>
      <c r="K399" s="51" t="str">
        <f>_xlfn.XLOOKUP(L399,'99_マスタ'!$D$5:$D$18,'99_マスタ'!$C$5:$C$18,"")</f>
        <v>02_生販在</v>
      </c>
      <c r="L399" s="52" t="s">
        <v>2305</v>
      </c>
      <c r="M399" s="52" t="s">
        <v>2473</v>
      </c>
      <c r="N399" s="54" t="s">
        <v>1637</v>
      </c>
      <c r="O399" s="41" t="s">
        <v>3152</v>
      </c>
      <c r="P399" s="41" t="s">
        <v>2569</v>
      </c>
      <c r="Q399" s="41"/>
      <c r="R399" s="41" t="s">
        <v>139</v>
      </c>
      <c r="S399" s="41" t="s">
        <v>139</v>
      </c>
      <c r="T399" s="41" t="s">
        <v>139</v>
      </c>
      <c r="U399" s="41" t="s">
        <v>2670</v>
      </c>
      <c r="V399" s="41" t="s">
        <v>139</v>
      </c>
      <c r="W399" s="73" t="s">
        <v>139</v>
      </c>
      <c r="X399" s="54" t="s">
        <v>139</v>
      </c>
      <c r="Y399" s="54" t="s">
        <v>139</v>
      </c>
      <c r="Z399" s="54" t="s">
        <v>2667</v>
      </c>
      <c r="AA399" s="54" t="s">
        <v>139</v>
      </c>
      <c r="AB399" s="55"/>
      <c r="AC399" s="56"/>
      <c r="AD399" s="56"/>
      <c r="AE399" s="57"/>
      <c r="AF399" s="56"/>
      <c r="AG399" s="56"/>
      <c r="AH399" s="56"/>
      <c r="AI399" s="3" t="s">
        <v>1583</v>
      </c>
    </row>
    <row r="400" spans="1:35" ht="40.5">
      <c r="A400" s="144">
        <f t="shared" si="6"/>
        <v>398</v>
      </c>
      <c r="B400" s="148"/>
      <c r="C400" s="148"/>
      <c r="D400" s="148"/>
      <c r="E400" s="148"/>
      <c r="F400" s="148"/>
      <c r="G400" s="148"/>
      <c r="H400" s="148"/>
      <c r="I400" s="148"/>
      <c r="J400" s="98" t="s">
        <v>2102</v>
      </c>
      <c r="K400" s="51" t="str">
        <f>_xlfn.XLOOKUP(L400,'99_マスタ'!$D$5:$D$18,'99_マスタ'!$C$5:$C$18,"")</f>
        <v>02_生販在</v>
      </c>
      <c r="L400" s="52" t="s">
        <v>2305</v>
      </c>
      <c r="M400" s="52" t="s">
        <v>2474</v>
      </c>
      <c r="N400" s="54" t="s">
        <v>1637</v>
      </c>
      <c r="O400" s="41" t="s">
        <v>3153</v>
      </c>
      <c r="P400" s="41" t="s">
        <v>2570</v>
      </c>
      <c r="Q400" s="41"/>
      <c r="R400" s="41" t="s">
        <v>139</v>
      </c>
      <c r="S400" s="41" t="s">
        <v>139</v>
      </c>
      <c r="T400" s="41" t="s">
        <v>139</v>
      </c>
      <c r="U400" s="41" t="s">
        <v>2670</v>
      </c>
      <c r="V400" s="41" t="s">
        <v>139</v>
      </c>
      <c r="W400" s="73" t="s">
        <v>139</v>
      </c>
      <c r="X400" s="54" t="s">
        <v>139</v>
      </c>
      <c r="Y400" s="54" t="s">
        <v>139</v>
      </c>
      <c r="Z400" s="54" t="s">
        <v>2667</v>
      </c>
      <c r="AA400" s="54" t="s">
        <v>139</v>
      </c>
      <c r="AB400" s="55"/>
      <c r="AC400" s="56"/>
      <c r="AD400" s="56"/>
      <c r="AE400" s="57"/>
      <c r="AF400" s="56"/>
      <c r="AG400" s="56"/>
      <c r="AH400" s="56"/>
      <c r="AI400" s="3" t="s">
        <v>1583</v>
      </c>
    </row>
    <row r="401" spans="1:35" ht="40.5">
      <c r="A401" s="144">
        <f t="shared" si="6"/>
        <v>399</v>
      </c>
      <c r="B401" s="148"/>
      <c r="C401" s="148"/>
      <c r="D401" s="148"/>
      <c r="E401" s="148"/>
      <c r="F401" s="148"/>
      <c r="G401" s="148"/>
      <c r="H401" s="148"/>
      <c r="I401" s="148"/>
      <c r="J401" s="98" t="s">
        <v>2102</v>
      </c>
      <c r="K401" s="51" t="str">
        <f>_xlfn.XLOOKUP(L401,'99_マスタ'!$D$5:$D$18,'99_マスタ'!$C$5:$C$18,"")</f>
        <v>02_生販在</v>
      </c>
      <c r="L401" s="52" t="s">
        <v>2305</v>
      </c>
      <c r="M401" s="52" t="s">
        <v>2435</v>
      </c>
      <c r="N401" s="54" t="s">
        <v>1637</v>
      </c>
      <c r="O401" s="41" t="s">
        <v>2571</v>
      </c>
      <c r="P401" s="41" t="s">
        <v>2572</v>
      </c>
      <c r="Q401" s="41"/>
      <c r="R401" s="41" t="s">
        <v>139</v>
      </c>
      <c r="S401" s="41" t="s">
        <v>139</v>
      </c>
      <c r="T401" s="41" t="s">
        <v>139</v>
      </c>
      <c r="U401" s="41" t="s">
        <v>2670</v>
      </c>
      <c r="V401" s="41" t="s">
        <v>139</v>
      </c>
      <c r="W401" s="73" t="s">
        <v>139</v>
      </c>
      <c r="X401" s="54" t="s">
        <v>139</v>
      </c>
      <c r="Y401" s="54" t="s">
        <v>139</v>
      </c>
      <c r="Z401" s="54" t="s">
        <v>2667</v>
      </c>
      <c r="AA401" s="54" t="s">
        <v>139</v>
      </c>
      <c r="AB401" s="55"/>
      <c r="AC401" s="56"/>
      <c r="AD401" s="56"/>
      <c r="AE401" s="57"/>
      <c r="AF401" s="56"/>
      <c r="AG401" s="56"/>
      <c r="AH401" s="56"/>
      <c r="AI401" s="3" t="s">
        <v>1583</v>
      </c>
    </row>
    <row r="402" spans="1:35" ht="54">
      <c r="A402" s="144">
        <f t="shared" si="6"/>
        <v>400</v>
      </c>
      <c r="B402" s="148"/>
      <c r="C402" s="148"/>
      <c r="D402" s="148"/>
      <c r="E402" s="148"/>
      <c r="F402" s="148"/>
      <c r="G402" s="148"/>
      <c r="H402" s="148"/>
      <c r="I402" s="148"/>
      <c r="J402" s="98" t="s">
        <v>2102</v>
      </c>
      <c r="K402" s="51" t="str">
        <f>_xlfn.XLOOKUP(L402,'99_マスタ'!$D$5:$D$18,'99_マスタ'!$C$5:$C$18,"")</f>
        <v>02_生販在</v>
      </c>
      <c r="L402" s="52" t="s">
        <v>2305</v>
      </c>
      <c r="M402" s="52" t="s">
        <v>2475</v>
      </c>
      <c r="N402" s="54" t="s">
        <v>1637</v>
      </c>
      <c r="O402" s="41" t="s">
        <v>3154</v>
      </c>
      <c r="P402" s="41" t="s">
        <v>2573</v>
      </c>
      <c r="Q402" s="41"/>
      <c r="R402" s="41" t="s">
        <v>139</v>
      </c>
      <c r="S402" s="41" t="s">
        <v>139</v>
      </c>
      <c r="T402" s="41" t="s">
        <v>139</v>
      </c>
      <c r="U402" s="41" t="s">
        <v>2670</v>
      </c>
      <c r="V402" s="41" t="s">
        <v>139</v>
      </c>
      <c r="W402" s="73" t="s">
        <v>139</v>
      </c>
      <c r="X402" s="54" t="s">
        <v>139</v>
      </c>
      <c r="Y402" s="54" t="s">
        <v>139</v>
      </c>
      <c r="Z402" s="54" t="s">
        <v>2667</v>
      </c>
      <c r="AA402" s="54" t="s">
        <v>139</v>
      </c>
      <c r="AB402" s="55"/>
      <c r="AC402" s="56"/>
      <c r="AD402" s="56"/>
      <c r="AE402" s="57"/>
      <c r="AF402" s="56"/>
      <c r="AG402" s="56"/>
      <c r="AH402" s="56"/>
      <c r="AI402" s="3" t="s">
        <v>1583</v>
      </c>
    </row>
    <row r="403" spans="1:35" ht="40.5">
      <c r="A403" s="144">
        <f t="shared" si="6"/>
        <v>401</v>
      </c>
      <c r="B403" s="148"/>
      <c r="C403" s="148"/>
      <c r="D403" s="148"/>
      <c r="E403" s="148"/>
      <c r="F403" s="148"/>
      <c r="G403" s="148"/>
      <c r="H403" s="148"/>
      <c r="I403" s="148"/>
      <c r="J403" s="98" t="s">
        <v>2102</v>
      </c>
      <c r="K403" s="51" t="str">
        <f>_xlfn.XLOOKUP(L403,'99_マスタ'!$D$5:$D$18,'99_マスタ'!$C$5:$C$18,"")</f>
        <v>02_生販在</v>
      </c>
      <c r="L403" s="52" t="s">
        <v>2305</v>
      </c>
      <c r="M403" s="110" t="s">
        <v>1257</v>
      </c>
      <c r="N403" s="126" t="s">
        <v>1637</v>
      </c>
      <c r="O403" s="40" t="s">
        <v>1258</v>
      </c>
      <c r="P403" s="40"/>
      <c r="Q403" s="40" t="s">
        <v>139</v>
      </c>
      <c r="R403" s="41" t="s">
        <v>1259</v>
      </c>
      <c r="S403" s="41" t="s">
        <v>1260</v>
      </c>
      <c r="T403" s="41" t="s">
        <v>139</v>
      </c>
      <c r="U403" s="41" t="s">
        <v>139</v>
      </c>
      <c r="V403" s="41" t="s">
        <v>139</v>
      </c>
      <c r="W403" s="74" t="s">
        <v>163</v>
      </c>
      <c r="X403" s="41" t="s">
        <v>1261</v>
      </c>
      <c r="Y403" s="41" t="s">
        <v>139</v>
      </c>
      <c r="Z403" s="41" t="s">
        <v>139</v>
      </c>
      <c r="AA403" s="41" t="s">
        <v>139</v>
      </c>
      <c r="AB403" s="44"/>
      <c r="AC403" s="45"/>
      <c r="AD403" s="45"/>
      <c r="AE403" s="46"/>
      <c r="AF403" s="45"/>
      <c r="AG403" s="45"/>
      <c r="AH403" s="45"/>
      <c r="AI403" s="3" t="s">
        <v>1583</v>
      </c>
    </row>
    <row r="404" spans="1:35" ht="27">
      <c r="A404" s="144">
        <f t="shared" si="6"/>
        <v>402</v>
      </c>
      <c r="B404" s="148"/>
      <c r="C404" s="148"/>
      <c r="D404" s="148"/>
      <c r="E404" s="148"/>
      <c r="F404" s="148"/>
      <c r="G404" s="148"/>
      <c r="H404" s="148"/>
      <c r="I404" s="148"/>
      <c r="J404" s="98" t="s">
        <v>2102</v>
      </c>
      <c r="K404" s="100" t="str">
        <f>_xlfn.XLOOKUP(L404,'99_マスタ'!$D$5:$D$18,'99_マスタ'!$C$5:$C$18,"")</f>
        <v>02_生販在</v>
      </c>
      <c r="L404" s="100" t="s">
        <v>2305</v>
      </c>
      <c r="M404" s="100" t="s">
        <v>2675</v>
      </c>
      <c r="N404" s="126" t="s">
        <v>1637</v>
      </c>
      <c r="O404" s="40" t="s">
        <v>2001</v>
      </c>
      <c r="P404" s="40" t="s">
        <v>2002</v>
      </c>
      <c r="Q404" s="40" t="s">
        <v>1895</v>
      </c>
      <c r="R404" s="41" t="s">
        <v>139</v>
      </c>
      <c r="S404" s="41" t="s">
        <v>139</v>
      </c>
      <c r="T404" s="41" t="s">
        <v>139</v>
      </c>
      <c r="U404" s="41" t="s">
        <v>139</v>
      </c>
      <c r="V404" s="41" t="s">
        <v>1165</v>
      </c>
      <c r="W404" s="74" t="s">
        <v>139</v>
      </c>
      <c r="X404" s="41" t="s">
        <v>139</v>
      </c>
      <c r="Y404" s="41" t="s">
        <v>139</v>
      </c>
      <c r="Z404" s="41" t="s">
        <v>139</v>
      </c>
      <c r="AA404" s="41" t="s">
        <v>1166</v>
      </c>
      <c r="AB404" s="44"/>
      <c r="AC404" s="45"/>
      <c r="AD404" s="45"/>
      <c r="AE404" s="46"/>
      <c r="AF404" s="45"/>
      <c r="AG404" s="45"/>
      <c r="AH404" s="45"/>
      <c r="AI404" s="3" t="s">
        <v>1583</v>
      </c>
    </row>
    <row r="405" spans="1:35" ht="40.5">
      <c r="A405" s="144">
        <f t="shared" si="6"/>
        <v>403</v>
      </c>
      <c r="B405" s="148"/>
      <c r="C405" s="148"/>
      <c r="D405" s="148"/>
      <c r="E405" s="148"/>
      <c r="F405" s="148"/>
      <c r="G405" s="148"/>
      <c r="H405" s="148"/>
      <c r="I405" s="148"/>
      <c r="J405" s="98" t="s">
        <v>2102</v>
      </c>
      <c r="K405" s="51" t="str">
        <f>_xlfn.XLOOKUP(L405,'99_マスタ'!$D$5:$D$18,'99_マスタ'!$C$5:$C$18,"")</f>
        <v>02_生販在</v>
      </c>
      <c r="L405" s="52" t="s">
        <v>2305</v>
      </c>
      <c r="M405" s="52" t="s">
        <v>2476</v>
      </c>
      <c r="N405" s="54" t="s">
        <v>1637</v>
      </c>
      <c r="O405" s="41" t="s">
        <v>3155</v>
      </c>
      <c r="P405" s="41" t="s">
        <v>2476</v>
      </c>
      <c r="Q405" s="41"/>
      <c r="R405" s="41" t="s">
        <v>139</v>
      </c>
      <c r="S405" s="41" t="s">
        <v>139</v>
      </c>
      <c r="T405" s="41" t="s">
        <v>139</v>
      </c>
      <c r="U405" s="41" t="s">
        <v>2670</v>
      </c>
      <c r="V405" s="41" t="s">
        <v>139</v>
      </c>
      <c r="W405" s="73" t="s">
        <v>139</v>
      </c>
      <c r="X405" s="54" t="s">
        <v>139</v>
      </c>
      <c r="Y405" s="54" t="s">
        <v>139</v>
      </c>
      <c r="Z405" s="54" t="s">
        <v>2667</v>
      </c>
      <c r="AA405" s="54" t="s">
        <v>139</v>
      </c>
      <c r="AB405" s="55"/>
      <c r="AC405" s="56"/>
      <c r="AD405" s="56"/>
      <c r="AE405" s="57"/>
      <c r="AF405" s="56"/>
      <c r="AG405" s="56"/>
      <c r="AH405" s="56"/>
      <c r="AI405" s="3" t="s">
        <v>1583</v>
      </c>
    </row>
    <row r="406" spans="1:35" ht="40.5">
      <c r="A406" s="144">
        <f t="shared" si="6"/>
        <v>404</v>
      </c>
      <c r="B406" s="148"/>
      <c r="C406" s="148"/>
      <c r="D406" s="148"/>
      <c r="E406" s="148"/>
      <c r="F406" s="148"/>
      <c r="G406" s="148"/>
      <c r="H406" s="148"/>
      <c r="I406" s="148"/>
      <c r="J406" s="98" t="s">
        <v>2102</v>
      </c>
      <c r="K406" s="51" t="str">
        <f>_xlfn.XLOOKUP(L406,'99_マスタ'!$D$5:$D$18,'99_マスタ'!$C$5:$C$18,"")</f>
        <v>02_生販在</v>
      </c>
      <c r="L406" s="52" t="s">
        <v>2305</v>
      </c>
      <c r="M406" s="52" t="s">
        <v>2398</v>
      </c>
      <c r="N406" s="54" t="s">
        <v>1637</v>
      </c>
      <c r="O406" s="41" t="s">
        <v>2442</v>
      </c>
      <c r="P406" s="41" t="s">
        <v>2443</v>
      </c>
      <c r="Q406" s="41"/>
      <c r="R406" s="41" t="s">
        <v>139</v>
      </c>
      <c r="S406" s="41" t="s">
        <v>139</v>
      </c>
      <c r="T406" s="41" t="s">
        <v>139</v>
      </c>
      <c r="U406" s="41" t="s">
        <v>2670</v>
      </c>
      <c r="V406" s="41" t="s">
        <v>139</v>
      </c>
      <c r="W406" s="73" t="s">
        <v>139</v>
      </c>
      <c r="X406" s="54" t="s">
        <v>139</v>
      </c>
      <c r="Y406" s="54" t="s">
        <v>139</v>
      </c>
      <c r="Z406" s="54" t="s">
        <v>2667</v>
      </c>
      <c r="AA406" s="54" t="s">
        <v>139</v>
      </c>
      <c r="AB406" s="55"/>
      <c r="AC406" s="56"/>
      <c r="AD406" s="56"/>
      <c r="AE406" s="57"/>
      <c r="AF406" s="56"/>
      <c r="AG406" s="56"/>
      <c r="AH406" s="56"/>
      <c r="AI406" s="3" t="s">
        <v>1583</v>
      </c>
    </row>
    <row r="407" spans="1:35" ht="40.5">
      <c r="A407" s="144">
        <f t="shared" si="6"/>
        <v>405</v>
      </c>
      <c r="B407" s="148"/>
      <c r="C407" s="148"/>
      <c r="D407" s="148"/>
      <c r="E407" s="148"/>
      <c r="F407" s="148"/>
      <c r="G407" s="148"/>
      <c r="H407" s="148"/>
      <c r="I407" s="148"/>
      <c r="J407" s="98" t="s">
        <v>2102</v>
      </c>
      <c r="K407" s="51" t="str">
        <f>_xlfn.XLOOKUP(L407,'99_マスタ'!$D$5:$D$18,'99_マスタ'!$C$5:$C$18,"")</f>
        <v>02_生販在</v>
      </c>
      <c r="L407" s="52" t="s">
        <v>2305</v>
      </c>
      <c r="M407" s="52" t="s">
        <v>2423</v>
      </c>
      <c r="N407" s="54" t="s">
        <v>1637</v>
      </c>
      <c r="O407" s="41" t="s">
        <v>3156</v>
      </c>
      <c r="P407" s="41" t="s">
        <v>2574</v>
      </c>
      <c r="Q407" s="41" t="s">
        <v>1645</v>
      </c>
      <c r="R407" s="41" t="s">
        <v>139</v>
      </c>
      <c r="S407" s="41" t="s">
        <v>139</v>
      </c>
      <c r="T407" s="41" t="s">
        <v>139</v>
      </c>
      <c r="U407" s="41" t="s">
        <v>2670</v>
      </c>
      <c r="V407" s="41" t="s">
        <v>139</v>
      </c>
      <c r="W407" s="73" t="s">
        <v>139</v>
      </c>
      <c r="X407" s="54" t="s">
        <v>139</v>
      </c>
      <c r="Y407" s="54" t="s">
        <v>139</v>
      </c>
      <c r="Z407" s="54" t="s">
        <v>2667</v>
      </c>
      <c r="AA407" s="54" t="s">
        <v>139</v>
      </c>
      <c r="AB407" s="55"/>
      <c r="AC407" s="56"/>
      <c r="AD407" s="56"/>
      <c r="AE407" s="57"/>
      <c r="AF407" s="56"/>
      <c r="AG407" s="56"/>
      <c r="AH407" s="56"/>
      <c r="AI407" s="3" t="s">
        <v>1583</v>
      </c>
    </row>
    <row r="408" spans="1:35" ht="40.5">
      <c r="A408" s="144">
        <f t="shared" si="6"/>
        <v>406</v>
      </c>
      <c r="B408" s="148"/>
      <c r="C408" s="148"/>
      <c r="D408" s="148"/>
      <c r="E408" s="148"/>
      <c r="F408" s="148"/>
      <c r="G408" s="148"/>
      <c r="H408" s="148"/>
      <c r="I408" s="148"/>
      <c r="J408" s="98" t="s">
        <v>2102</v>
      </c>
      <c r="K408" s="51" t="str">
        <f>_xlfn.XLOOKUP(L408,'99_マスタ'!$D$5:$D$18,'99_マスタ'!$C$5:$C$18,"")</f>
        <v>02_生販在</v>
      </c>
      <c r="L408" s="52" t="s">
        <v>2305</v>
      </c>
      <c r="M408" s="52" t="s">
        <v>2477</v>
      </c>
      <c r="N408" s="54" t="s">
        <v>1637</v>
      </c>
      <c r="O408" s="41" t="s">
        <v>3157</v>
      </c>
      <c r="P408" s="41" t="s">
        <v>2575</v>
      </c>
      <c r="Q408" s="41" t="s">
        <v>1645</v>
      </c>
      <c r="R408" s="41" t="s">
        <v>139</v>
      </c>
      <c r="S408" s="41" t="s">
        <v>139</v>
      </c>
      <c r="T408" s="41" t="s">
        <v>139</v>
      </c>
      <c r="U408" s="41" t="s">
        <v>2670</v>
      </c>
      <c r="V408" s="41" t="s">
        <v>139</v>
      </c>
      <c r="W408" s="73" t="s">
        <v>139</v>
      </c>
      <c r="X408" s="54" t="s">
        <v>139</v>
      </c>
      <c r="Y408" s="54" t="s">
        <v>139</v>
      </c>
      <c r="Z408" s="54" t="s">
        <v>2667</v>
      </c>
      <c r="AA408" s="54" t="s">
        <v>139</v>
      </c>
      <c r="AB408" s="55"/>
      <c r="AC408" s="56"/>
      <c r="AD408" s="56"/>
      <c r="AE408" s="57"/>
      <c r="AF408" s="56"/>
      <c r="AG408" s="56"/>
      <c r="AH408" s="56"/>
      <c r="AI408" s="3" t="s">
        <v>1583</v>
      </c>
    </row>
    <row r="409" spans="1:35" ht="40.5">
      <c r="A409" s="144">
        <f t="shared" si="6"/>
        <v>407</v>
      </c>
      <c r="B409" s="148"/>
      <c r="C409" s="148"/>
      <c r="D409" s="148"/>
      <c r="E409" s="148"/>
      <c r="F409" s="148"/>
      <c r="G409" s="148"/>
      <c r="H409" s="148"/>
      <c r="I409" s="148"/>
      <c r="J409" s="98" t="s">
        <v>2102</v>
      </c>
      <c r="K409" s="51" t="str">
        <f>_xlfn.XLOOKUP(L409,'99_マスタ'!$D$5:$D$18,'99_マスタ'!$C$5:$C$18,"")</f>
        <v>02_生販在</v>
      </c>
      <c r="L409" s="52" t="s">
        <v>2305</v>
      </c>
      <c r="M409" s="52" t="s">
        <v>2478</v>
      </c>
      <c r="N409" s="54" t="s">
        <v>1637</v>
      </c>
      <c r="O409" s="41" t="s">
        <v>3158</v>
      </c>
      <c r="P409" s="41" t="s">
        <v>2576</v>
      </c>
      <c r="Q409" s="41" t="s">
        <v>1645</v>
      </c>
      <c r="R409" s="41" t="s">
        <v>139</v>
      </c>
      <c r="S409" s="41" t="s">
        <v>139</v>
      </c>
      <c r="T409" s="41" t="s">
        <v>139</v>
      </c>
      <c r="U409" s="41" t="s">
        <v>2670</v>
      </c>
      <c r="V409" s="41" t="s">
        <v>139</v>
      </c>
      <c r="W409" s="73" t="s">
        <v>139</v>
      </c>
      <c r="X409" s="54" t="s">
        <v>139</v>
      </c>
      <c r="Y409" s="54" t="s">
        <v>139</v>
      </c>
      <c r="Z409" s="54" t="s">
        <v>2667</v>
      </c>
      <c r="AA409" s="54" t="s">
        <v>139</v>
      </c>
      <c r="AB409" s="55"/>
      <c r="AC409" s="56"/>
      <c r="AD409" s="56"/>
      <c r="AE409" s="57"/>
      <c r="AF409" s="56"/>
      <c r="AG409" s="56"/>
      <c r="AH409" s="56"/>
      <c r="AI409" s="3" t="s">
        <v>1583</v>
      </c>
    </row>
    <row r="410" spans="1:35" ht="40.5">
      <c r="A410" s="144">
        <f t="shared" si="6"/>
        <v>408</v>
      </c>
      <c r="B410" s="148"/>
      <c r="C410" s="148"/>
      <c r="D410" s="148"/>
      <c r="E410" s="148"/>
      <c r="F410" s="148"/>
      <c r="G410" s="148"/>
      <c r="H410" s="148"/>
      <c r="I410" s="148"/>
      <c r="J410" s="98" t="s">
        <v>2102</v>
      </c>
      <c r="K410" s="51" t="str">
        <f>_xlfn.XLOOKUP(L410,'99_マスタ'!$D$5:$D$18,'99_マスタ'!$C$5:$C$18,"")</f>
        <v>02_生販在</v>
      </c>
      <c r="L410" s="52" t="s">
        <v>2305</v>
      </c>
      <c r="M410" s="52" t="s">
        <v>2479</v>
      </c>
      <c r="N410" s="54" t="s">
        <v>1637</v>
      </c>
      <c r="O410" s="41" t="s">
        <v>3159</v>
      </c>
      <c r="P410" s="41" t="s">
        <v>2577</v>
      </c>
      <c r="Q410" s="41" t="s">
        <v>1645</v>
      </c>
      <c r="R410" s="41" t="s">
        <v>139</v>
      </c>
      <c r="S410" s="41" t="s">
        <v>139</v>
      </c>
      <c r="T410" s="41" t="s">
        <v>139</v>
      </c>
      <c r="U410" s="41" t="s">
        <v>2670</v>
      </c>
      <c r="V410" s="41" t="s">
        <v>139</v>
      </c>
      <c r="W410" s="73" t="s">
        <v>139</v>
      </c>
      <c r="X410" s="54" t="s">
        <v>139</v>
      </c>
      <c r="Y410" s="54" t="s">
        <v>139</v>
      </c>
      <c r="Z410" s="54" t="s">
        <v>2667</v>
      </c>
      <c r="AA410" s="54" t="s">
        <v>139</v>
      </c>
      <c r="AB410" s="55"/>
      <c r="AC410" s="56"/>
      <c r="AD410" s="56"/>
      <c r="AE410" s="57"/>
      <c r="AF410" s="56"/>
      <c r="AG410" s="56"/>
      <c r="AH410" s="56"/>
      <c r="AI410" s="3" t="s">
        <v>1583</v>
      </c>
    </row>
    <row r="411" spans="1:35" ht="40.5">
      <c r="A411" s="144">
        <f t="shared" si="6"/>
        <v>409</v>
      </c>
      <c r="B411" s="148"/>
      <c r="C411" s="148"/>
      <c r="D411" s="148"/>
      <c r="E411" s="148"/>
      <c r="F411" s="148"/>
      <c r="G411" s="148"/>
      <c r="H411" s="148"/>
      <c r="I411" s="148"/>
      <c r="J411" s="98" t="s">
        <v>2102</v>
      </c>
      <c r="K411" s="51" t="str">
        <f>_xlfn.XLOOKUP(L411,'99_マスタ'!$D$5:$D$18,'99_マスタ'!$C$5:$C$18,"")</f>
        <v>02_生販在</v>
      </c>
      <c r="L411" s="52" t="s">
        <v>2305</v>
      </c>
      <c r="M411" s="52" t="s">
        <v>2381</v>
      </c>
      <c r="N411" s="54" t="s">
        <v>1637</v>
      </c>
      <c r="O411" s="41" t="s">
        <v>3160</v>
      </c>
      <c r="P411" s="41" t="s">
        <v>2578</v>
      </c>
      <c r="Q411" s="41" t="s">
        <v>1645</v>
      </c>
      <c r="R411" s="41" t="s">
        <v>139</v>
      </c>
      <c r="S411" s="41" t="s">
        <v>139</v>
      </c>
      <c r="T411" s="41" t="s">
        <v>139</v>
      </c>
      <c r="U411" s="41" t="s">
        <v>2670</v>
      </c>
      <c r="V411" s="41" t="s">
        <v>139</v>
      </c>
      <c r="W411" s="73" t="s">
        <v>139</v>
      </c>
      <c r="X411" s="54" t="s">
        <v>139</v>
      </c>
      <c r="Y411" s="54" t="s">
        <v>139</v>
      </c>
      <c r="Z411" s="54" t="s">
        <v>2667</v>
      </c>
      <c r="AA411" s="54" t="s">
        <v>139</v>
      </c>
      <c r="AB411" s="55"/>
      <c r="AC411" s="56"/>
      <c r="AD411" s="56"/>
      <c r="AE411" s="57"/>
      <c r="AF411" s="56"/>
      <c r="AG411" s="56"/>
      <c r="AH411" s="56"/>
      <c r="AI411" s="3" t="s">
        <v>1583</v>
      </c>
    </row>
    <row r="412" spans="1:35" ht="40.5">
      <c r="A412" s="144">
        <f t="shared" si="6"/>
        <v>410</v>
      </c>
      <c r="B412" s="148"/>
      <c r="C412" s="148"/>
      <c r="D412" s="148"/>
      <c r="E412" s="148"/>
      <c r="F412" s="148"/>
      <c r="G412" s="148"/>
      <c r="H412" s="148"/>
      <c r="I412" s="148"/>
      <c r="J412" s="98" t="s">
        <v>2102</v>
      </c>
      <c r="K412" s="51" t="str">
        <f>_xlfn.XLOOKUP(L412,'99_マスタ'!$D$5:$D$18,'99_マスタ'!$C$5:$C$18,"")</f>
        <v>02_生販在</v>
      </c>
      <c r="L412" s="52" t="s">
        <v>2305</v>
      </c>
      <c r="M412" s="52" t="s">
        <v>2374</v>
      </c>
      <c r="N412" s="54" t="s">
        <v>1637</v>
      </c>
      <c r="O412" s="41" t="s">
        <v>3161</v>
      </c>
      <c r="P412" s="41" t="s">
        <v>2579</v>
      </c>
      <c r="Q412" s="41" t="s">
        <v>1645</v>
      </c>
      <c r="R412" s="41" t="s">
        <v>139</v>
      </c>
      <c r="S412" s="41" t="s">
        <v>139</v>
      </c>
      <c r="T412" s="41" t="s">
        <v>139</v>
      </c>
      <c r="U412" s="41" t="s">
        <v>2670</v>
      </c>
      <c r="V412" s="41" t="s">
        <v>139</v>
      </c>
      <c r="W412" s="73" t="s">
        <v>139</v>
      </c>
      <c r="X412" s="54" t="s">
        <v>139</v>
      </c>
      <c r="Y412" s="54" t="s">
        <v>139</v>
      </c>
      <c r="Z412" s="54" t="s">
        <v>2667</v>
      </c>
      <c r="AA412" s="54" t="s">
        <v>139</v>
      </c>
      <c r="AB412" s="55"/>
      <c r="AC412" s="56"/>
      <c r="AD412" s="56"/>
      <c r="AE412" s="57"/>
      <c r="AF412" s="56"/>
      <c r="AG412" s="56"/>
      <c r="AH412" s="56"/>
      <c r="AI412" s="3" t="s">
        <v>1583</v>
      </c>
    </row>
    <row r="413" spans="1:35" ht="40.5">
      <c r="A413" s="144">
        <f t="shared" si="6"/>
        <v>411</v>
      </c>
      <c r="B413" s="148"/>
      <c r="C413" s="148"/>
      <c r="D413" s="148"/>
      <c r="E413" s="148"/>
      <c r="F413" s="148"/>
      <c r="G413" s="148"/>
      <c r="H413" s="148"/>
      <c r="I413" s="148"/>
      <c r="J413" s="98" t="s">
        <v>2102</v>
      </c>
      <c r="K413" s="51" t="str">
        <f>_xlfn.XLOOKUP(L413,'99_マスタ'!$D$5:$D$18,'99_マスタ'!$C$5:$C$18,"")</f>
        <v>02_生販在</v>
      </c>
      <c r="L413" s="52" t="s">
        <v>2305</v>
      </c>
      <c r="M413" s="52" t="s">
        <v>2396</v>
      </c>
      <c r="N413" s="54" t="s">
        <v>1637</v>
      </c>
      <c r="O413" s="41" t="s">
        <v>3162</v>
      </c>
      <c r="P413" s="41" t="s">
        <v>2580</v>
      </c>
      <c r="Q413" s="41" t="s">
        <v>1645</v>
      </c>
      <c r="R413" s="41" t="s">
        <v>139</v>
      </c>
      <c r="S413" s="41" t="s">
        <v>139</v>
      </c>
      <c r="T413" s="41" t="s">
        <v>139</v>
      </c>
      <c r="U413" s="41" t="s">
        <v>2670</v>
      </c>
      <c r="V413" s="41" t="s">
        <v>139</v>
      </c>
      <c r="W413" s="73" t="s">
        <v>139</v>
      </c>
      <c r="X413" s="54" t="s">
        <v>139</v>
      </c>
      <c r="Y413" s="54" t="s">
        <v>139</v>
      </c>
      <c r="Z413" s="54" t="s">
        <v>2667</v>
      </c>
      <c r="AA413" s="54" t="s">
        <v>139</v>
      </c>
      <c r="AB413" s="55"/>
      <c r="AC413" s="56"/>
      <c r="AD413" s="56"/>
      <c r="AE413" s="57"/>
      <c r="AF413" s="56"/>
      <c r="AG413" s="56"/>
      <c r="AH413" s="56"/>
      <c r="AI413" s="3" t="s">
        <v>1583</v>
      </c>
    </row>
    <row r="414" spans="1:35" ht="40.5">
      <c r="A414" s="144">
        <f t="shared" si="6"/>
        <v>412</v>
      </c>
      <c r="B414" s="148"/>
      <c r="C414" s="148"/>
      <c r="D414" s="148"/>
      <c r="E414" s="148"/>
      <c r="F414" s="148"/>
      <c r="G414" s="148"/>
      <c r="H414" s="148"/>
      <c r="I414" s="148"/>
      <c r="J414" s="98" t="s">
        <v>2102</v>
      </c>
      <c r="K414" s="51" t="str">
        <f>_xlfn.XLOOKUP(L414,'99_マスタ'!$D$5:$D$18,'99_マスタ'!$C$5:$C$18,"")</f>
        <v>02_生販在</v>
      </c>
      <c r="L414" s="52" t="s">
        <v>2305</v>
      </c>
      <c r="M414" s="52" t="s">
        <v>2377</v>
      </c>
      <c r="N414" s="54" t="s">
        <v>1637</v>
      </c>
      <c r="O414" s="41" t="s">
        <v>3163</v>
      </c>
      <c r="P414" s="41" t="s">
        <v>2581</v>
      </c>
      <c r="Q414" s="41" t="s">
        <v>1645</v>
      </c>
      <c r="R414" s="41" t="s">
        <v>139</v>
      </c>
      <c r="S414" s="41" t="s">
        <v>139</v>
      </c>
      <c r="T414" s="41" t="s">
        <v>139</v>
      </c>
      <c r="U414" s="41" t="s">
        <v>2670</v>
      </c>
      <c r="V414" s="41" t="s">
        <v>139</v>
      </c>
      <c r="W414" s="73" t="s">
        <v>139</v>
      </c>
      <c r="X414" s="54" t="s">
        <v>139</v>
      </c>
      <c r="Y414" s="54" t="s">
        <v>139</v>
      </c>
      <c r="Z414" s="54" t="s">
        <v>2667</v>
      </c>
      <c r="AA414" s="54" t="s">
        <v>139</v>
      </c>
      <c r="AB414" s="55"/>
      <c r="AC414" s="56"/>
      <c r="AD414" s="56"/>
      <c r="AE414" s="57"/>
      <c r="AF414" s="56"/>
      <c r="AG414" s="56"/>
      <c r="AH414" s="56"/>
      <c r="AI414" s="3" t="s">
        <v>1583</v>
      </c>
    </row>
    <row r="415" spans="1:35" ht="40.5">
      <c r="A415" s="144">
        <f t="shared" si="6"/>
        <v>413</v>
      </c>
      <c r="B415" s="148"/>
      <c r="C415" s="148"/>
      <c r="D415" s="148"/>
      <c r="E415" s="148"/>
      <c r="F415" s="148"/>
      <c r="G415" s="148"/>
      <c r="H415" s="148"/>
      <c r="I415" s="148"/>
      <c r="J415" s="98" t="s">
        <v>2102</v>
      </c>
      <c r="K415" s="51" t="str">
        <f>_xlfn.XLOOKUP(L415,'99_マスタ'!$D$5:$D$18,'99_マスタ'!$C$5:$C$18,"")</f>
        <v>02_生販在</v>
      </c>
      <c r="L415" s="52" t="s">
        <v>2305</v>
      </c>
      <c r="M415" s="52" t="s">
        <v>2373</v>
      </c>
      <c r="N415" s="54" t="s">
        <v>1637</v>
      </c>
      <c r="O415" s="41" t="s">
        <v>3164</v>
      </c>
      <c r="P415" s="41" t="s">
        <v>2437</v>
      </c>
      <c r="Q415" s="76" t="s">
        <v>1645</v>
      </c>
      <c r="R415" s="41" t="s">
        <v>139</v>
      </c>
      <c r="S415" s="41" t="s">
        <v>139</v>
      </c>
      <c r="T415" s="41" t="s">
        <v>139</v>
      </c>
      <c r="U415" s="41" t="s">
        <v>2670</v>
      </c>
      <c r="V415" s="41" t="s">
        <v>139</v>
      </c>
      <c r="W415" s="73" t="s">
        <v>139</v>
      </c>
      <c r="X415" s="54" t="s">
        <v>139</v>
      </c>
      <c r="Y415" s="54" t="s">
        <v>139</v>
      </c>
      <c r="Z415" s="54" t="s">
        <v>2667</v>
      </c>
      <c r="AA415" s="54" t="s">
        <v>139</v>
      </c>
      <c r="AB415" s="55"/>
      <c r="AC415" s="56"/>
      <c r="AD415" s="56"/>
      <c r="AE415" s="57"/>
      <c r="AF415" s="56"/>
      <c r="AG415" s="56"/>
      <c r="AH415" s="56"/>
      <c r="AI415" s="3" t="s">
        <v>1583</v>
      </c>
    </row>
    <row r="416" spans="1:35" ht="40.5">
      <c r="A416" s="144">
        <f t="shared" si="6"/>
        <v>414</v>
      </c>
      <c r="B416" s="148"/>
      <c r="C416" s="148"/>
      <c r="D416" s="148"/>
      <c r="E416" s="148"/>
      <c r="F416" s="148"/>
      <c r="G416" s="148"/>
      <c r="H416" s="148"/>
      <c r="I416" s="148"/>
      <c r="J416" s="98" t="s">
        <v>2102</v>
      </c>
      <c r="K416" s="51" t="str">
        <f>_xlfn.XLOOKUP(L416,'99_マスタ'!$D$5:$D$18,'99_マスタ'!$C$5:$C$18,"")</f>
        <v>02_生販在</v>
      </c>
      <c r="L416" s="52" t="s">
        <v>2305</v>
      </c>
      <c r="M416" s="52" t="s">
        <v>2394</v>
      </c>
      <c r="N416" s="54" t="s">
        <v>1637</v>
      </c>
      <c r="O416" s="41" t="s">
        <v>3165</v>
      </c>
      <c r="P416" s="41" t="s">
        <v>2582</v>
      </c>
      <c r="Q416" s="41" t="s">
        <v>1645</v>
      </c>
      <c r="R416" s="41" t="s">
        <v>139</v>
      </c>
      <c r="S416" s="41" t="s">
        <v>139</v>
      </c>
      <c r="T416" s="41" t="s">
        <v>139</v>
      </c>
      <c r="U416" s="41" t="s">
        <v>2670</v>
      </c>
      <c r="V416" s="41" t="s">
        <v>139</v>
      </c>
      <c r="W416" s="73" t="s">
        <v>139</v>
      </c>
      <c r="X416" s="54" t="s">
        <v>139</v>
      </c>
      <c r="Y416" s="54" t="s">
        <v>139</v>
      </c>
      <c r="Z416" s="54" t="s">
        <v>2667</v>
      </c>
      <c r="AA416" s="54" t="s">
        <v>139</v>
      </c>
      <c r="AB416" s="55"/>
      <c r="AC416" s="56"/>
      <c r="AD416" s="56"/>
      <c r="AE416" s="57"/>
      <c r="AF416" s="56"/>
      <c r="AG416" s="56"/>
      <c r="AH416" s="56"/>
      <c r="AI416" s="3" t="s">
        <v>1583</v>
      </c>
    </row>
    <row r="417" spans="1:35" ht="40.5">
      <c r="A417" s="144">
        <f t="shared" si="6"/>
        <v>415</v>
      </c>
      <c r="B417" s="148"/>
      <c r="C417" s="148"/>
      <c r="D417" s="148"/>
      <c r="E417" s="148"/>
      <c r="F417" s="148"/>
      <c r="G417" s="148"/>
      <c r="H417" s="148"/>
      <c r="I417" s="148"/>
      <c r="J417" s="98" t="s">
        <v>2102</v>
      </c>
      <c r="K417" s="51" t="str">
        <f>_xlfn.XLOOKUP(L417,'99_マスタ'!$D$5:$D$18,'99_マスタ'!$C$5:$C$18,"")</f>
        <v>02_生販在</v>
      </c>
      <c r="L417" s="52" t="s">
        <v>2305</v>
      </c>
      <c r="M417" s="52" t="s">
        <v>2480</v>
      </c>
      <c r="N417" s="54" t="s">
        <v>1637</v>
      </c>
      <c r="O417" s="41" t="s">
        <v>3166</v>
      </c>
      <c r="P417" s="41" t="s">
        <v>2583</v>
      </c>
      <c r="Q417" s="41" t="s">
        <v>1645</v>
      </c>
      <c r="R417" s="41" t="s">
        <v>139</v>
      </c>
      <c r="S417" s="41" t="s">
        <v>139</v>
      </c>
      <c r="T417" s="41" t="s">
        <v>139</v>
      </c>
      <c r="U417" s="41" t="s">
        <v>2670</v>
      </c>
      <c r="V417" s="41" t="s">
        <v>139</v>
      </c>
      <c r="W417" s="73" t="s">
        <v>139</v>
      </c>
      <c r="X417" s="54" t="s">
        <v>139</v>
      </c>
      <c r="Y417" s="54" t="s">
        <v>139</v>
      </c>
      <c r="Z417" s="54" t="s">
        <v>2667</v>
      </c>
      <c r="AA417" s="54" t="s">
        <v>139</v>
      </c>
      <c r="AB417" s="55"/>
      <c r="AC417" s="56"/>
      <c r="AD417" s="56"/>
      <c r="AE417" s="57"/>
      <c r="AF417" s="56"/>
      <c r="AG417" s="56"/>
      <c r="AH417" s="56"/>
      <c r="AI417" s="3" t="s">
        <v>1583</v>
      </c>
    </row>
    <row r="418" spans="1:35" ht="40.5">
      <c r="A418" s="144">
        <f t="shared" si="6"/>
        <v>416</v>
      </c>
      <c r="B418" s="148"/>
      <c r="C418" s="148"/>
      <c r="D418" s="148"/>
      <c r="E418" s="148"/>
      <c r="F418" s="148"/>
      <c r="G418" s="148"/>
      <c r="H418" s="148"/>
      <c r="I418" s="148"/>
      <c r="J418" s="98" t="s">
        <v>2102</v>
      </c>
      <c r="K418" s="51" t="str">
        <f>_xlfn.XLOOKUP(L418,'99_マスタ'!$D$5:$D$18,'99_マスタ'!$C$5:$C$18,"")</f>
        <v>02_生販在</v>
      </c>
      <c r="L418" s="52" t="s">
        <v>2305</v>
      </c>
      <c r="M418" s="52" t="s">
        <v>2481</v>
      </c>
      <c r="N418" s="54" t="s">
        <v>1637</v>
      </c>
      <c r="O418" s="41" t="s">
        <v>3167</v>
      </c>
      <c r="P418" s="41" t="s">
        <v>2481</v>
      </c>
      <c r="Q418" s="41" t="s">
        <v>1645</v>
      </c>
      <c r="R418" s="41" t="s">
        <v>139</v>
      </c>
      <c r="S418" s="41" t="s">
        <v>139</v>
      </c>
      <c r="T418" s="41" t="s">
        <v>139</v>
      </c>
      <c r="U418" s="41" t="s">
        <v>2670</v>
      </c>
      <c r="V418" s="41" t="s">
        <v>139</v>
      </c>
      <c r="W418" s="73" t="s">
        <v>139</v>
      </c>
      <c r="X418" s="54" t="s">
        <v>139</v>
      </c>
      <c r="Y418" s="54" t="s">
        <v>139</v>
      </c>
      <c r="Z418" s="54" t="s">
        <v>2667</v>
      </c>
      <c r="AA418" s="54" t="s">
        <v>139</v>
      </c>
      <c r="AB418" s="55"/>
      <c r="AC418" s="56"/>
      <c r="AD418" s="56"/>
      <c r="AE418" s="57"/>
      <c r="AF418" s="56"/>
      <c r="AG418" s="56"/>
      <c r="AH418" s="56"/>
      <c r="AI418" s="3" t="s">
        <v>1583</v>
      </c>
    </row>
    <row r="419" spans="1:35" ht="40.5">
      <c r="A419" s="144">
        <f t="shared" si="6"/>
        <v>417</v>
      </c>
      <c r="B419" s="148"/>
      <c r="C419" s="148"/>
      <c r="D419" s="148"/>
      <c r="E419" s="148"/>
      <c r="F419" s="148"/>
      <c r="G419" s="148"/>
      <c r="H419" s="148"/>
      <c r="I419" s="148"/>
      <c r="J419" s="98" t="s">
        <v>2102</v>
      </c>
      <c r="K419" s="51" t="str">
        <f>_xlfn.XLOOKUP(L419,'99_マスタ'!$D$5:$D$18,'99_マスタ'!$C$5:$C$18,"")</f>
        <v>02_生販在</v>
      </c>
      <c r="L419" s="52" t="s">
        <v>2305</v>
      </c>
      <c r="M419" s="52" t="s">
        <v>2482</v>
      </c>
      <c r="N419" s="54" t="s">
        <v>1637</v>
      </c>
      <c r="O419" s="41" t="s">
        <v>3168</v>
      </c>
      <c r="P419" s="41" t="s">
        <v>2584</v>
      </c>
      <c r="Q419" s="41" t="s">
        <v>1645</v>
      </c>
      <c r="R419" s="41" t="s">
        <v>139</v>
      </c>
      <c r="S419" s="41" t="s">
        <v>139</v>
      </c>
      <c r="T419" s="41" t="s">
        <v>139</v>
      </c>
      <c r="U419" s="41" t="s">
        <v>2670</v>
      </c>
      <c r="V419" s="41" t="s">
        <v>139</v>
      </c>
      <c r="W419" s="73" t="s">
        <v>139</v>
      </c>
      <c r="X419" s="54" t="s">
        <v>139</v>
      </c>
      <c r="Y419" s="54" t="s">
        <v>139</v>
      </c>
      <c r="Z419" s="54" t="s">
        <v>2667</v>
      </c>
      <c r="AA419" s="54" t="s">
        <v>139</v>
      </c>
      <c r="AB419" s="55"/>
      <c r="AC419" s="56"/>
      <c r="AD419" s="56"/>
      <c r="AE419" s="57"/>
      <c r="AF419" s="56"/>
      <c r="AG419" s="56"/>
      <c r="AH419" s="56"/>
      <c r="AI419" s="3" t="s">
        <v>1583</v>
      </c>
    </row>
    <row r="420" spans="1:35" ht="40.5">
      <c r="A420" s="144">
        <f t="shared" si="6"/>
        <v>418</v>
      </c>
      <c r="B420" s="148"/>
      <c r="C420" s="148"/>
      <c r="D420" s="148"/>
      <c r="E420" s="148"/>
      <c r="F420" s="148"/>
      <c r="G420" s="148"/>
      <c r="H420" s="148"/>
      <c r="I420" s="148"/>
      <c r="J420" s="98" t="s">
        <v>2102</v>
      </c>
      <c r="K420" s="51" t="str">
        <f>_xlfn.XLOOKUP(L420,'99_マスタ'!$D$5:$D$18,'99_マスタ'!$C$5:$C$18,"")</f>
        <v>02_生販在</v>
      </c>
      <c r="L420" s="52" t="s">
        <v>2305</v>
      </c>
      <c r="M420" s="52" t="s">
        <v>2410</v>
      </c>
      <c r="N420" s="54" t="s">
        <v>1637</v>
      </c>
      <c r="O420" s="41" t="s">
        <v>3169</v>
      </c>
      <c r="P420" s="41" t="s">
        <v>2585</v>
      </c>
      <c r="Q420" s="41" t="s">
        <v>1645</v>
      </c>
      <c r="R420" s="41" t="s">
        <v>139</v>
      </c>
      <c r="S420" s="41" t="s">
        <v>139</v>
      </c>
      <c r="T420" s="41" t="s">
        <v>139</v>
      </c>
      <c r="U420" s="41" t="s">
        <v>2670</v>
      </c>
      <c r="V420" s="41" t="s">
        <v>139</v>
      </c>
      <c r="W420" s="73" t="s">
        <v>139</v>
      </c>
      <c r="X420" s="54" t="s">
        <v>139</v>
      </c>
      <c r="Y420" s="54" t="s">
        <v>139</v>
      </c>
      <c r="Z420" s="54" t="s">
        <v>2667</v>
      </c>
      <c r="AA420" s="54" t="s">
        <v>139</v>
      </c>
      <c r="AB420" s="55"/>
      <c r="AC420" s="56"/>
      <c r="AD420" s="56"/>
      <c r="AE420" s="57"/>
      <c r="AF420" s="56"/>
      <c r="AG420" s="56"/>
      <c r="AH420" s="56"/>
      <c r="AI420" s="3" t="s">
        <v>1583</v>
      </c>
    </row>
    <row r="421" spans="1:35" ht="40.5">
      <c r="A421" s="144">
        <f t="shared" si="6"/>
        <v>419</v>
      </c>
      <c r="B421" s="148"/>
      <c r="C421" s="148"/>
      <c r="D421" s="148"/>
      <c r="E421" s="148"/>
      <c r="F421" s="148"/>
      <c r="G421" s="148"/>
      <c r="H421" s="148"/>
      <c r="I421" s="148"/>
      <c r="J421" s="98" t="s">
        <v>2102</v>
      </c>
      <c r="K421" s="51" t="str">
        <f>_xlfn.XLOOKUP(L421,'99_マスタ'!$D$5:$D$18,'99_マスタ'!$C$5:$C$18,"")</f>
        <v>02_生販在</v>
      </c>
      <c r="L421" s="52" t="s">
        <v>2305</v>
      </c>
      <c r="M421" s="52" t="s">
        <v>2375</v>
      </c>
      <c r="N421" s="54" t="s">
        <v>1637</v>
      </c>
      <c r="O421" s="41" t="s">
        <v>3170</v>
      </c>
      <c r="P421" s="41" t="s">
        <v>2586</v>
      </c>
      <c r="Q421" s="41" t="s">
        <v>1645</v>
      </c>
      <c r="R421" s="41" t="s">
        <v>139</v>
      </c>
      <c r="S421" s="41" t="s">
        <v>139</v>
      </c>
      <c r="T421" s="41" t="s">
        <v>139</v>
      </c>
      <c r="U421" s="41" t="s">
        <v>2670</v>
      </c>
      <c r="V421" s="41" t="s">
        <v>139</v>
      </c>
      <c r="W421" s="73" t="s">
        <v>139</v>
      </c>
      <c r="X421" s="54" t="s">
        <v>139</v>
      </c>
      <c r="Y421" s="54" t="s">
        <v>139</v>
      </c>
      <c r="Z421" s="54" t="s">
        <v>2667</v>
      </c>
      <c r="AA421" s="54" t="s">
        <v>139</v>
      </c>
      <c r="AB421" s="55"/>
      <c r="AC421" s="56"/>
      <c r="AD421" s="56"/>
      <c r="AE421" s="57"/>
      <c r="AF421" s="56"/>
      <c r="AG421" s="56"/>
      <c r="AH421" s="56"/>
      <c r="AI421" s="3" t="s">
        <v>1583</v>
      </c>
    </row>
    <row r="422" spans="1:35" ht="40.5">
      <c r="A422" s="144">
        <f t="shared" si="6"/>
        <v>420</v>
      </c>
      <c r="B422" s="148"/>
      <c r="C422" s="148"/>
      <c r="D422" s="148"/>
      <c r="E422" s="148"/>
      <c r="F422" s="148"/>
      <c r="G422" s="148"/>
      <c r="H422" s="148"/>
      <c r="I422" s="148"/>
      <c r="J422" s="98" t="s">
        <v>2102</v>
      </c>
      <c r="K422" s="51" t="str">
        <f>_xlfn.XLOOKUP(L422,'99_マスタ'!$D$5:$D$18,'99_マスタ'!$C$5:$C$18,"")</f>
        <v>02_生販在</v>
      </c>
      <c r="L422" s="52" t="s">
        <v>2305</v>
      </c>
      <c r="M422" s="52" t="s">
        <v>2395</v>
      </c>
      <c r="N422" s="54" t="s">
        <v>1637</v>
      </c>
      <c r="O422" s="41" t="s">
        <v>3171</v>
      </c>
      <c r="P422" s="41" t="s">
        <v>2587</v>
      </c>
      <c r="Q422" s="41" t="s">
        <v>1645</v>
      </c>
      <c r="R422" s="41" t="s">
        <v>139</v>
      </c>
      <c r="S422" s="41" t="s">
        <v>139</v>
      </c>
      <c r="T422" s="41" t="s">
        <v>139</v>
      </c>
      <c r="U422" s="41" t="s">
        <v>2670</v>
      </c>
      <c r="V422" s="41" t="s">
        <v>139</v>
      </c>
      <c r="W422" s="73" t="s">
        <v>139</v>
      </c>
      <c r="X422" s="54" t="s">
        <v>139</v>
      </c>
      <c r="Y422" s="54" t="s">
        <v>139</v>
      </c>
      <c r="Z422" s="54" t="s">
        <v>2667</v>
      </c>
      <c r="AA422" s="54" t="s">
        <v>139</v>
      </c>
      <c r="AB422" s="55"/>
      <c r="AC422" s="56"/>
      <c r="AD422" s="56"/>
      <c r="AE422" s="57"/>
      <c r="AF422" s="56"/>
      <c r="AG422" s="56"/>
      <c r="AH422" s="56"/>
      <c r="AI422" s="3" t="s">
        <v>1583</v>
      </c>
    </row>
    <row r="423" spans="1:35" ht="40.5">
      <c r="A423" s="144">
        <f t="shared" si="6"/>
        <v>421</v>
      </c>
      <c r="B423" s="148"/>
      <c r="C423" s="148"/>
      <c r="D423" s="148"/>
      <c r="E423" s="148"/>
      <c r="F423" s="148"/>
      <c r="G423" s="148"/>
      <c r="H423" s="148"/>
      <c r="I423" s="148"/>
      <c r="J423" s="98" t="s">
        <v>2102</v>
      </c>
      <c r="K423" s="51" t="str">
        <f>_xlfn.XLOOKUP(L423,'99_マスタ'!$D$5:$D$18,'99_マスタ'!$C$5:$C$18,"")</f>
        <v>02_生販在</v>
      </c>
      <c r="L423" s="52" t="s">
        <v>2305</v>
      </c>
      <c r="M423" s="52" t="s">
        <v>2433</v>
      </c>
      <c r="N423" s="54" t="s">
        <v>1637</v>
      </c>
      <c r="O423" s="41" t="s">
        <v>3172</v>
      </c>
      <c r="P423" s="41" t="s">
        <v>2588</v>
      </c>
      <c r="Q423" s="41" t="s">
        <v>1645</v>
      </c>
      <c r="R423" s="41" t="s">
        <v>139</v>
      </c>
      <c r="S423" s="41" t="s">
        <v>139</v>
      </c>
      <c r="T423" s="41" t="s">
        <v>139</v>
      </c>
      <c r="U423" s="41" t="s">
        <v>2670</v>
      </c>
      <c r="V423" s="41" t="s">
        <v>139</v>
      </c>
      <c r="W423" s="73" t="s">
        <v>139</v>
      </c>
      <c r="X423" s="54" t="s">
        <v>139</v>
      </c>
      <c r="Y423" s="54" t="s">
        <v>139</v>
      </c>
      <c r="Z423" s="54" t="s">
        <v>2667</v>
      </c>
      <c r="AA423" s="54" t="s">
        <v>139</v>
      </c>
      <c r="AB423" s="55"/>
      <c r="AC423" s="56"/>
      <c r="AD423" s="56"/>
      <c r="AE423" s="57"/>
      <c r="AF423" s="56"/>
      <c r="AG423" s="56"/>
      <c r="AH423" s="56"/>
      <c r="AI423" s="3" t="s">
        <v>1583</v>
      </c>
    </row>
    <row r="424" spans="1:35" ht="40.5">
      <c r="A424" s="144">
        <f t="shared" si="6"/>
        <v>422</v>
      </c>
      <c r="B424" s="148"/>
      <c r="C424" s="148"/>
      <c r="D424" s="148"/>
      <c r="E424" s="148"/>
      <c r="F424" s="148"/>
      <c r="G424" s="148"/>
      <c r="H424" s="148"/>
      <c r="I424" s="148"/>
      <c r="J424" s="98" t="s">
        <v>2102</v>
      </c>
      <c r="K424" s="51" t="str">
        <f>_xlfn.XLOOKUP(L424,'99_マスタ'!$D$5:$D$18,'99_マスタ'!$C$5:$C$18,"")</f>
        <v>02_生販在</v>
      </c>
      <c r="L424" s="52" t="s">
        <v>2305</v>
      </c>
      <c r="M424" s="52" t="s">
        <v>2378</v>
      </c>
      <c r="N424" s="54" t="s">
        <v>1637</v>
      </c>
      <c r="O424" s="41" t="s">
        <v>3173</v>
      </c>
      <c r="P424" s="41" t="s">
        <v>2589</v>
      </c>
      <c r="Q424" s="41" t="s">
        <v>1645</v>
      </c>
      <c r="R424" s="41" t="s">
        <v>139</v>
      </c>
      <c r="S424" s="41" t="s">
        <v>139</v>
      </c>
      <c r="T424" s="41" t="s">
        <v>139</v>
      </c>
      <c r="U424" s="41" t="s">
        <v>2670</v>
      </c>
      <c r="V424" s="41" t="s">
        <v>139</v>
      </c>
      <c r="W424" s="73" t="s">
        <v>139</v>
      </c>
      <c r="X424" s="54" t="s">
        <v>139</v>
      </c>
      <c r="Y424" s="54" t="s">
        <v>139</v>
      </c>
      <c r="Z424" s="54" t="s">
        <v>2667</v>
      </c>
      <c r="AA424" s="54" t="s">
        <v>139</v>
      </c>
      <c r="AB424" s="55"/>
      <c r="AC424" s="56"/>
      <c r="AD424" s="56"/>
      <c r="AE424" s="57"/>
      <c r="AF424" s="56"/>
      <c r="AG424" s="56"/>
      <c r="AH424" s="56"/>
      <c r="AI424" s="3" t="s">
        <v>1583</v>
      </c>
    </row>
    <row r="425" spans="1:35" ht="40.5">
      <c r="A425" s="144">
        <f t="shared" si="6"/>
        <v>423</v>
      </c>
      <c r="B425" s="148"/>
      <c r="C425" s="148"/>
      <c r="D425" s="148"/>
      <c r="E425" s="148"/>
      <c r="F425" s="148"/>
      <c r="G425" s="148"/>
      <c r="H425" s="148"/>
      <c r="I425" s="148"/>
      <c r="J425" s="98" t="s">
        <v>2102</v>
      </c>
      <c r="K425" s="51" t="str">
        <f>_xlfn.XLOOKUP(L425,'99_マスタ'!$D$5:$D$18,'99_マスタ'!$C$5:$C$18,"")</f>
        <v>02_生販在</v>
      </c>
      <c r="L425" s="52" t="s">
        <v>2305</v>
      </c>
      <c r="M425" s="52" t="s">
        <v>2483</v>
      </c>
      <c r="N425" s="54" t="s">
        <v>1637</v>
      </c>
      <c r="O425" s="41" t="s">
        <v>3174</v>
      </c>
      <c r="P425" s="41" t="s">
        <v>2590</v>
      </c>
      <c r="Q425" s="41"/>
      <c r="R425" s="41" t="s">
        <v>139</v>
      </c>
      <c r="S425" s="41" t="s">
        <v>139</v>
      </c>
      <c r="T425" s="41" t="s">
        <v>139</v>
      </c>
      <c r="U425" s="41" t="s">
        <v>2670</v>
      </c>
      <c r="V425" s="41" t="s">
        <v>139</v>
      </c>
      <c r="W425" s="73" t="s">
        <v>139</v>
      </c>
      <c r="X425" s="54" t="s">
        <v>139</v>
      </c>
      <c r="Y425" s="54" t="s">
        <v>139</v>
      </c>
      <c r="Z425" s="54" t="s">
        <v>2667</v>
      </c>
      <c r="AA425" s="54" t="s">
        <v>139</v>
      </c>
      <c r="AB425" s="55"/>
      <c r="AC425" s="56"/>
      <c r="AD425" s="56"/>
      <c r="AE425" s="57"/>
      <c r="AF425" s="56"/>
      <c r="AG425" s="56"/>
      <c r="AH425" s="56"/>
      <c r="AI425" s="3" t="s">
        <v>1583</v>
      </c>
    </row>
    <row r="426" spans="1:35" ht="40.5">
      <c r="A426" s="144">
        <f t="shared" si="6"/>
        <v>424</v>
      </c>
      <c r="B426" s="148"/>
      <c r="C426" s="148"/>
      <c r="D426" s="148"/>
      <c r="E426" s="148"/>
      <c r="F426" s="148"/>
      <c r="G426" s="148"/>
      <c r="H426" s="148"/>
      <c r="I426" s="148"/>
      <c r="J426" s="98" t="s">
        <v>2102</v>
      </c>
      <c r="K426" s="51" t="str">
        <f>_xlfn.XLOOKUP(L426,'99_マスタ'!$D$5:$D$18,'99_マスタ'!$C$5:$C$18,"")</f>
        <v>02_生販在</v>
      </c>
      <c r="L426" s="52" t="s">
        <v>2305</v>
      </c>
      <c r="M426" s="52" t="s">
        <v>2484</v>
      </c>
      <c r="N426" s="54" t="s">
        <v>1637</v>
      </c>
      <c r="O426" s="41" t="s">
        <v>3175</v>
      </c>
      <c r="P426" s="41" t="s">
        <v>2591</v>
      </c>
      <c r="Q426" s="41"/>
      <c r="R426" s="41" t="s">
        <v>139</v>
      </c>
      <c r="S426" s="41" t="s">
        <v>139</v>
      </c>
      <c r="T426" s="41" t="s">
        <v>139</v>
      </c>
      <c r="U426" s="41" t="s">
        <v>2670</v>
      </c>
      <c r="V426" s="41" t="s">
        <v>139</v>
      </c>
      <c r="W426" s="73" t="s">
        <v>139</v>
      </c>
      <c r="X426" s="54" t="s">
        <v>139</v>
      </c>
      <c r="Y426" s="54" t="s">
        <v>139</v>
      </c>
      <c r="Z426" s="54" t="s">
        <v>2667</v>
      </c>
      <c r="AA426" s="54" t="s">
        <v>139</v>
      </c>
      <c r="AB426" s="55"/>
      <c r="AC426" s="56"/>
      <c r="AD426" s="56"/>
      <c r="AE426" s="57"/>
      <c r="AF426" s="56"/>
      <c r="AG426" s="56"/>
      <c r="AH426" s="56"/>
      <c r="AI426" s="3" t="s">
        <v>1583</v>
      </c>
    </row>
    <row r="427" spans="1:35" ht="40.5">
      <c r="A427" s="144">
        <f t="shared" si="6"/>
        <v>425</v>
      </c>
      <c r="B427" s="148"/>
      <c r="C427" s="148"/>
      <c r="D427" s="148"/>
      <c r="E427" s="148"/>
      <c r="F427" s="148"/>
      <c r="G427" s="148"/>
      <c r="H427" s="148"/>
      <c r="I427" s="148"/>
      <c r="J427" s="98" t="s">
        <v>2102</v>
      </c>
      <c r="K427" s="51" t="str">
        <f>_xlfn.XLOOKUP(L427,'99_マスタ'!$D$5:$D$18,'99_マスタ'!$C$5:$C$18,"")</f>
        <v>02_生販在</v>
      </c>
      <c r="L427" s="52" t="s">
        <v>2305</v>
      </c>
      <c r="M427" s="52" t="s">
        <v>2485</v>
      </c>
      <c r="N427" s="54" t="s">
        <v>1637</v>
      </c>
      <c r="O427" s="41" t="s">
        <v>3176</v>
      </c>
      <c r="P427" s="41" t="s">
        <v>2592</v>
      </c>
      <c r="Q427" s="41"/>
      <c r="R427" s="41" t="s">
        <v>139</v>
      </c>
      <c r="S427" s="41" t="s">
        <v>139</v>
      </c>
      <c r="T427" s="41" t="s">
        <v>139</v>
      </c>
      <c r="U427" s="41" t="s">
        <v>2670</v>
      </c>
      <c r="V427" s="41" t="s">
        <v>139</v>
      </c>
      <c r="W427" s="73" t="s">
        <v>139</v>
      </c>
      <c r="X427" s="54" t="s">
        <v>139</v>
      </c>
      <c r="Y427" s="54" t="s">
        <v>139</v>
      </c>
      <c r="Z427" s="54" t="s">
        <v>2667</v>
      </c>
      <c r="AA427" s="54" t="s">
        <v>139</v>
      </c>
      <c r="AB427" s="55"/>
      <c r="AC427" s="56"/>
      <c r="AD427" s="56"/>
      <c r="AE427" s="57"/>
      <c r="AF427" s="56"/>
      <c r="AG427" s="56"/>
      <c r="AH427" s="56"/>
      <c r="AI427" s="3" t="s">
        <v>1583</v>
      </c>
    </row>
    <row r="428" spans="1:35" ht="40.5">
      <c r="A428" s="144">
        <f t="shared" si="6"/>
        <v>426</v>
      </c>
      <c r="B428" s="148"/>
      <c r="C428" s="148"/>
      <c r="D428" s="148"/>
      <c r="E428" s="148"/>
      <c r="F428" s="148"/>
      <c r="G428" s="148"/>
      <c r="H428" s="148"/>
      <c r="I428" s="148"/>
      <c r="J428" s="98" t="s">
        <v>2102</v>
      </c>
      <c r="K428" s="51" t="str">
        <f>_xlfn.XLOOKUP(L428,'99_マスタ'!$D$5:$D$18,'99_マスタ'!$C$5:$C$18,"")</f>
        <v>02_生販在</v>
      </c>
      <c r="L428" s="52" t="s">
        <v>2305</v>
      </c>
      <c r="M428" s="52" t="s">
        <v>2409</v>
      </c>
      <c r="N428" s="54" t="s">
        <v>1637</v>
      </c>
      <c r="O428" s="41" t="s">
        <v>3177</v>
      </c>
      <c r="P428" s="41" t="s">
        <v>2593</v>
      </c>
      <c r="Q428" s="41"/>
      <c r="R428" s="41" t="s">
        <v>139</v>
      </c>
      <c r="S428" s="41" t="s">
        <v>139</v>
      </c>
      <c r="T428" s="41" t="s">
        <v>139</v>
      </c>
      <c r="U428" s="41" t="s">
        <v>2670</v>
      </c>
      <c r="V428" s="41" t="s">
        <v>139</v>
      </c>
      <c r="W428" s="73" t="s">
        <v>139</v>
      </c>
      <c r="X428" s="54" t="s">
        <v>139</v>
      </c>
      <c r="Y428" s="54" t="s">
        <v>139</v>
      </c>
      <c r="Z428" s="54" t="s">
        <v>2667</v>
      </c>
      <c r="AA428" s="54" t="s">
        <v>139</v>
      </c>
      <c r="AB428" s="55"/>
      <c r="AC428" s="56"/>
      <c r="AD428" s="56"/>
      <c r="AE428" s="57"/>
      <c r="AF428" s="56"/>
      <c r="AG428" s="56"/>
      <c r="AH428" s="56"/>
      <c r="AI428" s="3" t="s">
        <v>1583</v>
      </c>
    </row>
    <row r="429" spans="1:35" ht="40.5">
      <c r="A429" s="144">
        <f t="shared" si="6"/>
        <v>427</v>
      </c>
      <c r="B429" s="148"/>
      <c r="C429" s="148"/>
      <c r="D429" s="148"/>
      <c r="E429" s="148"/>
      <c r="F429" s="148"/>
      <c r="G429" s="148"/>
      <c r="H429" s="148"/>
      <c r="I429" s="148"/>
      <c r="J429" s="98" t="s">
        <v>2102</v>
      </c>
      <c r="K429" s="51" t="str">
        <f>_xlfn.XLOOKUP(L429,'99_マスタ'!$D$5:$D$18,'99_マスタ'!$C$5:$C$18,"")</f>
        <v>02_生販在</v>
      </c>
      <c r="L429" s="52" t="s">
        <v>2305</v>
      </c>
      <c r="M429" s="110" t="s">
        <v>1208</v>
      </c>
      <c r="N429" s="126" t="s">
        <v>1209</v>
      </c>
      <c r="O429" s="40" t="s">
        <v>1210</v>
      </c>
      <c r="P429" s="40"/>
      <c r="Q429" s="40" t="s">
        <v>139</v>
      </c>
      <c r="R429" s="41" t="s">
        <v>1211</v>
      </c>
      <c r="S429" s="41" t="s">
        <v>139</v>
      </c>
      <c r="T429" s="41" t="s">
        <v>139</v>
      </c>
      <c r="U429" s="41" t="s">
        <v>139</v>
      </c>
      <c r="V429" s="41" t="s">
        <v>139</v>
      </c>
      <c r="W429" s="74" t="s">
        <v>163</v>
      </c>
      <c r="X429" s="41" t="s">
        <v>139</v>
      </c>
      <c r="Y429" s="41" t="s">
        <v>139</v>
      </c>
      <c r="Z429" s="41" t="s">
        <v>139</v>
      </c>
      <c r="AA429" s="41" t="s">
        <v>139</v>
      </c>
      <c r="AB429" s="44"/>
      <c r="AC429" s="45"/>
      <c r="AD429" s="45"/>
      <c r="AE429" s="46"/>
      <c r="AF429" s="45"/>
      <c r="AG429" s="45"/>
      <c r="AH429" s="45"/>
      <c r="AI429" s="3" t="s">
        <v>1583</v>
      </c>
    </row>
    <row r="430" spans="1:35" ht="40.5">
      <c r="A430" s="144">
        <f t="shared" si="6"/>
        <v>428</v>
      </c>
      <c r="B430" s="148"/>
      <c r="C430" s="148"/>
      <c r="D430" s="148"/>
      <c r="E430" s="148"/>
      <c r="F430" s="148"/>
      <c r="G430" s="148"/>
      <c r="H430" s="148"/>
      <c r="I430" s="148"/>
      <c r="J430" s="98" t="s">
        <v>2102</v>
      </c>
      <c r="K430" s="51" t="str">
        <f>_xlfn.XLOOKUP(L430,'99_マスタ'!$D$5:$D$18,'99_マスタ'!$C$5:$C$18,"")</f>
        <v>02_生販在</v>
      </c>
      <c r="L430" s="52" t="s">
        <v>2305</v>
      </c>
      <c r="M430" s="52" t="s">
        <v>2432</v>
      </c>
      <c r="N430" s="54" t="s">
        <v>1637</v>
      </c>
      <c r="O430" s="41" t="s">
        <v>3178</v>
      </c>
      <c r="P430" s="41" t="s">
        <v>2594</v>
      </c>
      <c r="Q430" s="41"/>
      <c r="R430" s="41" t="s">
        <v>139</v>
      </c>
      <c r="S430" s="41" t="s">
        <v>139</v>
      </c>
      <c r="T430" s="41" t="s">
        <v>139</v>
      </c>
      <c r="U430" s="41" t="s">
        <v>2670</v>
      </c>
      <c r="V430" s="41" t="s">
        <v>139</v>
      </c>
      <c r="W430" s="73" t="s">
        <v>139</v>
      </c>
      <c r="X430" s="54" t="s">
        <v>139</v>
      </c>
      <c r="Y430" s="54" t="s">
        <v>139</v>
      </c>
      <c r="Z430" s="54" t="s">
        <v>2667</v>
      </c>
      <c r="AA430" s="54" t="s">
        <v>139</v>
      </c>
      <c r="AB430" s="55"/>
      <c r="AC430" s="56"/>
      <c r="AD430" s="56"/>
      <c r="AE430" s="57"/>
      <c r="AF430" s="56"/>
      <c r="AG430" s="56"/>
      <c r="AH430" s="56"/>
      <c r="AI430" s="3" t="s">
        <v>1583</v>
      </c>
    </row>
    <row r="431" spans="1:35" ht="40.5">
      <c r="A431" s="144">
        <f t="shared" si="6"/>
        <v>429</v>
      </c>
      <c r="B431" s="148"/>
      <c r="C431" s="148"/>
      <c r="D431" s="148"/>
      <c r="E431" s="148"/>
      <c r="F431" s="148"/>
      <c r="G431" s="148"/>
      <c r="H431" s="148"/>
      <c r="I431" s="148"/>
      <c r="J431" s="98" t="s">
        <v>2102</v>
      </c>
      <c r="K431" s="51" t="str">
        <f>_xlfn.XLOOKUP(L431,'99_マスタ'!$D$5:$D$18,'99_マスタ'!$C$5:$C$18,"")</f>
        <v>02_生販在</v>
      </c>
      <c r="L431" s="52" t="s">
        <v>2305</v>
      </c>
      <c r="M431" s="52" t="s">
        <v>2486</v>
      </c>
      <c r="N431" s="54" t="s">
        <v>1637</v>
      </c>
      <c r="O431" s="41" t="s">
        <v>3179</v>
      </c>
      <c r="P431" s="41" t="s">
        <v>2595</v>
      </c>
      <c r="Q431" s="41"/>
      <c r="R431" s="41" t="s">
        <v>139</v>
      </c>
      <c r="S431" s="41" t="s">
        <v>139</v>
      </c>
      <c r="T431" s="41" t="s">
        <v>139</v>
      </c>
      <c r="U431" s="41" t="s">
        <v>2670</v>
      </c>
      <c r="V431" s="41" t="s">
        <v>139</v>
      </c>
      <c r="W431" s="73" t="s">
        <v>139</v>
      </c>
      <c r="X431" s="54" t="s">
        <v>139</v>
      </c>
      <c r="Y431" s="54" t="s">
        <v>139</v>
      </c>
      <c r="Z431" s="54" t="s">
        <v>2667</v>
      </c>
      <c r="AA431" s="54" t="s">
        <v>139</v>
      </c>
      <c r="AB431" s="55"/>
      <c r="AC431" s="56"/>
      <c r="AD431" s="56"/>
      <c r="AE431" s="57"/>
      <c r="AF431" s="56"/>
      <c r="AG431" s="56"/>
      <c r="AH431" s="56"/>
      <c r="AI431" s="3" t="s">
        <v>1583</v>
      </c>
    </row>
    <row r="432" spans="1:35" ht="40.5">
      <c r="A432" s="144">
        <f t="shared" si="6"/>
        <v>430</v>
      </c>
      <c r="B432" s="148"/>
      <c r="C432" s="148"/>
      <c r="D432" s="148"/>
      <c r="E432" s="148"/>
      <c r="F432" s="148"/>
      <c r="G432" s="148"/>
      <c r="H432" s="148"/>
      <c r="I432" s="148"/>
      <c r="J432" s="98" t="s">
        <v>2102</v>
      </c>
      <c r="K432" s="51" t="str">
        <f>_xlfn.XLOOKUP(L432,'99_マスタ'!$D$5:$D$18,'99_マスタ'!$C$5:$C$18,"")</f>
        <v>02_生販在</v>
      </c>
      <c r="L432" s="52" t="s">
        <v>2305</v>
      </c>
      <c r="M432" s="110" t="s">
        <v>1232</v>
      </c>
      <c r="N432" s="126" t="s">
        <v>1233</v>
      </c>
      <c r="O432" s="40" t="s">
        <v>1234</v>
      </c>
      <c r="P432" s="40"/>
      <c r="Q432" s="40" t="s">
        <v>139</v>
      </c>
      <c r="R432" s="41" t="s">
        <v>1235</v>
      </c>
      <c r="S432" s="41" t="s">
        <v>139</v>
      </c>
      <c r="T432" s="41" t="s">
        <v>139</v>
      </c>
      <c r="U432" s="41" t="s">
        <v>139</v>
      </c>
      <c r="V432" s="41" t="s">
        <v>139</v>
      </c>
      <c r="W432" s="74" t="s">
        <v>163</v>
      </c>
      <c r="X432" s="41" t="s">
        <v>139</v>
      </c>
      <c r="Y432" s="41" t="s">
        <v>139</v>
      </c>
      <c r="Z432" s="41" t="s">
        <v>139</v>
      </c>
      <c r="AA432" s="41" t="s">
        <v>139</v>
      </c>
      <c r="AB432" s="44"/>
      <c r="AC432" s="45"/>
      <c r="AD432" s="45"/>
      <c r="AE432" s="46"/>
      <c r="AF432" s="45"/>
      <c r="AG432" s="45"/>
      <c r="AH432" s="45"/>
      <c r="AI432" s="3" t="s">
        <v>1583</v>
      </c>
    </row>
    <row r="433" spans="1:35" ht="40.5">
      <c r="A433" s="144">
        <f t="shared" si="6"/>
        <v>431</v>
      </c>
      <c r="B433" s="148"/>
      <c r="C433" s="148"/>
      <c r="D433" s="148"/>
      <c r="E433" s="148"/>
      <c r="F433" s="148"/>
      <c r="G433" s="148"/>
      <c r="H433" s="148"/>
      <c r="I433" s="148"/>
      <c r="J433" s="98" t="s">
        <v>2102</v>
      </c>
      <c r="K433" s="51" t="str">
        <f>_xlfn.XLOOKUP(L433,'99_マスタ'!$D$5:$D$18,'99_マスタ'!$C$5:$C$18,"")</f>
        <v>02_生販在</v>
      </c>
      <c r="L433" s="52" t="s">
        <v>2305</v>
      </c>
      <c r="M433" s="52" t="s">
        <v>2380</v>
      </c>
      <c r="N433" s="54" t="s">
        <v>1637</v>
      </c>
      <c r="O433" s="41" t="s">
        <v>3180</v>
      </c>
      <c r="P433" s="41" t="s">
        <v>2596</v>
      </c>
      <c r="Q433" s="41"/>
      <c r="R433" s="41" t="s">
        <v>139</v>
      </c>
      <c r="S433" s="41" t="s">
        <v>139</v>
      </c>
      <c r="T433" s="41" t="s">
        <v>139</v>
      </c>
      <c r="U433" s="41" t="s">
        <v>2670</v>
      </c>
      <c r="V433" s="41" t="s">
        <v>139</v>
      </c>
      <c r="W433" s="73" t="s">
        <v>139</v>
      </c>
      <c r="X433" s="54" t="s">
        <v>139</v>
      </c>
      <c r="Y433" s="54" t="s">
        <v>139</v>
      </c>
      <c r="Z433" s="54" t="s">
        <v>2667</v>
      </c>
      <c r="AA433" s="54" t="s">
        <v>139</v>
      </c>
      <c r="AB433" s="55"/>
      <c r="AC433" s="56"/>
      <c r="AD433" s="56"/>
      <c r="AE433" s="57"/>
      <c r="AF433" s="56"/>
      <c r="AG433" s="56"/>
      <c r="AH433" s="56"/>
      <c r="AI433" s="3" t="s">
        <v>1583</v>
      </c>
    </row>
    <row r="434" spans="1:35" ht="40.5">
      <c r="A434" s="144">
        <f t="shared" si="6"/>
        <v>432</v>
      </c>
      <c r="B434" s="148"/>
      <c r="C434" s="148"/>
      <c r="D434" s="148"/>
      <c r="E434" s="148"/>
      <c r="F434" s="148"/>
      <c r="G434" s="148"/>
      <c r="H434" s="148"/>
      <c r="I434" s="148"/>
      <c r="J434" s="98" t="s">
        <v>2102</v>
      </c>
      <c r="K434" s="51" t="str">
        <f>_xlfn.XLOOKUP(L434,'99_マスタ'!$D$5:$D$18,'99_マスタ'!$C$5:$C$18,"")</f>
        <v>02_生販在</v>
      </c>
      <c r="L434" s="52" t="s">
        <v>2305</v>
      </c>
      <c r="M434" s="52" t="s">
        <v>2487</v>
      </c>
      <c r="N434" s="54" t="s">
        <v>1637</v>
      </c>
      <c r="O434" s="41" t="s">
        <v>3181</v>
      </c>
      <c r="P434" s="41" t="s">
        <v>2597</v>
      </c>
      <c r="Q434" s="41"/>
      <c r="R434" s="41" t="s">
        <v>139</v>
      </c>
      <c r="S434" s="41" t="s">
        <v>139</v>
      </c>
      <c r="T434" s="41" t="s">
        <v>139</v>
      </c>
      <c r="U434" s="41" t="s">
        <v>2670</v>
      </c>
      <c r="V434" s="41" t="s">
        <v>139</v>
      </c>
      <c r="W434" s="73" t="s">
        <v>139</v>
      </c>
      <c r="X434" s="54" t="s">
        <v>139</v>
      </c>
      <c r="Y434" s="54" t="s">
        <v>139</v>
      </c>
      <c r="Z434" s="54" t="s">
        <v>2667</v>
      </c>
      <c r="AA434" s="54" t="s">
        <v>139</v>
      </c>
      <c r="AB434" s="55"/>
      <c r="AC434" s="56"/>
      <c r="AD434" s="56"/>
      <c r="AE434" s="57"/>
      <c r="AF434" s="56"/>
      <c r="AG434" s="56"/>
      <c r="AH434" s="56"/>
      <c r="AI434" s="3" t="s">
        <v>1583</v>
      </c>
    </row>
    <row r="435" spans="1:35" ht="40.5">
      <c r="A435" s="144">
        <f t="shared" si="6"/>
        <v>433</v>
      </c>
      <c r="B435" s="148"/>
      <c r="C435" s="148"/>
      <c r="D435" s="148"/>
      <c r="E435" s="148"/>
      <c r="F435" s="148"/>
      <c r="G435" s="148"/>
      <c r="H435" s="148"/>
      <c r="I435" s="148"/>
      <c r="J435" s="98" t="s">
        <v>2102</v>
      </c>
      <c r="K435" s="51" t="str">
        <f>_xlfn.XLOOKUP(L435,'99_マスタ'!$D$5:$D$18,'99_マスタ'!$C$5:$C$18,"")</f>
        <v>02_生販在</v>
      </c>
      <c r="L435" s="52" t="s">
        <v>2305</v>
      </c>
      <c r="M435" s="52" t="s">
        <v>2382</v>
      </c>
      <c r="N435" s="54" t="s">
        <v>1637</v>
      </c>
      <c r="O435" s="41" t="s">
        <v>3182</v>
      </c>
      <c r="P435" s="41" t="s">
        <v>2598</v>
      </c>
      <c r="Q435" s="41"/>
      <c r="R435" s="41" t="s">
        <v>139</v>
      </c>
      <c r="S435" s="41" t="s">
        <v>139</v>
      </c>
      <c r="T435" s="41" t="s">
        <v>139</v>
      </c>
      <c r="U435" s="41" t="s">
        <v>2670</v>
      </c>
      <c r="V435" s="41" t="s">
        <v>139</v>
      </c>
      <c r="W435" s="73" t="s">
        <v>139</v>
      </c>
      <c r="X435" s="54" t="s">
        <v>139</v>
      </c>
      <c r="Y435" s="54" t="s">
        <v>139</v>
      </c>
      <c r="Z435" s="54" t="s">
        <v>2667</v>
      </c>
      <c r="AA435" s="54" t="s">
        <v>139</v>
      </c>
      <c r="AB435" s="55"/>
      <c r="AC435" s="56"/>
      <c r="AD435" s="56"/>
      <c r="AE435" s="57"/>
      <c r="AF435" s="56"/>
      <c r="AG435" s="56"/>
      <c r="AH435" s="56"/>
      <c r="AI435" s="3" t="s">
        <v>1583</v>
      </c>
    </row>
    <row r="436" spans="1:35" ht="40.5">
      <c r="A436" s="144">
        <f t="shared" si="6"/>
        <v>434</v>
      </c>
      <c r="B436" s="148"/>
      <c r="C436" s="148"/>
      <c r="D436" s="148"/>
      <c r="E436" s="148"/>
      <c r="F436" s="148"/>
      <c r="G436" s="148"/>
      <c r="H436" s="148"/>
      <c r="I436" s="148"/>
      <c r="J436" s="98" t="s">
        <v>2102</v>
      </c>
      <c r="K436" s="51" t="str">
        <f>_xlfn.XLOOKUP(L436,'99_マスタ'!$D$5:$D$18,'99_マスタ'!$C$5:$C$18,"")</f>
        <v>02_生販在</v>
      </c>
      <c r="L436" s="52" t="s">
        <v>2305</v>
      </c>
      <c r="M436" s="52" t="s">
        <v>2383</v>
      </c>
      <c r="N436" s="54" t="s">
        <v>1637</v>
      </c>
      <c r="O436" s="41" t="s">
        <v>3183</v>
      </c>
      <c r="P436" s="41" t="s">
        <v>2599</v>
      </c>
      <c r="Q436" s="41"/>
      <c r="R436" s="41" t="s">
        <v>139</v>
      </c>
      <c r="S436" s="41" t="s">
        <v>139</v>
      </c>
      <c r="T436" s="41" t="s">
        <v>139</v>
      </c>
      <c r="U436" s="41" t="s">
        <v>2670</v>
      </c>
      <c r="V436" s="41" t="s">
        <v>139</v>
      </c>
      <c r="W436" s="73" t="s">
        <v>139</v>
      </c>
      <c r="X436" s="54" t="s">
        <v>139</v>
      </c>
      <c r="Y436" s="54" t="s">
        <v>139</v>
      </c>
      <c r="Z436" s="54" t="s">
        <v>2667</v>
      </c>
      <c r="AA436" s="54" t="s">
        <v>139</v>
      </c>
      <c r="AB436" s="55"/>
      <c r="AC436" s="56"/>
      <c r="AD436" s="56"/>
      <c r="AE436" s="57"/>
      <c r="AF436" s="56"/>
      <c r="AG436" s="56"/>
      <c r="AH436" s="56"/>
      <c r="AI436" s="3" t="s">
        <v>1583</v>
      </c>
    </row>
    <row r="437" spans="1:35" ht="40.5">
      <c r="A437" s="144">
        <f t="shared" si="6"/>
        <v>435</v>
      </c>
      <c r="B437" s="148"/>
      <c r="C437" s="148"/>
      <c r="D437" s="148"/>
      <c r="E437" s="148"/>
      <c r="F437" s="148"/>
      <c r="G437" s="148"/>
      <c r="H437" s="148"/>
      <c r="I437" s="148"/>
      <c r="J437" s="98" t="s">
        <v>2102</v>
      </c>
      <c r="K437" s="51" t="str">
        <f>_xlfn.XLOOKUP(L437,'99_マスタ'!$D$5:$D$18,'99_マスタ'!$C$5:$C$18,"")</f>
        <v>02_生販在</v>
      </c>
      <c r="L437" s="52" t="s">
        <v>2305</v>
      </c>
      <c r="M437" s="52" t="s">
        <v>2488</v>
      </c>
      <c r="N437" s="54" t="s">
        <v>1637</v>
      </c>
      <c r="O437" s="41" t="s">
        <v>3184</v>
      </c>
      <c r="P437" s="41" t="s">
        <v>2600</v>
      </c>
      <c r="Q437" s="41"/>
      <c r="R437" s="41" t="s">
        <v>139</v>
      </c>
      <c r="S437" s="41" t="s">
        <v>139</v>
      </c>
      <c r="T437" s="41" t="s">
        <v>139</v>
      </c>
      <c r="U437" s="41" t="s">
        <v>2670</v>
      </c>
      <c r="V437" s="41" t="s">
        <v>139</v>
      </c>
      <c r="W437" s="73" t="s">
        <v>139</v>
      </c>
      <c r="X437" s="54" t="s">
        <v>139</v>
      </c>
      <c r="Y437" s="54" t="s">
        <v>139</v>
      </c>
      <c r="Z437" s="54" t="s">
        <v>2667</v>
      </c>
      <c r="AA437" s="54" t="s">
        <v>139</v>
      </c>
      <c r="AB437" s="55"/>
      <c r="AC437" s="56"/>
      <c r="AD437" s="56"/>
      <c r="AE437" s="57"/>
      <c r="AF437" s="56"/>
      <c r="AG437" s="56"/>
      <c r="AH437" s="56"/>
      <c r="AI437" s="3" t="s">
        <v>1583</v>
      </c>
    </row>
    <row r="438" spans="1:35" ht="40.5">
      <c r="A438" s="144">
        <f t="shared" si="6"/>
        <v>436</v>
      </c>
      <c r="B438" s="148"/>
      <c r="C438" s="148"/>
      <c r="D438" s="148"/>
      <c r="E438" s="148"/>
      <c r="F438" s="148"/>
      <c r="G438" s="148"/>
      <c r="H438" s="148"/>
      <c r="I438" s="148"/>
      <c r="J438" s="98" t="s">
        <v>2102</v>
      </c>
      <c r="K438" s="51" t="str">
        <f>_xlfn.XLOOKUP(L438,'99_マスタ'!$D$5:$D$18,'99_マスタ'!$C$5:$C$18,"")</f>
        <v>02_生販在</v>
      </c>
      <c r="L438" s="52" t="s">
        <v>2305</v>
      </c>
      <c r="M438" s="52" t="s">
        <v>2489</v>
      </c>
      <c r="N438" s="54" t="s">
        <v>1637</v>
      </c>
      <c r="O438" s="41" t="s">
        <v>3185</v>
      </c>
      <c r="P438" s="41" t="s">
        <v>2601</v>
      </c>
      <c r="Q438" s="41"/>
      <c r="R438" s="41" t="s">
        <v>139</v>
      </c>
      <c r="S438" s="41" t="s">
        <v>139</v>
      </c>
      <c r="T438" s="41" t="s">
        <v>139</v>
      </c>
      <c r="U438" s="41" t="s">
        <v>2670</v>
      </c>
      <c r="V438" s="41" t="s">
        <v>139</v>
      </c>
      <c r="W438" s="73" t="s">
        <v>139</v>
      </c>
      <c r="X438" s="54" t="s">
        <v>139</v>
      </c>
      <c r="Y438" s="54" t="s">
        <v>139</v>
      </c>
      <c r="Z438" s="54" t="s">
        <v>2667</v>
      </c>
      <c r="AA438" s="54" t="s">
        <v>139</v>
      </c>
      <c r="AB438" s="55"/>
      <c r="AC438" s="56"/>
      <c r="AD438" s="56"/>
      <c r="AE438" s="57"/>
      <c r="AF438" s="56"/>
      <c r="AG438" s="56"/>
      <c r="AH438" s="56"/>
      <c r="AI438" s="3" t="s">
        <v>1583</v>
      </c>
    </row>
    <row r="439" spans="1:35" ht="40.5">
      <c r="A439" s="144">
        <f t="shared" si="6"/>
        <v>437</v>
      </c>
      <c r="B439" s="148"/>
      <c r="C439" s="148"/>
      <c r="D439" s="148"/>
      <c r="E439" s="148"/>
      <c r="F439" s="148"/>
      <c r="G439" s="148"/>
      <c r="H439" s="148"/>
      <c r="I439" s="148"/>
      <c r="J439" s="98" t="s">
        <v>2102</v>
      </c>
      <c r="K439" s="51" t="str">
        <f>_xlfn.XLOOKUP(L439,'99_マスタ'!$D$5:$D$18,'99_マスタ'!$C$5:$C$18,"")</f>
        <v>02_生販在</v>
      </c>
      <c r="L439" s="52" t="s">
        <v>2305</v>
      </c>
      <c r="M439" s="52" t="s">
        <v>2490</v>
      </c>
      <c r="N439" s="54" t="s">
        <v>1637</v>
      </c>
      <c r="O439" s="41" t="s">
        <v>3186</v>
      </c>
      <c r="P439" s="41" t="s">
        <v>2602</v>
      </c>
      <c r="Q439" s="41"/>
      <c r="R439" s="41" t="s">
        <v>139</v>
      </c>
      <c r="S439" s="41" t="s">
        <v>139</v>
      </c>
      <c r="T439" s="41" t="s">
        <v>139</v>
      </c>
      <c r="U439" s="41" t="s">
        <v>2670</v>
      </c>
      <c r="V439" s="41" t="s">
        <v>139</v>
      </c>
      <c r="W439" s="73" t="s">
        <v>139</v>
      </c>
      <c r="X439" s="54" t="s">
        <v>139</v>
      </c>
      <c r="Y439" s="54" t="s">
        <v>139</v>
      </c>
      <c r="Z439" s="54" t="s">
        <v>2667</v>
      </c>
      <c r="AA439" s="54" t="s">
        <v>139</v>
      </c>
      <c r="AB439" s="55"/>
      <c r="AC439" s="56"/>
      <c r="AD439" s="56"/>
      <c r="AE439" s="57"/>
      <c r="AF439" s="56"/>
      <c r="AG439" s="56"/>
      <c r="AH439" s="56"/>
      <c r="AI439" s="3" t="s">
        <v>1583</v>
      </c>
    </row>
    <row r="440" spans="1:35" ht="40.5">
      <c r="A440" s="144">
        <f t="shared" si="6"/>
        <v>438</v>
      </c>
      <c r="B440" s="148"/>
      <c r="C440" s="148"/>
      <c r="D440" s="148"/>
      <c r="E440" s="148"/>
      <c r="F440" s="148"/>
      <c r="G440" s="148"/>
      <c r="H440" s="148"/>
      <c r="I440" s="148"/>
      <c r="J440" s="98" t="s">
        <v>2102</v>
      </c>
      <c r="K440" s="51" t="str">
        <f>_xlfn.XLOOKUP(L440,'99_マスタ'!$D$5:$D$18,'99_マスタ'!$C$5:$C$18,"")</f>
        <v>02_生販在</v>
      </c>
      <c r="L440" s="52" t="s">
        <v>2305</v>
      </c>
      <c r="M440" s="52" t="s">
        <v>2397</v>
      </c>
      <c r="N440" s="54" t="s">
        <v>1637</v>
      </c>
      <c r="O440" s="41" t="s">
        <v>3187</v>
      </c>
      <c r="P440" s="41" t="s">
        <v>2603</v>
      </c>
      <c r="Q440" s="41"/>
      <c r="R440" s="41" t="s">
        <v>139</v>
      </c>
      <c r="S440" s="41" t="s">
        <v>139</v>
      </c>
      <c r="T440" s="41" t="s">
        <v>139</v>
      </c>
      <c r="U440" s="41" t="s">
        <v>2670</v>
      </c>
      <c r="V440" s="41" t="s">
        <v>139</v>
      </c>
      <c r="W440" s="73" t="s">
        <v>139</v>
      </c>
      <c r="X440" s="54" t="s">
        <v>139</v>
      </c>
      <c r="Y440" s="54" t="s">
        <v>139</v>
      </c>
      <c r="Z440" s="54" t="s">
        <v>2667</v>
      </c>
      <c r="AA440" s="54" t="s">
        <v>139</v>
      </c>
      <c r="AB440" s="55"/>
      <c r="AC440" s="56"/>
      <c r="AD440" s="56"/>
      <c r="AE440" s="57"/>
      <c r="AF440" s="56"/>
      <c r="AG440" s="56"/>
      <c r="AH440" s="56"/>
      <c r="AI440" s="3" t="s">
        <v>1583</v>
      </c>
    </row>
    <row r="441" spans="1:35" ht="40.5">
      <c r="A441" s="144">
        <f t="shared" si="6"/>
        <v>439</v>
      </c>
      <c r="B441" s="148"/>
      <c r="C441" s="148"/>
      <c r="D441" s="148"/>
      <c r="E441" s="148"/>
      <c r="F441" s="148"/>
      <c r="G441" s="148"/>
      <c r="H441" s="148"/>
      <c r="I441" s="148"/>
      <c r="J441" s="98" t="s">
        <v>2102</v>
      </c>
      <c r="K441" s="51" t="str">
        <f>_xlfn.XLOOKUP(L441,'99_マスタ'!$D$5:$D$18,'99_マスタ'!$C$5:$C$18,"")</f>
        <v>02_生販在</v>
      </c>
      <c r="L441" s="52" t="s">
        <v>2305</v>
      </c>
      <c r="M441" s="52" t="s">
        <v>2491</v>
      </c>
      <c r="N441" s="54" t="s">
        <v>1637</v>
      </c>
      <c r="O441" s="41" t="s">
        <v>3188</v>
      </c>
      <c r="P441" s="41" t="s">
        <v>2604</v>
      </c>
      <c r="Q441" s="41"/>
      <c r="R441" s="41" t="s">
        <v>139</v>
      </c>
      <c r="S441" s="41" t="s">
        <v>139</v>
      </c>
      <c r="T441" s="41" t="s">
        <v>139</v>
      </c>
      <c r="U441" s="41" t="s">
        <v>2670</v>
      </c>
      <c r="V441" s="41" t="s">
        <v>139</v>
      </c>
      <c r="W441" s="73" t="s">
        <v>139</v>
      </c>
      <c r="X441" s="54" t="s">
        <v>139</v>
      </c>
      <c r="Y441" s="54" t="s">
        <v>139</v>
      </c>
      <c r="Z441" s="54" t="s">
        <v>2667</v>
      </c>
      <c r="AA441" s="54" t="s">
        <v>139</v>
      </c>
      <c r="AB441" s="55"/>
      <c r="AC441" s="56"/>
      <c r="AD441" s="56"/>
      <c r="AE441" s="57"/>
      <c r="AF441" s="56"/>
      <c r="AG441" s="56"/>
      <c r="AH441" s="56"/>
      <c r="AI441" s="3" t="s">
        <v>1583</v>
      </c>
    </row>
    <row r="442" spans="1:35" ht="40.5">
      <c r="A442" s="144">
        <f t="shared" si="6"/>
        <v>440</v>
      </c>
      <c r="B442" s="148"/>
      <c r="C442" s="148"/>
      <c r="D442" s="148"/>
      <c r="E442" s="148"/>
      <c r="F442" s="148"/>
      <c r="G442" s="148"/>
      <c r="H442" s="148"/>
      <c r="I442" s="148"/>
      <c r="J442" s="98" t="s">
        <v>2102</v>
      </c>
      <c r="K442" s="51" t="str">
        <f>_xlfn.XLOOKUP(L442,'99_マスタ'!$D$5:$D$18,'99_マスタ'!$C$5:$C$18,"")</f>
        <v>02_生販在</v>
      </c>
      <c r="L442" s="52" t="s">
        <v>2305</v>
      </c>
      <c r="M442" s="52" t="s">
        <v>2492</v>
      </c>
      <c r="N442" s="54" t="s">
        <v>1637</v>
      </c>
      <c r="O442" s="41" t="s">
        <v>3189</v>
      </c>
      <c r="P442" s="41" t="s">
        <v>2605</v>
      </c>
      <c r="Q442" s="41"/>
      <c r="R442" s="41" t="s">
        <v>139</v>
      </c>
      <c r="S442" s="41" t="s">
        <v>139</v>
      </c>
      <c r="T442" s="41" t="s">
        <v>139</v>
      </c>
      <c r="U442" s="41" t="s">
        <v>2670</v>
      </c>
      <c r="V442" s="41" t="s">
        <v>139</v>
      </c>
      <c r="W442" s="73" t="s">
        <v>139</v>
      </c>
      <c r="X442" s="54" t="s">
        <v>139</v>
      </c>
      <c r="Y442" s="54" t="s">
        <v>139</v>
      </c>
      <c r="Z442" s="54" t="s">
        <v>2667</v>
      </c>
      <c r="AA442" s="54" t="s">
        <v>139</v>
      </c>
      <c r="AB442" s="55"/>
      <c r="AC442" s="56"/>
      <c r="AD442" s="56"/>
      <c r="AE442" s="57"/>
      <c r="AF442" s="56"/>
      <c r="AG442" s="56"/>
      <c r="AH442" s="56"/>
      <c r="AI442" s="3" t="s">
        <v>1583</v>
      </c>
    </row>
    <row r="443" spans="1:35" ht="40.5">
      <c r="A443" s="144">
        <f t="shared" si="6"/>
        <v>441</v>
      </c>
      <c r="B443" s="148"/>
      <c r="C443" s="148"/>
      <c r="D443" s="148"/>
      <c r="E443" s="148"/>
      <c r="F443" s="148"/>
      <c r="G443" s="148"/>
      <c r="H443" s="148"/>
      <c r="I443" s="148"/>
      <c r="J443" s="98" t="s">
        <v>2102</v>
      </c>
      <c r="K443" s="51" t="str">
        <f>_xlfn.XLOOKUP(L443,'99_マスタ'!$D$5:$D$18,'99_マスタ'!$C$5:$C$18,"")</f>
        <v>02_生販在</v>
      </c>
      <c r="L443" s="52" t="s">
        <v>2305</v>
      </c>
      <c r="M443" s="52" t="s">
        <v>2493</v>
      </c>
      <c r="N443" s="54" t="s">
        <v>1637</v>
      </c>
      <c r="O443" s="41" t="s">
        <v>3190</v>
      </c>
      <c r="P443" s="41" t="s">
        <v>2606</v>
      </c>
      <c r="Q443" s="41"/>
      <c r="R443" s="41" t="s">
        <v>139</v>
      </c>
      <c r="S443" s="41" t="s">
        <v>139</v>
      </c>
      <c r="T443" s="41" t="s">
        <v>139</v>
      </c>
      <c r="U443" s="41" t="s">
        <v>2670</v>
      </c>
      <c r="V443" s="41" t="s">
        <v>139</v>
      </c>
      <c r="W443" s="73" t="s">
        <v>139</v>
      </c>
      <c r="X443" s="54" t="s">
        <v>139</v>
      </c>
      <c r="Y443" s="54" t="s">
        <v>139</v>
      </c>
      <c r="Z443" s="54" t="s">
        <v>2667</v>
      </c>
      <c r="AA443" s="54" t="s">
        <v>139</v>
      </c>
      <c r="AB443" s="55"/>
      <c r="AC443" s="56"/>
      <c r="AD443" s="56"/>
      <c r="AE443" s="57"/>
      <c r="AF443" s="56"/>
      <c r="AG443" s="56"/>
      <c r="AH443" s="56"/>
      <c r="AI443" s="3" t="s">
        <v>1583</v>
      </c>
    </row>
    <row r="444" spans="1:35" ht="40.5">
      <c r="A444" s="144">
        <f t="shared" si="6"/>
        <v>442</v>
      </c>
      <c r="B444" s="148"/>
      <c r="C444" s="148"/>
      <c r="D444" s="148"/>
      <c r="E444" s="148"/>
      <c r="F444" s="148"/>
      <c r="G444" s="148"/>
      <c r="H444" s="148"/>
      <c r="I444" s="148"/>
      <c r="J444" s="98" t="s">
        <v>2102</v>
      </c>
      <c r="K444" s="51" t="str">
        <f>_xlfn.XLOOKUP(L444,'99_マスタ'!$D$5:$D$18,'99_マスタ'!$C$5:$C$18,"")</f>
        <v>02_生販在</v>
      </c>
      <c r="L444" s="52" t="s">
        <v>2305</v>
      </c>
      <c r="M444" s="52" t="s">
        <v>2494</v>
      </c>
      <c r="N444" s="54" t="s">
        <v>1637</v>
      </c>
      <c r="O444" s="41" t="s">
        <v>3191</v>
      </c>
      <c r="P444" s="41" t="s">
        <v>2607</v>
      </c>
      <c r="Q444" s="41"/>
      <c r="R444" s="41" t="s">
        <v>139</v>
      </c>
      <c r="S444" s="41" t="s">
        <v>139</v>
      </c>
      <c r="T444" s="41" t="s">
        <v>139</v>
      </c>
      <c r="U444" s="41" t="s">
        <v>2670</v>
      </c>
      <c r="V444" s="41" t="s">
        <v>139</v>
      </c>
      <c r="W444" s="73" t="s">
        <v>139</v>
      </c>
      <c r="X444" s="54" t="s">
        <v>139</v>
      </c>
      <c r="Y444" s="54" t="s">
        <v>139</v>
      </c>
      <c r="Z444" s="54" t="s">
        <v>2667</v>
      </c>
      <c r="AA444" s="54" t="s">
        <v>139</v>
      </c>
      <c r="AB444" s="55"/>
      <c r="AC444" s="56"/>
      <c r="AD444" s="56"/>
      <c r="AE444" s="57"/>
      <c r="AF444" s="56"/>
      <c r="AG444" s="56"/>
      <c r="AH444" s="56"/>
      <c r="AI444" s="3" t="s">
        <v>1583</v>
      </c>
    </row>
    <row r="445" spans="1:35" ht="40.5">
      <c r="A445" s="144">
        <f t="shared" si="6"/>
        <v>443</v>
      </c>
      <c r="B445" s="148"/>
      <c r="C445" s="148"/>
      <c r="D445" s="148"/>
      <c r="E445" s="148"/>
      <c r="F445" s="148"/>
      <c r="G445" s="148"/>
      <c r="H445" s="148"/>
      <c r="I445" s="148"/>
      <c r="J445" s="98" t="s">
        <v>2102</v>
      </c>
      <c r="K445" s="51" t="str">
        <f>_xlfn.XLOOKUP(L445,'99_マスタ'!$D$5:$D$18,'99_マスタ'!$C$5:$C$18,"")</f>
        <v>02_生販在</v>
      </c>
      <c r="L445" s="52" t="s">
        <v>2305</v>
      </c>
      <c r="M445" s="52" t="s">
        <v>2495</v>
      </c>
      <c r="N445" s="54" t="s">
        <v>1637</v>
      </c>
      <c r="O445" s="41" t="s">
        <v>3192</v>
      </c>
      <c r="P445" s="41" t="s">
        <v>2608</v>
      </c>
      <c r="Q445" s="41"/>
      <c r="R445" s="41" t="s">
        <v>139</v>
      </c>
      <c r="S445" s="41" t="s">
        <v>139</v>
      </c>
      <c r="T445" s="41" t="s">
        <v>139</v>
      </c>
      <c r="U445" s="41" t="s">
        <v>2670</v>
      </c>
      <c r="V445" s="41" t="s">
        <v>139</v>
      </c>
      <c r="W445" s="73" t="s">
        <v>139</v>
      </c>
      <c r="X445" s="54" t="s">
        <v>139</v>
      </c>
      <c r="Y445" s="54" t="s">
        <v>139</v>
      </c>
      <c r="Z445" s="54" t="s">
        <v>2667</v>
      </c>
      <c r="AA445" s="54" t="s">
        <v>139</v>
      </c>
      <c r="AB445" s="55"/>
      <c r="AC445" s="56"/>
      <c r="AD445" s="56"/>
      <c r="AE445" s="57"/>
      <c r="AF445" s="56"/>
      <c r="AG445" s="56"/>
      <c r="AH445" s="56"/>
      <c r="AI445" s="3" t="s">
        <v>1583</v>
      </c>
    </row>
    <row r="446" spans="1:35" ht="40.5">
      <c r="A446" s="144">
        <f t="shared" si="6"/>
        <v>444</v>
      </c>
      <c r="B446" s="148"/>
      <c r="C446" s="148"/>
      <c r="D446" s="148"/>
      <c r="E446" s="148"/>
      <c r="F446" s="148"/>
      <c r="G446" s="148"/>
      <c r="H446" s="148"/>
      <c r="I446" s="148"/>
      <c r="J446" s="98" t="s">
        <v>2102</v>
      </c>
      <c r="K446" s="51" t="str">
        <f>_xlfn.XLOOKUP(L446,'99_マスタ'!$D$5:$D$18,'99_マスタ'!$C$5:$C$18,"")</f>
        <v>02_生販在</v>
      </c>
      <c r="L446" s="52" t="s">
        <v>2305</v>
      </c>
      <c r="M446" s="52" t="s">
        <v>2496</v>
      </c>
      <c r="N446" s="54" t="s">
        <v>1637</v>
      </c>
      <c r="O446" s="41" t="s">
        <v>3193</v>
      </c>
      <c r="P446" s="41" t="s">
        <v>2609</v>
      </c>
      <c r="Q446" s="41"/>
      <c r="R446" s="41" t="s">
        <v>139</v>
      </c>
      <c r="S446" s="41" t="s">
        <v>139</v>
      </c>
      <c r="T446" s="41" t="s">
        <v>139</v>
      </c>
      <c r="U446" s="41" t="s">
        <v>2670</v>
      </c>
      <c r="V446" s="41" t="s">
        <v>139</v>
      </c>
      <c r="W446" s="73" t="s">
        <v>139</v>
      </c>
      <c r="X446" s="54" t="s">
        <v>139</v>
      </c>
      <c r="Y446" s="54" t="s">
        <v>139</v>
      </c>
      <c r="Z446" s="54" t="s">
        <v>2667</v>
      </c>
      <c r="AA446" s="54" t="s">
        <v>139</v>
      </c>
      <c r="AB446" s="55"/>
      <c r="AC446" s="56"/>
      <c r="AD446" s="56"/>
      <c r="AE446" s="57"/>
      <c r="AF446" s="56"/>
      <c r="AG446" s="56"/>
      <c r="AH446" s="56"/>
      <c r="AI446" s="3" t="s">
        <v>1583</v>
      </c>
    </row>
    <row r="447" spans="1:35" ht="40.5">
      <c r="A447" s="144">
        <f t="shared" si="6"/>
        <v>445</v>
      </c>
      <c r="B447" s="148"/>
      <c r="C447" s="148"/>
      <c r="D447" s="148"/>
      <c r="E447" s="148"/>
      <c r="F447" s="148"/>
      <c r="G447" s="148"/>
      <c r="H447" s="148"/>
      <c r="I447" s="148"/>
      <c r="J447" s="98" t="s">
        <v>2102</v>
      </c>
      <c r="K447" s="51" t="str">
        <f>_xlfn.XLOOKUP(L447,'99_マスタ'!$D$5:$D$18,'99_マスタ'!$C$5:$C$18,"")</f>
        <v>02_生販在</v>
      </c>
      <c r="L447" s="52" t="s">
        <v>2305</v>
      </c>
      <c r="M447" s="52" t="s">
        <v>2497</v>
      </c>
      <c r="N447" s="54" t="s">
        <v>1637</v>
      </c>
      <c r="O447" s="41" t="s">
        <v>3194</v>
      </c>
      <c r="P447" s="41" t="s">
        <v>2610</v>
      </c>
      <c r="Q447" s="41"/>
      <c r="R447" s="41" t="s">
        <v>139</v>
      </c>
      <c r="S447" s="41" t="s">
        <v>139</v>
      </c>
      <c r="T447" s="41" t="s">
        <v>139</v>
      </c>
      <c r="U447" s="41" t="s">
        <v>2670</v>
      </c>
      <c r="V447" s="41" t="s">
        <v>139</v>
      </c>
      <c r="W447" s="73" t="s">
        <v>139</v>
      </c>
      <c r="X447" s="54" t="s">
        <v>139</v>
      </c>
      <c r="Y447" s="54" t="s">
        <v>139</v>
      </c>
      <c r="Z447" s="54" t="s">
        <v>2667</v>
      </c>
      <c r="AA447" s="54" t="s">
        <v>139</v>
      </c>
      <c r="AB447" s="55"/>
      <c r="AC447" s="56"/>
      <c r="AD447" s="56"/>
      <c r="AE447" s="57"/>
      <c r="AF447" s="56"/>
      <c r="AG447" s="56"/>
      <c r="AH447" s="56"/>
      <c r="AI447" s="3" t="s">
        <v>1583</v>
      </c>
    </row>
    <row r="448" spans="1:35" ht="40.5">
      <c r="A448" s="144">
        <f t="shared" si="6"/>
        <v>446</v>
      </c>
      <c r="B448" s="148"/>
      <c r="C448" s="148"/>
      <c r="D448" s="148"/>
      <c r="E448" s="148"/>
      <c r="F448" s="148"/>
      <c r="G448" s="148"/>
      <c r="H448" s="148"/>
      <c r="I448" s="148"/>
      <c r="J448" s="98" t="s">
        <v>2102</v>
      </c>
      <c r="K448" s="51" t="str">
        <f>_xlfn.XLOOKUP(L448,'99_マスタ'!$D$5:$D$18,'99_マスタ'!$C$5:$C$18,"")</f>
        <v>02_生販在</v>
      </c>
      <c r="L448" s="52" t="s">
        <v>2305</v>
      </c>
      <c r="M448" s="52" t="s">
        <v>2498</v>
      </c>
      <c r="N448" s="54" t="s">
        <v>1637</v>
      </c>
      <c r="O448" s="41" t="s">
        <v>3195</v>
      </c>
      <c r="P448" s="41" t="s">
        <v>2611</v>
      </c>
      <c r="Q448" s="41"/>
      <c r="R448" s="41" t="s">
        <v>139</v>
      </c>
      <c r="S448" s="41" t="s">
        <v>139</v>
      </c>
      <c r="T448" s="41" t="s">
        <v>139</v>
      </c>
      <c r="U448" s="41" t="s">
        <v>2670</v>
      </c>
      <c r="V448" s="41" t="s">
        <v>139</v>
      </c>
      <c r="W448" s="73" t="s">
        <v>139</v>
      </c>
      <c r="X448" s="54" t="s">
        <v>139</v>
      </c>
      <c r="Y448" s="54" t="s">
        <v>139</v>
      </c>
      <c r="Z448" s="54" t="s">
        <v>2667</v>
      </c>
      <c r="AA448" s="54" t="s">
        <v>139</v>
      </c>
      <c r="AB448" s="55"/>
      <c r="AC448" s="56"/>
      <c r="AD448" s="56"/>
      <c r="AE448" s="57"/>
      <c r="AF448" s="56"/>
      <c r="AG448" s="56"/>
      <c r="AH448" s="56"/>
      <c r="AI448" s="3" t="s">
        <v>1583</v>
      </c>
    </row>
    <row r="449" spans="1:35" ht="40.5">
      <c r="A449" s="144">
        <f t="shared" si="6"/>
        <v>447</v>
      </c>
      <c r="B449" s="148"/>
      <c r="C449" s="148"/>
      <c r="D449" s="148"/>
      <c r="E449" s="148"/>
      <c r="F449" s="148"/>
      <c r="G449" s="148"/>
      <c r="H449" s="148"/>
      <c r="I449" s="148"/>
      <c r="J449" s="98" t="s">
        <v>2102</v>
      </c>
      <c r="K449" s="51" t="str">
        <f>_xlfn.XLOOKUP(L449,'99_マスタ'!$D$5:$D$18,'99_マスタ'!$C$5:$C$18,"")</f>
        <v>02_生販在</v>
      </c>
      <c r="L449" s="52" t="s">
        <v>2305</v>
      </c>
      <c r="M449" s="52" t="s">
        <v>2384</v>
      </c>
      <c r="N449" s="54" t="s">
        <v>1637</v>
      </c>
      <c r="O449" s="41" t="s">
        <v>3196</v>
      </c>
      <c r="P449" s="41" t="s">
        <v>2439</v>
      </c>
      <c r="Q449" s="41"/>
      <c r="R449" s="41" t="s">
        <v>139</v>
      </c>
      <c r="S449" s="41" t="s">
        <v>139</v>
      </c>
      <c r="T449" s="41" t="s">
        <v>139</v>
      </c>
      <c r="U449" s="41" t="s">
        <v>2670</v>
      </c>
      <c r="V449" s="41" t="s">
        <v>139</v>
      </c>
      <c r="W449" s="73" t="s">
        <v>139</v>
      </c>
      <c r="X449" s="54" t="s">
        <v>139</v>
      </c>
      <c r="Y449" s="54" t="s">
        <v>139</v>
      </c>
      <c r="Z449" s="54" t="s">
        <v>2667</v>
      </c>
      <c r="AA449" s="54" t="s">
        <v>139</v>
      </c>
      <c r="AB449" s="55"/>
      <c r="AC449" s="56"/>
      <c r="AD449" s="56"/>
      <c r="AE449" s="57"/>
      <c r="AF449" s="56"/>
      <c r="AG449" s="56"/>
      <c r="AH449" s="56"/>
      <c r="AI449" s="3" t="s">
        <v>1583</v>
      </c>
    </row>
    <row r="450" spans="1:35" ht="67.5">
      <c r="A450" s="144">
        <f t="shared" si="6"/>
        <v>448</v>
      </c>
      <c r="B450" s="148"/>
      <c r="C450" s="148"/>
      <c r="D450" s="148"/>
      <c r="E450" s="148"/>
      <c r="F450" s="148"/>
      <c r="G450" s="148"/>
      <c r="H450" s="148"/>
      <c r="I450" s="148"/>
      <c r="J450" s="98" t="s">
        <v>2102</v>
      </c>
      <c r="K450" s="51" t="str">
        <f>_xlfn.XLOOKUP(L450,'99_マスタ'!$D$5:$D$18,'99_マスタ'!$C$5:$C$18,"")</f>
        <v>02_生販在</v>
      </c>
      <c r="L450" s="52" t="s">
        <v>2305</v>
      </c>
      <c r="M450" s="52" t="s">
        <v>2499</v>
      </c>
      <c r="N450" s="54" t="s">
        <v>1637</v>
      </c>
      <c r="O450" s="41" t="s">
        <v>3197</v>
      </c>
      <c r="P450" s="41" t="s">
        <v>2859</v>
      </c>
      <c r="Q450" s="41"/>
      <c r="R450" s="41" t="s">
        <v>139</v>
      </c>
      <c r="S450" s="41" t="s">
        <v>139</v>
      </c>
      <c r="T450" s="41" t="s">
        <v>139</v>
      </c>
      <c r="U450" s="41" t="s">
        <v>2670</v>
      </c>
      <c r="V450" s="41" t="s">
        <v>139</v>
      </c>
      <c r="W450" s="73" t="s">
        <v>139</v>
      </c>
      <c r="X450" s="54" t="s">
        <v>139</v>
      </c>
      <c r="Y450" s="54" t="s">
        <v>139</v>
      </c>
      <c r="Z450" s="54" t="s">
        <v>2667</v>
      </c>
      <c r="AA450" s="54" t="s">
        <v>139</v>
      </c>
      <c r="AB450" s="55"/>
      <c r="AC450" s="56"/>
      <c r="AD450" s="56"/>
      <c r="AE450" s="57"/>
      <c r="AF450" s="56"/>
      <c r="AG450" s="56"/>
      <c r="AH450" s="56"/>
      <c r="AI450" s="3" t="s">
        <v>1583</v>
      </c>
    </row>
    <row r="451" spans="1:35" ht="40.5">
      <c r="A451" s="144">
        <f t="shared" ref="A451:A514" si="7">ROW()-2</f>
        <v>449</v>
      </c>
      <c r="B451" s="148"/>
      <c r="C451" s="148"/>
      <c r="D451" s="148"/>
      <c r="E451" s="148"/>
      <c r="F451" s="148"/>
      <c r="G451" s="148"/>
      <c r="H451" s="148"/>
      <c r="I451" s="148"/>
      <c r="J451" s="98" t="s">
        <v>2102</v>
      </c>
      <c r="K451" s="51" t="str">
        <f>_xlfn.XLOOKUP(L451,'99_マスタ'!$D$5:$D$18,'99_マスタ'!$C$5:$C$18,"")</f>
        <v>02_生販在</v>
      </c>
      <c r="L451" s="52" t="s">
        <v>2305</v>
      </c>
      <c r="M451" s="52" t="s">
        <v>2403</v>
      </c>
      <c r="N451" s="54" t="s">
        <v>1637</v>
      </c>
      <c r="O451" s="41" t="s">
        <v>3198</v>
      </c>
      <c r="P451" s="41" t="s">
        <v>2612</v>
      </c>
      <c r="Q451" s="41"/>
      <c r="R451" s="41" t="s">
        <v>139</v>
      </c>
      <c r="S451" s="41" t="s">
        <v>139</v>
      </c>
      <c r="T451" s="41" t="s">
        <v>139</v>
      </c>
      <c r="U451" s="41" t="s">
        <v>2670</v>
      </c>
      <c r="V451" s="41" t="s">
        <v>139</v>
      </c>
      <c r="W451" s="73" t="s">
        <v>139</v>
      </c>
      <c r="X451" s="54" t="s">
        <v>139</v>
      </c>
      <c r="Y451" s="54" t="s">
        <v>139</v>
      </c>
      <c r="Z451" s="54" t="s">
        <v>2667</v>
      </c>
      <c r="AA451" s="54" t="s">
        <v>139</v>
      </c>
      <c r="AB451" s="55"/>
      <c r="AC451" s="56"/>
      <c r="AD451" s="56"/>
      <c r="AE451" s="57"/>
      <c r="AF451" s="56"/>
      <c r="AG451" s="56"/>
      <c r="AH451" s="56"/>
      <c r="AI451" s="3" t="s">
        <v>1583</v>
      </c>
    </row>
    <row r="452" spans="1:35" ht="40.5">
      <c r="A452" s="144">
        <f t="shared" si="7"/>
        <v>450</v>
      </c>
      <c r="B452" s="148"/>
      <c r="C452" s="148"/>
      <c r="D452" s="148"/>
      <c r="E452" s="148"/>
      <c r="F452" s="148"/>
      <c r="G452" s="148"/>
      <c r="H452" s="148"/>
      <c r="I452" s="148"/>
      <c r="J452" s="98" t="s">
        <v>2102</v>
      </c>
      <c r="K452" s="51" t="str">
        <f>_xlfn.XLOOKUP(L452,'99_マスタ'!$D$5:$D$18,'99_マスタ'!$C$5:$C$18,"")</f>
        <v>02_生販在</v>
      </c>
      <c r="L452" s="52" t="s">
        <v>2305</v>
      </c>
      <c r="M452" s="52" t="s">
        <v>2404</v>
      </c>
      <c r="N452" s="54" t="s">
        <v>1637</v>
      </c>
      <c r="O452" s="41" t="s">
        <v>3199</v>
      </c>
      <c r="P452" s="41" t="s">
        <v>2613</v>
      </c>
      <c r="Q452" s="41"/>
      <c r="R452" s="41" t="s">
        <v>139</v>
      </c>
      <c r="S452" s="41" t="s">
        <v>139</v>
      </c>
      <c r="T452" s="41" t="s">
        <v>139</v>
      </c>
      <c r="U452" s="41" t="s">
        <v>2670</v>
      </c>
      <c r="V452" s="41" t="s">
        <v>139</v>
      </c>
      <c r="W452" s="73" t="s">
        <v>139</v>
      </c>
      <c r="X452" s="54" t="s">
        <v>139</v>
      </c>
      <c r="Y452" s="54" t="s">
        <v>139</v>
      </c>
      <c r="Z452" s="54" t="s">
        <v>2667</v>
      </c>
      <c r="AA452" s="54" t="s">
        <v>139</v>
      </c>
      <c r="AB452" s="55"/>
      <c r="AC452" s="56"/>
      <c r="AD452" s="56"/>
      <c r="AE452" s="57"/>
      <c r="AF452" s="56"/>
      <c r="AG452" s="56"/>
      <c r="AH452" s="56"/>
      <c r="AI452" s="3" t="s">
        <v>1583</v>
      </c>
    </row>
    <row r="453" spans="1:35" ht="40.5">
      <c r="A453" s="144">
        <f t="shared" si="7"/>
        <v>451</v>
      </c>
      <c r="B453" s="148"/>
      <c r="C453" s="148"/>
      <c r="D453" s="148"/>
      <c r="E453" s="148"/>
      <c r="F453" s="148"/>
      <c r="G453" s="148"/>
      <c r="H453" s="148"/>
      <c r="I453" s="148"/>
      <c r="J453" s="98" t="s">
        <v>2102</v>
      </c>
      <c r="K453" s="51" t="str">
        <f>_xlfn.XLOOKUP(L453,'99_マスタ'!$D$5:$D$18,'99_マスタ'!$C$5:$C$18,"")</f>
        <v>02_生販在</v>
      </c>
      <c r="L453" s="52" t="s">
        <v>2305</v>
      </c>
      <c r="M453" s="52" t="s">
        <v>2500</v>
      </c>
      <c r="N453" s="54" t="s">
        <v>1637</v>
      </c>
      <c r="O453" s="41" t="s">
        <v>3200</v>
      </c>
      <c r="P453" s="41" t="s">
        <v>2614</v>
      </c>
      <c r="Q453" s="41"/>
      <c r="R453" s="41" t="s">
        <v>139</v>
      </c>
      <c r="S453" s="41" t="s">
        <v>139</v>
      </c>
      <c r="T453" s="41" t="s">
        <v>139</v>
      </c>
      <c r="U453" s="41" t="s">
        <v>2670</v>
      </c>
      <c r="V453" s="41" t="s">
        <v>139</v>
      </c>
      <c r="W453" s="73" t="s">
        <v>139</v>
      </c>
      <c r="X453" s="54" t="s">
        <v>139</v>
      </c>
      <c r="Y453" s="54" t="s">
        <v>139</v>
      </c>
      <c r="Z453" s="54" t="s">
        <v>2667</v>
      </c>
      <c r="AA453" s="54" t="s">
        <v>139</v>
      </c>
      <c r="AB453" s="55"/>
      <c r="AC453" s="56"/>
      <c r="AD453" s="56"/>
      <c r="AE453" s="57"/>
      <c r="AF453" s="56"/>
      <c r="AG453" s="56"/>
      <c r="AH453" s="56"/>
      <c r="AI453" s="3" t="s">
        <v>1583</v>
      </c>
    </row>
    <row r="454" spans="1:35" ht="40.5">
      <c r="A454" s="144">
        <f t="shared" si="7"/>
        <v>452</v>
      </c>
      <c r="B454" s="148"/>
      <c r="C454" s="148"/>
      <c r="D454" s="148"/>
      <c r="E454" s="148"/>
      <c r="F454" s="148"/>
      <c r="G454" s="148"/>
      <c r="H454" s="148"/>
      <c r="I454" s="148"/>
      <c r="J454" s="98" t="s">
        <v>2102</v>
      </c>
      <c r="K454" s="51" t="str">
        <f>_xlfn.XLOOKUP(L454,'99_マスタ'!$D$5:$D$18,'99_マスタ'!$C$5:$C$18,"")</f>
        <v>02_生販在</v>
      </c>
      <c r="L454" s="52" t="s">
        <v>2305</v>
      </c>
      <c r="M454" s="52" t="s">
        <v>2501</v>
      </c>
      <c r="N454" s="54" t="s">
        <v>1637</v>
      </c>
      <c r="O454" s="41" t="s">
        <v>3201</v>
      </c>
      <c r="P454" s="41" t="s">
        <v>2615</v>
      </c>
      <c r="Q454" s="41"/>
      <c r="R454" s="41" t="s">
        <v>139</v>
      </c>
      <c r="S454" s="41" t="s">
        <v>139</v>
      </c>
      <c r="T454" s="41" t="s">
        <v>139</v>
      </c>
      <c r="U454" s="41" t="s">
        <v>2670</v>
      </c>
      <c r="V454" s="41" t="s">
        <v>139</v>
      </c>
      <c r="W454" s="73" t="s">
        <v>139</v>
      </c>
      <c r="X454" s="54" t="s">
        <v>139</v>
      </c>
      <c r="Y454" s="54" t="s">
        <v>139</v>
      </c>
      <c r="Z454" s="54" t="s">
        <v>2667</v>
      </c>
      <c r="AA454" s="54" t="s">
        <v>139</v>
      </c>
      <c r="AB454" s="55"/>
      <c r="AC454" s="56"/>
      <c r="AD454" s="56"/>
      <c r="AE454" s="57"/>
      <c r="AF454" s="56"/>
      <c r="AG454" s="56"/>
      <c r="AH454" s="56"/>
      <c r="AI454" s="3" t="s">
        <v>1583</v>
      </c>
    </row>
    <row r="455" spans="1:35" ht="40.5">
      <c r="A455" s="144">
        <f t="shared" si="7"/>
        <v>453</v>
      </c>
      <c r="B455" s="148"/>
      <c r="C455" s="148"/>
      <c r="D455" s="148"/>
      <c r="E455" s="148"/>
      <c r="F455" s="148"/>
      <c r="G455" s="148"/>
      <c r="H455" s="148"/>
      <c r="I455" s="148"/>
      <c r="J455" s="98" t="s">
        <v>2102</v>
      </c>
      <c r="K455" s="51" t="str">
        <f>_xlfn.XLOOKUP(L455,'99_マスタ'!$D$5:$D$18,'99_マスタ'!$C$5:$C$18,"")</f>
        <v>02_生販在</v>
      </c>
      <c r="L455" s="52" t="s">
        <v>2305</v>
      </c>
      <c r="M455" s="52" t="s">
        <v>2502</v>
      </c>
      <c r="N455" s="54" t="s">
        <v>1637</v>
      </c>
      <c r="O455" s="41" t="s">
        <v>3202</v>
      </c>
      <c r="P455" s="41" t="s">
        <v>2616</v>
      </c>
      <c r="Q455" s="41"/>
      <c r="R455" s="41" t="s">
        <v>139</v>
      </c>
      <c r="S455" s="41" t="s">
        <v>139</v>
      </c>
      <c r="T455" s="41" t="s">
        <v>139</v>
      </c>
      <c r="U455" s="41" t="s">
        <v>2670</v>
      </c>
      <c r="V455" s="41" t="s">
        <v>139</v>
      </c>
      <c r="W455" s="73" t="s">
        <v>139</v>
      </c>
      <c r="X455" s="54" t="s">
        <v>139</v>
      </c>
      <c r="Y455" s="54" t="s">
        <v>139</v>
      </c>
      <c r="Z455" s="54" t="s">
        <v>2667</v>
      </c>
      <c r="AA455" s="54" t="s">
        <v>139</v>
      </c>
      <c r="AB455" s="55"/>
      <c r="AC455" s="56"/>
      <c r="AD455" s="56"/>
      <c r="AE455" s="57"/>
      <c r="AF455" s="56"/>
      <c r="AG455" s="56"/>
      <c r="AH455" s="56"/>
      <c r="AI455" s="3" t="s">
        <v>1583</v>
      </c>
    </row>
    <row r="456" spans="1:35" ht="40.5">
      <c r="A456" s="144">
        <f t="shared" si="7"/>
        <v>454</v>
      </c>
      <c r="B456" s="148"/>
      <c r="C456" s="148"/>
      <c r="D456" s="148"/>
      <c r="E456" s="148"/>
      <c r="F456" s="148"/>
      <c r="G456" s="148"/>
      <c r="H456" s="148"/>
      <c r="I456" s="148"/>
      <c r="J456" s="98" t="s">
        <v>2102</v>
      </c>
      <c r="K456" s="51" t="str">
        <f>_xlfn.XLOOKUP(L456,'99_マスタ'!$D$5:$D$18,'99_マスタ'!$C$5:$C$18,"")</f>
        <v>02_生販在</v>
      </c>
      <c r="L456" s="52" t="s">
        <v>2305</v>
      </c>
      <c r="M456" s="52" t="s">
        <v>2503</v>
      </c>
      <c r="N456" s="54" t="s">
        <v>1637</v>
      </c>
      <c r="O456" s="41" t="s">
        <v>3203</v>
      </c>
      <c r="P456" s="41" t="s">
        <v>2617</v>
      </c>
      <c r="Q456" s="41"/>
      <c r="R456" s="41" t="s">
        <v>139</v>
      </c>
      <c r="S456" s="41" t="s">
        <v>139</v>
      </c>
      <c r="T456" s="41" t="s">
        <v>139</v>
      </c>
      <c r="U456" s="41" t="s">
        <v>2670</v>
      </c>
      <c r="V456" s="41" t="s">
        <v>139</v>
      </c>
      <c r="W456" s="73" t="s">
        <v>139</v>
      </c>
      <c r="X456" s="54" t="s">
        <v>139</v>
      </c>
      <c r="Y456" s="54" t="s">
        <v>139</v>
      </c>
      <c r="Z456" s="54" t="s">
        <v>2667</v>
      </c>
      <c r="AA456" s="54" t="s">
        <v>139</v>
      </c>
      <c r="AB456" s="55"/>
      <c r="AC456" s="56"/>
      <c r="AD456" s="56"/>
      <c r="AE456" s="57"/>
      <c r="AF456" s="56"/>
      <c r="AG456" s="56"/>
      <c r="AH456" s="56"/>
      <c r="AI456" s="3" t="s">
        <v>1583</v>
      </c>
    </row>
    <row r="457" spans="1:35" ht="40.5">
      <c r="A457" s="144">
        <f t="shared" si="7"/>
        <v>455</v>
      </c>
      <c r="B457" s="148"/>
      <c r="C457" s="148"/>
      <c r="D457" s="148"/>
      <c r="E457" s="148"/>
      <c r="F457" s="148"/>
      <c r="G457" s="148"/>
      <c r="H457" s="148"/>
      <c r="I457" s="148"/>
      <c r="J457" s="98" t="s">
        <v>2102</v>
      </c>
      <c r="K457" s="51" t="str">
        <f>_xlfn.XLOOKUP(L457,'99_マスタ'!$D$5:$D$18,'99_マスタ'!$C$5:$C$18,"")</f>
        <v>02_生販在</v>
      </c>
      <c r="L457" s="52" t="s">
        <v>2305</v>
      </c>
      <c r="M457" s="52" t="s">
        <v>2393</v>
      </c>
      <c r="N457" s="54" t="s">
        <v>1637</v>
      </c>
      <c r="O457" s="41" t="s">
        <v>2618</v>
      </c>
      <c r="P457" s="41" t="s">
        <v>2441</v>
      </c>
      <c r="Q457" s="41"/>
      <c r="R457" s="41" t="s">
        <v>139</v>
      </c>
      <c r="S457" s="41" t="s">
        <v>139</v>
      </c>
      <c r="T457" s="41" t="s">
        <v>139</v>
      </c>
      <c r="U457" s="41" t="s">
        <v>2670</v>
      </c>
      <c r="V457" s="41" t="s">
        <v>139</v>
      </c>
      <c r="W457" s="73" t="s">
        <v>139</v>
      </c>
      <c r="X457" s="54" t="s">
        <v>139</v>
      </c>
      <c r="Y457" s="54" t="s">
        <v>139</v>
      </c>
      <c r="Z457" s="54" t="s">
        <v>2667</v>
      </c>
      <c r="AA457" s="54" t="s">
        <v>139</v>
      </c>
      <c r="AB457" s="55"/>
      <c r="AC457" s="56"/>
      <c r="AD457" s="56"/>
      <c r="AE457" s="57"/>
      <c r="AF457" s="56"/>
      <c r="AG457" s="56"/>
      <c r="AH457" s="56"/>
      <c r="AI457" s="3" t="s">
        <v>1583</v>
      </c>
    </row>
    <row r="458" spans="1:35" ht="40.5">
      <c r="A458" s="144">
        <f t="shared" si="7"/>
        <v>456</v>
      </c>
      <c r="B458" s="148"/>
      <c r="C458" s="148"/>
      <c r="D458" s="148"/>
      <c r="E458" s="148"/>
      <c r="F458" s="148"/>
      <c r="G458" s="148"/>
      <c r="H458" s="148"/>
      <c r="I458" s="148"/>
      <c r="J458" s="98" t="s">
        <v>2102</v>
      </c>
      <c r="K458" s="51" t="str">
        <f>_xlfn.XLOOKUP(L458,'99_マスタ'!$D$5:$D$18,'99_マスタ'!$C$5:$C$18,"")</f>
        <v>02_生販在</v>
      </c>
      <c r="L458" s="52" t="s">
        <v>2305</v>
      </c>
      <c r="M458" s="52" t="s">
        <v>2424</v>
      </c>
      <c r="N458" s="54" t="s">
        <v>1637</v>
      </c>
      <c r="O458" s="41" t="s">
        <v>2619</v>
      </c>
      <c r="P458" s="41" t="s">
        <v>2452</v>
      </c>
      <c r="Q458" s="41"/>
      <c r="R458" s="41" t="s">
        <v>139</v>
      </c>
      <c r="S458" s="41" t="s">
        <v>139</v>
      </c>
      <c r="T458" s="41" t="s">
        <v>139</v>
      </c>
      <c r="U458" s="41" t="s">
        <v>2670</v>
      </c>
      <c r="V458" s="41" t="s">
        <v>139</v>
      </c>
      <c r="W458" s="73" t="s">
        <v>139</v>
      </c>
      <c r="X458" s="54" t="s">
        <v>139</v>
      </c>
      <c r="Y458" s="54" t="s">
        <v>139</v>
      </c>
      <c r="Z458" s="54" t="s">
        <v>2667</v>
      </c>
      <c r="AA458" s="54" t="s">
        <v>139</v>
      </c>
      <c r="AB458" s="55"/>
      <c r="AC458" s="56"/>
      <c r="AD458" s="56"/>
      <c r="AE458" s="57"/>
      <c r="AF458" s="56"/>
      <c r="AG458" s="56"/>
      <c r="AH458" s="56"/>
      <c r="AI458" s="3" t="s">
        <v>1583</v>
      </c>
    </row>
    <row r="459" spans="1:35" ht="40.5">
      <c r="A459" s="144">
        <f t="shared" si="7"/>
        <v>457</v>
      </c>
      <c r="B459" s="148"/>
      <c r="C459" s="148"/>
      <c r="D459" s="148"/>
      <c r="E459" s="148"/>
      <c r="F459" s="148"/>
      <c r="G459" s="148"/>
      <c r="H459" s="148"/>
      <c r="I459" s="148"/>
      <c r="J459" s="98" t="s">
        <v>2102</v>
      </c>
      <c r="K459" s="51" t="str">
        <f>_xlfn.XLOOKUP(L459,'99_マスタ'!$D$5:$D$18,'99_マスタ'!$C$5:$C$18,"")</f>
        <v>02_生販在</v>
      </c>
      <c r="L459" s="52" t="s">
        <v>2305</v>
      </c>
      <c r="M459" s="52" t="s">
        <v>2431</v>
      </c>
      <c r="N459" s="54" t="s">
        <v>1637</v>
      </c>
      <c r="O459" s="41" t="s">
        <v>2453</v>
      </c>
      <c r="P459" s="41" t="s">
        <v>2454</v>
      </c>
      <c r="Q459" s="41"/>
      <c r="R459" s="41" t="s">
        <v>139</v>
      </c>
      <c r="S459" s="41" t="s">
        <v>139</v>
      </c>
      <c r="T459" s="41" t="s">
        <v>139</v>
      </c>
      <c r="U459" s="41" t="s">
        <v>2670</v>
      </c>
      <c r="V459" s="41" t="s">
        <v>139</v>
      </c>
      <c r="W459" s="73" t="s">
        <v>139</v>
      </c>
      <c r="X459" s="54" t="s">
        <v>139</v>
      </c>
      <c r="Y459" s="54" t="s">
        <v>139</v>
      </c>
      <c r="Z459" s="54" t="s">
        <v>2667</v>
      </c>
      <c r="AA459" s="54" t="s">
        <v>139</v>
      </c>
      <c r="AB459" s="55"/>
      <c r="AC459" s="56"/>
      <c r="AD459" s="56"/>
      <c r="AE459" s="57"/>
      <c r="AF459" s="56"/>
      <c r="AG459" s="56"/>
      <c r="AH459" s="56"/>
      <c r="AI459" s="3" t="s">
        <v>1583</v>
      </c>
    </row>
    <row r="460" spans="1:35" ht="40.5">
      <c r="A460" s="144">
        <f t="shared" si="7"/>
        <v>458</v>
      </c>
      <c r="B460" s="148"/>
      <c r="C460" s="148"/>
      <c r="D460" s="148"/>
      <c r="E460" s="148"/>
      <c r="F460" s="148"/>
      <c r="G460" s="148"/>
      <c r="H460" s="148"/>
      <c r="I460" s="148"/>
      <c r="J460" s="98" t="s">
        <v>2102</v>
      </c>
      <c r="K460" s="51" t="str">
        <f>_xlfn.XLOOKUP(L460,'99_マスタ'!$D$5:$D$18,'99_マスタ'!$C$5:$C$18,"")</f>
        <v>02_生販在</v>
      </c>
      <c r="L460" s="52" t="s">
        <v>2305</v>
      </c>
      <c r="M460" s="52" t="s">
        <v>2290</v>
      </c>
      <c r="N460" s="54" t="s">
        <v>139</v>
      </c>
      <c r="O460" s="41" t="s">
        <v>2291</v>
      </c>
      <c r="P460" s="41" t="s">
        <v>2292</v>
      </c>
      <c r="Q460" s="41" t="s">
        <v>2268</v>
      </c>
      <c r="R460" s="41" t="s">
        <v>139</v>
      </c>
      <c r="S460" s="41" t="s">
        <v>139</v>
      </c>
      <c r="T460" s="41" t="s">
        <v>139</v>
      </c>
      <c r="U460" s="41" t="s">
        <v>2271</v>
      </c>
      <c r="V460" s="41" t="s">
        <v>139</v>
      </c>
      <c r="W460" s="73" t="s">
        <v>139</v>
      </c>
      <c r="X460" s="54" t="s">
        <v>139</v>
      </c>
      <c r="Y460" s="54" t="s">
        <v>139</v>
      </c>
      <c r="Z460" s="54" t="s">
        <v>2289</v>
      </c>
      <c r="AA460" s="54" t="s">
        <v>139</v>
      </c>
      <c r="AB460" s="55"/>
      <c r="AC460" s="56"/>
      <c r="AD460" s="56"/>
      <c r="AE460" s="57"/>
      <c r="AF460" s="56"/>
      <c r="AG460" s="56"/>
      <c r="AH460" s="56"/>
      <c r="AI460" s="3" t="s">
        <v>1583</v>
      </c>
    </row>
    <row r="461" spans="1:35" ht="27">
      <c r="A461" s="144">
        <f t="shared" si="7"/>
        <v>459</v>
      </c>
      <c r="B461" s="148"/>
      <c r="C461" s="148"/>
      <c r="D461" s="148"/>
      <c r="E461" s="148"/>
      <c r="F461" s="148"/>
      <c r="G461" s="148"/>
      <c r="H461" s="148"/>
      <c r="I461" s="148"/>
      <c r="J461" s="98" t="s">
        <v>2102</v>
      </c>
      <c r="K461" s="100" t="str">
        <f>_xlfn.XLOOKUP(L461,'99_マスタ'!$D$5:$D$18,'99_マスタ'!$C$5:$C$18,"")</f>
        <v>02_生販在</v>
      </c>
      <c r="L461" s="100" t="s">
        <v>2305</v>
      </c>
      <c r="M461" s="100" t="s">
        <v>2680</v>
      </c>
      <c r="N461" s="126" t="s">
        <v>1637</v>
      </c>
      <c r="O461" s="40" t="s">
        <v>2000</v>
      </c>
      <c r="P461" s="40" t="s">
        <v>1999</v>
      </c>
      <c r="Q461" s="40" t="s">
        <v>1895</v>
      </c>
      <c r="R461" s="41" t="s">
        <v>139</v>
      </c>
      <c r="S461" s="41" t="s">
        <v>139</v>
      </c>
      <c r="T461" s="41" t="s">
        <v>139</v>
      </c>
      <c r="U461" s="41" t="s">
        <v>139</v>
      </c>
      <c r="V461" s="41" t="s">
        <v>1165</v>
      </c>
      <c r="W461" s="74" t="s">
        <v>139</v>
      </c>
      <c r="X461" s="41" t="s">
        <v>139</v>
      </c>
      <c r="Y461" s="41" t="s">
        <v>139</v>
      </c>
      <c r="Z461" s="41" t="s">
        <v>139</v>
      </c>
      <c r="AA461" s="41" t="s">
        <v>1166</v>
      </c>
      <c r="AB461" s="44"/>
      <c r="AC461" s="45"/>
      <c r="AD461" s="45"/>
      <c r="AE461" s="46"/>
      <c r="AF461" s="45"/>
      <c r="AG461" s="45"/>
      <c r="AH461" s="45"/>
      <c r="AI461" s="3" t="s">
        <v>1583</v>
      </c>
    </row>
    <row r="462" spans="1:35" ht="40.5">
      <c r="A462" s="144">
        <f t="shared" si="7"/>
        <v>460</v>
      </c>
      <c r="B462" s="148"/>
      <c r="C462" s="148"/>
      <c r="D462" s="148"/>
      <c r="E462" s="148"/>
      <c r="F462" s="148"/>
      <c r="G462" s="148"/>
      <c r="H462" s="148"/>
      <c r="I462" s="148"/>
      <c r="J462" s="98" t="s">
        <v>2102</v>
      </c>
      <c r="K462" s="100" t="str">
        <f>_xlfn.XLOOKUP(L462,'99_マスタ'!$D$5:$D$18,'99_マスタ'!$C$5:$C$18,"")</f>
        <v>02_生販在</v>
      </c>
      <c r="L462" s="100" t="s">
        <v>2305</v>
      </c>
      <c r="M462" s="100" t="s">
        <v>2681</v>
      </c>
      <c r="N462" s="126" t="s">
        <v>1637</v>
      </c>
      <c r="O462" s="40" t="s">
        <v>2003</v>
      </c>
      <c r="P462" s="40" t="s">
        <v>2004</v>
      </c>
      <c r="Q462" s="40" t="s">
        <v>1645</v>
      </c>
      <c r="R462" s="41" t="s">
        <v>139</v>
      </c>
      <c r="S462" s="41" t="s">
        <v>139</v>
      </c>
      <c r="T462" s="41" t="s">
        <v>139</v>
      </c>
      <c r="U462" s="41" t="s">
        <v>139</v>
      </c>
      <c r="V462" s="41" t="s">
        <v>1165</v>
      </c>
      <c r="W462" s="74" t="s">
        <v>139</v>
      </c>
      <c r="X462" s="41" t="s">
        <v>139</v>
      </c>
      <c r="Y462" s="41" t="s">
        <v>139</v>
      </c>
      <c r="Z462" s="41" t="s">
        <v>139</v>
      </c>
      <c r="AA462" s="41" t="s">
        <v>1166</v>
      </c>
      <c r="AB462" s="44"/>
      <c r="AC462" s="45"/>
      <c r="AD462" s="45"/>
      <c r="AE462" s="46"/>
      <c r="AF462" s="45"/>
      <c r="AG462" s="45"/>
      <c r="AH462" s="45"/>
      <c r="AI462" s="3" t="s">
        <v>1583</v>
      </c>
    </row>
    <row r="463" spans="1:35" ht="27">
      <c r="A463" s="144">
        <f t="shared" si="7"/>
        <v>461</v>
      </c>
      <c r="B463" s="148"/>
      <c r="C463" s="148"/>
      <c r="D463" s="148"/>
      <c r="E463" s="148"/>
      <c r="F463" s="148"/>
      <c r="G463" s="148"/>
      <c r="H463" s="148"/>
      <c r="I463" s="148"/>
      <c r="J463" s="116" t="s">
        <v>2102</v>
      </c>
      <c r="K463" s="77" t="str">
        <f>_xlfn.XLOOKUP(L463,'99_マスタ'!$D$5:$D$18,'99_マスタ'!$C$5:$C$18,"")</f>
        <v>02_生販在</v>
      </c>
      <c r="L463" s="78" t="s">
        <v>2305</v>
      </c>
      <c r="M463" s="52" t="s">
        <v>2807</v>
      </c>
      <c r="N463" s="54" t="s">
        <v>1637</v>
      </c>
      <c r="O463" s="41" t="s">
        <v>2813</v>
      </c>
      <c r="P463" s="41"/>
      <c r="Q463" s="41" t="s">
        <v>1637</v>
      </c>
      <c r="R463" s="41" t="s">
        <v>2814</v>
      </c>
      <c r="S463" s="41" t="s">
        <v>139</v>
      </c>
      <c r="T463" s="41" t="s">
        <v>139</v>
      </c>
      <c r="U463" s="41" t="s">
        <v>139</v>
      </c>
      <c r="V463" s="41" t="s">
        <v>139</v>
      </c>
      <c r="W463" s="73" t="s">
        <v>218</v>
      </c>
      <c r="X463" s="54" t="s">
        <v>139</v>
      </c>
      <c r="Y463" s="54" t="s">
        <v>139</v>
      </c>
      <c r="Z463" s="54" t="s">
        <v>139</v>
      </c>
      <c r="AA463" s="54" t="s">
        <v>139</v>
      </c>
      <c r="AB463" s="55"/>
      <c r="AC463" s="56"/>
      <c r="AD463" s="56"/>
      <c r="AE463" s="57"/>
      <c r="AF463" s="56"/>
      <c r="AG463" s="56"/>
      <c r="AH463" s="56"/>
      <c r="AI463" s="3" t="s">
        <v>1583</v>
      </c>
    </row>
    <row r="464" spans="1:35">
      <c r="A464" s="144">
        <f t="shared" si="7"/>
        <v>462</v>
      </c>
      <c r="B464" s="148"/>
      <c r="C464" s="148"/>
      <c r="D464" s="148"/>
      <c r="E464" s="148"/>
      <c r="F464" s="148"/>
      <c r="G464" s="148"/>
      <c r="H464" s="148"/>
      <c r="I464" s="148"/>
      <c r="J464" s="116" t="s">
        <v>2102</v>
      </c>
      <c r="K464" s="51" t="str">
        <f>_xlfn.XLOOKUP(L464,'99_マスタ'!$D$5:$D$18,'99_マスタ'!$C$5:$C$18,"")</f>
        <v>02_生販在</v>
      </c>
      <c r="L464" s="52" t="s">
        <v>2305</v>
      </c>
      <c r="M464" s="52" t="s">
        <v>459</v>
      </c>
      <c r="N464" s="54" t="s">
        <v>139</v>
      </c>
      <c r="O464" s="41" t="s">
        <v>460</v>
      </c>
      <c r="P464" s="41"/>
      <c r="Q464" s="41" t="s">
        <v>139</v>
      </c>
      <c r="R464" s="41" t="s">
        <v>458</v>
      </c>
      <c r="S464" s="41" t="s">
        <v>139</v>
      </c>
      <c r="T464" s="41" t="s">
        <v>139</v>
      </c>
      <c r="U464" s="41" t="s">
        <v>139</v>
      </c>
      <c r="V464" s="41" t="s">
        <v>139</v>
      </c>
      <c r="W464" s="73" t="s">
        <v>228</v>
      </c>
      <c r="X464" s="54" t="s">
        <v>139</v>
      </c>
      <c r="Y464" s="54" t="s">
        <v>139</v>
      </c>
      <c r="Z464" s="54" t="s">
        <v>139</v>
      </c>
      <c r="AA464" s="54" t="s">
        <v>139</v>
      </c>
      <c r="AB464" s="55"/>
      <c r="AC464" s="56"/>
      <c r="AD464" s="56"/>
      <c r="AE464" s="57"/>
      <c r="AF464" s="56"/>
      <c r="AG464" s="56"/>
      <c r="AH464" s="56"/>
      <c r="AI464" s="3" t="s">
        <v>1583</v>
      </c>
    </row>
    <row r="465" spans="1:35" ht="27">
      <c r="A465" s="144">
        <f t="shared" si="7"/>
        <v>463</v>
      </c>
      <c r="B465" s="148"/>
      <c r="C465" s="148"/>
      <c r="D465" s="148"/>
      <c r="E465" s="148"/>
      <c r="F465" s="148"/>
      <c r="G465" s="148"/>
      <c r="H465" s="148"/>
      <c r="I465" s="148"/>
      <c r="J465" s="98" t="s">
        <v>2102</v>
      </c>
      <c r="K465" s="99" t="str">
        <f>_xlfn.XLOOKUP(L465,'99_マスタ'!$D$5:$D$18,'99_マスタ'!$C$5:$C$18,"")</f>
        <v>02_生販在</v>
      </c>
      <c r="L465" s="99" t="s">
        <v>2305</v>
      </c>
      <c r="M465" s="99" t="s">
        <v>2186</v>
      </c>
      <c r="N465" s="126" t="s">
        <v>2187</v>
      </c>
      <c r="O465" s="40" t="s">
        <v>2189</v>
      </c>
      <c r="P465" s="40"/>
      <c r="Q465" s="40" t="s">
        <v>139</v>
      </c>
      <c r="R465" s="41" t="s">
        <v>139</v>
      </c>
      <c r="S465" s="41" t="s">
        <v>139</v>
      </c>
      <c r="T465" s="41" t="s">
        <v>139</v>
      </c>
      <c r="U465" s="41" t="s">
        <v>2190</v>
      </c>
      <c r="V465" s="41" t="s">
        <v>139</v>
      </c>
      <c r="W465" s="74" t="s">
        <v>139</v>
      </c>
      <c r="X465" s="41" t="s">
        <v>139</v>
      </c>
      <c r="Y465" s="41" t="s">
        <v>139</v>
      </c>
      <c r="Z465" s="41" t="s">
        <v>1542</v>
      </c>
      <c r="AA465" s="41" t="s">
        <v>139</v>
      </c>
      <c r="AB465" s="44"/>
      <c r="AC465" s="45"/>
      <c r="AD465" s="45"/>
      <c r="AE465" s="46"/>
      <c r="AF465" s="45"/>
      <c r="AG465" s="45"/>
      <c r="AH465" s="45"/>
      <c r="AI465" s="3" t="s">
        <v>1583</v>
      </c>
    </row>
    <row r="466" spans="1:35" ht="40.5">
      <c r="A466" s="144">
        <f t="shared" si="7"/>
        <v>464</v>
      </c>
      <c r="B466" s="148"/>
      <c r="C466" s="148"/>
      <c r="D466" s="148"/>
      <c r="E466" s="148"/>
      <c r="F466" s="148"/>
      <c r="G466" s="148"/>
      <c r="H466" s="148"/>
      <c r="I466" s="148"/>
      <c r="J466" s="98" t="s">
        <v>2102</v>
      </c>
      <c r="K466" s="51" t="str">
        <f>_xlfn.XLOOKUP(L466,'99_マスタ'!$D$5:$D$18,'99_マスタ'!$C$5:$C$18,"")</f>
        <v>02_生販在</v>
      </c>
      <c r="L466" s="52" t="s">
        <v>2305</v>
      </c>
      <c r="M466" s="52" t="s">
        <v>2504</v>
      </c>
      <c r="N466" s="54" t="s">
        <v>1637</v>
      </c>
      <c r="O466" s="41" t="s">
        <v>2987</v>
      </c>
      <c r="P466" s="80" t="s">
        <v>2620</v>
      </c>
      <c r="Q466" s="40" t="s">
        <v>139</v>
      </c>
      <c r="R466" s="41" t="s">
        <v>139</v>
      </c>
      <c r="S466" s="41" t="s">
        <v>139</v>
      </c>
      <c r="T466" s="41" t="s">
        <v>139</v>
      </c>
      <c r="U466" s="41" t="s">
        <v>2670</v>
      </c>
      <c r="V466" s="41" t="s">
        <v>139</v>
      </c>
      <c r="W466" s="73" t="s">
        <v>139</v>
      </c>
      <c r="X466" s="54" t="s">
        <v>139</v>
      </c>
      <c r="Y466" s="54" t="s">
        <v>139</v>
      </c>
      <c r="Z466" s="54" t="s">
        <v>2667</v>
      </c>
      <c r="AA466" s="54" t="s">
        <v>139</v>
      </c>
      <c r="AB466" s="55"/>
      <c r="AC466" s="56"/>
      <c r="AD466" s="56"/>
      <c r="AE466" s="57"/>
      <c r="AF466" s="56"/>
      <c r="AG466" s="56"/>
      <c r="AH466" s="56"/>
      <c r="AI466" s="3" t="s">
        <v>1583</v>
      </c>
    </row>
    <row r="467" spans="1:35" ht="40.5">
      <c r="A467" s="144">
        <f t="shared" si="7"/>
        <v>465</v>
      </c>
      <c r="B467" s="148"/>
      <c r="C467" s="148"/>
      <c r="D467" s="148"/>
      <c r="E467" s="148"/>
      <c r="F467" s="148"/>
      <c r="G467" s="148"/>
      <c r="H467" s="148"/>
      <c r="I467" s="148"/>
      <c r="J467" s="98" t="s">
        <v>2102</v>
      </c>
      <c r="K467" s="51" t="str">
        <f>_xlfn.XLOOKUP(L467,'99_マスタ'!$D$5:$D$18,'99_マスタ'!$C$5:$C$18,"")</f>
        <v>02_生販在</v>
      </c>
      <c r="L467" s="52" t="s">
        <v>2305</v>
      </c>
      <c r="M467" s="52" t="s">
        <v>2505</v>
      </c>
      <c r="N467" s="54" t="s">
        <v>1637</v>
      </c>
      <c r="O467" s="41" t="s">
        <v>2988</v>
      </c>
      <c r="P467" s="80" t="s">
        <v>2621</v>
      </c>
      <c r="Q467" s="40" t="s">
        <v>139</v>
      </c>
      <c r="R467" s="41" t="s">
        <v>139</v>
      </c>
      <c r="S467" s="41" t="s">
        <v>139</v>
      </c>
      <c r="T467" s="41" t="s">
        <v>139</v>
      </c>
      <c r="U467" s="41" t="s">
        <v>2670</v>
      </c>
      <c r="V467" s="41" t="s">
        <v>139</v>
      </c>
      <c r="W467" s="73" t="s">
        <v>139</v>
      </c>
      <c r="X467" s="54" t="s">
        <v>139</v>
      </c>
      <c r="Y467" s="54" t="s">
        <v>139</v>
      </c>
      <c r="Z467" s="54" t="s">
        <v>2667</v>
      </c>
      <c r="AA467" s="54" t="s">
        <v>139</v>
      </c>
      <c r="AB467" s="55"/>
      <c r="AC467" s="56"/>
      <c r="AD467" s="56"/>
      <c r="AE467" s="57"/>
      <c r="AF467" s="56"/>
      <c r="AG467" s="56"/>
      <c r="AH467" s="56"/>
      <c r="AI467" s="3" t="s">
        <v>1583</v>
      </c>
    </row>
    <row r="468" spans="1:35" ht="40.5">
      <c r="A468" s="144">
        <f t="shared" si="7"/>
        <v>466</v>
      </c>
      <c r="B468" s="148"/>
      <c r="C468" s="148"/>
      <c r="D468" s="148"/>
      <c r="E468" s="148"/>
      <c r="F468" s="148"/>
      <c r="G468" s="148"/>
      <c r="H468" s="148"/>
      <c r="I468" s="148"/>
      <c r="J468" s="98" t="s">
        <v>2102</v>
      </c>
      <c r="K468" s="51" t="str">
        <f>_xlfn.XLOOKUP(L468,'99_マスタ'!$D$5:$D$18,'99_マスタ'!$C$5:$C$18,"")</f>
        <v>02_生販在</v>
      </c>
      <c r="L468" s="52" t="s">
        <v>2305</v>
      </c>
      <c r="M468" s="52" t="s">
        <v>2506</v>
      </c>
      <c r="N468" s="54" t="s">
        <v>1637</v>
      </c>
      <c r="O468" s="41" t="s">
        <v>2989</v>
      </c>
      <c r="P468" s="80" t="s">
        <v>2622</v>
      </c>
      <c r="Q468" s="40" t="s">
        <v>139</v>
      </c>
      <c r="R468" s="41" t="s">
        <v>139</v>
      </c>
      <c r="S468" s="41" t="s">
        <v>139</v>
      </c>
      <c r="T468" s="41" t="s">
        <v>139</v>
      </c>
      <c r="U468" s="41" t="s">
        <v>2670</v>
      </c>
      <c r="V468" s="41" t="s">
        <v>139</v>
      </c>
      <c r="W468" s="73" t="s">
        <v>139</v>
      </c>
      <c r="X468" s="54" t="s">
        <v>139</v>
      </c>
      <c r="Y468" s="54" t="s">
        <v>139</v>
      </c>
      <c r="Z468" s="54" t="s">
        <v>2667</v>
      </c>
      <c r="AA468" s="54" t="s">
        <v>139</v>
      </c>
      <c r="AB468" s="55"/>
      <c r="AC468" s="56"/>
      <c r="AD468" s="56"/>
      <c r="AE468" s="57"/>
      <c r="AF468" s="56"/>
      <c r="AG468" s="56"/>
      <c r="AH468" s="56"/>
      <c r="AI468" s="3" t="s">
        <v>1583</v>
      </c>
    </row>
    <row r="469" spans="1:35" ht="40.5">
      <c r="A469" s="144">
        <f t="shared" si="7"/>
        <v>467</v>
      </c>
      <c r="B469" s="148"/>
      <c r="C469" s="148"/>
      <c r="D469" s="148"/>
      <c r="E469" s="148"/>
      <c r="F469" s="148"/>
      <c r="G469" s="148"/>
      <c r="H469" s="148"/>
      <c r="I469" s="148"/>
      <c r="J469" s="98" t="s">
        <v>2102</v>
      </c>
      <c r="K469" s="51" t="str">
        <f>_xlfn.XLOOKUP(L469,'99_マスタ'!$D$5:$D$18,'99_マスタ'!$C$5:$C$18,"")</f>
        <v>02_生販在</v>
      </c>
      <c r="L469" s="52" t="s">
        <v>2305</v>
      </c>
      <c r="M469" s="52" t="s">
        <v>2507</v>
      </c>
      <c r="N469" s="54" t="s">
        <v>1637</v>
      </c>
      <c r="O469" s="41" t="s">
        <v>2990</v>
      </c>
      <c r="P469" s="80" t="s">
        <v>2623</v>
      </c>
      <c r="Q469" s="40" t="s">
        <v>139</v>
      </c>
      <c r="R469" s="41" t="s">
        <v>139</v>
      </c>
      <c r="S469" s="41" t="s">
        <v>139</v>
      </c>
      <c r="T469" s="41" t="s">
        <v>139</v>
      </c>
      <c r="U469" s="41" t="s">
        <v>2670</v>
      </c>
      <c r="V469" s="41" t="s">
        <v>139</v>
      </c>
      <c r="W469" s="73" t="s">
        <v>139</v>
      </c>
      <c r="X469" s="54" t="s">
        <v>139</v>
      </c>
      <c r="Y469" s="54" t="s">
        <v>139</v>
      </c>
      <c r="Z469" s="54" t="s">
        <v>2667</v>
      </c>
      <c r="AA469" s="54" t="s">
        <v>139</v>
      </c>
      <c r="AB469" s="55"/>
      <c r="AC469" s="56"/>
      <c r="AD469" s="56"/>
      <c r="AE469" s="57"/>
      <c r="AF469" s="56"/>
      <c r="AG469" s="56"/>
      <c r="AH469" s="56"/>
      <c r="AI469" s="3" t="s">
        <v>1583</v>
      </c>
    </row>
    <row r="470" spans="1:35" ht="40.5">
      <c r="A470" s="144">
        <f t="shared" si="7"/>
        <v>468</v>
      </c>
      <c r="B470" s="148"/>
      <c r="C470" s="148"/>
      <c r="D470" s="148"/>
      <c r="E470" s="148"/>
      <c r="F470" s="148"/>
      <c r="G470" s="148"/>
      <c r="H470" s="148"/>
      <c r="I470" s="148"/>
      <c r="J470" s="98" t="s">
        <v>2102</v>
      </c>
      <c r="K470" s="51" t="str">
        <f>_xlfn.XLOOKUP(L470,'99_マスタ'!$D$5:$D$18,'99_マスタ'!$C$5:$C$18,"")</f>
        <v>02_生販在</v>
      </c>
      <c r="L470" s="52" t="s">
        <v>2305</v>
      </c>
      <c r="M470" s="52" t="s">
        <v>2508</v>
      </c>
      <c r="N470" s="54" t="s">
        <v>1637</v>
      </c>
      <c r="O470" s="41" t="s">
        <v>2991</v>
      </c>
      <c r="P470" s="80" t="s">
        <v>2624</v>
      </c>
      <c r="Q470" s="40" t="s">
        <v>139</v>
      </c>
      <c r="R470" s="41" t="s">
        <v>139</v>
      </c>
      <c r="S470" s="41" t="s">
        <v>139</v>
      </c>
      <c r="T470" s="41" t="s">
        <v>139</v>
      </c>
      <c r="U470" s="41" t="s">
        <v>2670</v>
      </c>
      <c r="V470" s="41" t="s">
        <v>139</v>
      </c>
      <c r="W470" s="73" t="s">
        <v>139</v>
      </c>
      <c r="X470" s="54" t="s">
        <v>139</v>
      </c>
      <c r="Y470" s="54" t="s">
        <v>139</v>
      </c>
      <c r="Z470" s="54" t="s">
        <v>2667</v>
      </c>
      <c r="AA470" s="54" t="s">
        <v>139</v>
      </c>
      <c r="AB470" s="55"/>
      <c r="AC470" s="56"/>
      <c r="AD470" s="56"/>
      <c r="AE470" s="57"/>
      <c r="AF470" s="56"/>
      <c r="AG470" s="56"/>
      <c r="AH470" s="56"/>
      <c r="AI470" s="3" t="s">
        <v>1583</v>
      </c>
    </row>
    <row r="471" spans="1:35" ht="40.5">
      <c r="A471" s="144">
        <f t="shared" si="7"/>
        <v>469</v>
      </c>
      <c r="B471" s="148"/>
      <c r="C471" s="148"/>
      <c r="D471" s="148"/>
      <c r="E471" s="148"/>
      <c r="F471" s="148"/>
      <c r="G471" s="148"/>
      <c r="H471" s="148"/>
      <c r="I471" s="148"/>
      <c r="J471" s="98" t="s">
        <v>2102</v>
      </c>
      <c r="K471" s="51" t="str">
        <f>_xlfn.XLOOKUP(L471,'99_マスタ'!$D$5:$D$18,'99_マスタ'!$C$5:$C$18,"")</f>
        <v>02_生販在</v>
      </c>
      <c r="L471" s="52" t="s">
        <v>2305</v>
      </c>
      <c r="M471" s="52" t="s">
        <v>2509</v>
      </c>
      <c r="N471" s="54" t="s">
        <v>1637</v>
      </c>
      <c r="O471" s="41" t="s">
        <v>2992</v>
      </c>
      <c r="P471" s="80" t="s">
        <v>2625</v>
      </c>
      <c r="Q471" s="40" t="s">
        <v>139</v>
      </c>
      <c r="R471" s="41" t="s">
        <v>139</v>
      </c>
      <c r="S471" s="41" t="s">
        <v>139</v>
      </c>
      <c r="T471" s="41" t="s">
        <v>139</v>
      </c>
      <c r="U471" s="41" t="s">
        <v>2670</v>
      </c>
      <c r="V471" s="41" t="s">
        <v>139</v>
      </c>
      <c r="W471" s="73" t="s">
        <v>139</v>
      </c>
      <c r="X471" s="54" t="s">
        <v>139</v>
      </c>
      <c r="Y471" s="54" t="s">
        <v>139</v>
      </c>
      <c r="Z471" s="54" t="s">
        <v>2667</v>
      </c>
      <c r="AA471" s="54" t="s">
        <v>139</v>
      </c>
      <c r="AB471" s="55"/>
      <c r="AC471" s="56"/>
      <c r="AD471" s="56"/>
      <c r="AE471" s="57"/>
      <c r="AF471" s="56"/>
      <c r="AG471" s="56"/>
      <c r="AH471" s="56"/>
      <c r="AI471" s="3" t="s">
        <v>1583</v>
      </c>
    </row>
    <row r="472" spans="1:35" ht="40.5">
      <c r="A472" s="144">
        <f t="shared" si="7"/>
        <v>470</v>
      </c>
      <c r="B472" s="148"/>
      <c r="C472" s="148"/>
      <c r="D472" s="148"/>
      <c r="E472" s="148"/>
      <c r="F472" s="148"/>
      <c r="G472" s="148"/>
      <c r="H472" s="148"/>
      <c r="I472" s="148"/>
      <c r="J472" s="98" t="s">
        <v>2102</v>
      </c>
      <c r="K472" s="51" t="str">
        <f>_xlfn.XLOOKUP(L472,'99_マスタ'!$D$5:$D$18,'99_マスタ'!$C$5:$C$18,"")</f>
        <v>02_生販在</v>
      </c>
      <c r="L472" s="52" t="s">
        <v>2305</v>
      </c>
      <c r="M472" s="52" t="s">
        <v>2510</v>
      </c>
      <c r="N472" s="54" t="s">
        <v>1637</v>
      </c>
      <c r="O472" s="41" t="s">
        <v>2993</v>
      </c>
      <c r="P472" s="80" t="s">
        <v>2626</v>
      </c>
      <c r="Q472" s="40" t="s">
        <v>139</v>
      </c>
      <c r="R472" s="41" t="s">
        <v>139</v>
      </c>
      <c r="S472" s="41" t="s">
        <v>139</v>
      </c>
      <c r="T472" s="41" t="s">
        <v>139</v>
      </c>
      <c r="U472" s="41" t="s">
        <v>2670</v>
      </c>
      <c r="V472" s="41" t="s">
        <v>139</v>
      </c>
      <c r="W472" s="73" t="s">
        <v>139</v>
      </c>
      <c r="X472" s="54" t="s">
        <v>139</v>
      </c>
      <c r="Y472" s="54" t="s">
        <v>139</v>
      </c>
      <c r="Z472" s="54" t="s">
        <v>2667</v>
      </c>
      <c r="AA472" s="54" t="s">
        <v>139</v>
      </c>
      <c r="AB472" s="55"/>
      <c r="AC472" s="56"/>
      <c r="AD472" s="56"/>
      <c r="AE472" s="57"/>
      <c r="AF472" s="56"/>
      <c r="AG472" s="56"/>
      <c r="AH472" s="56"/>
      <c r="AI472" s="3" t="s">
        <v>1583</v>
      </c>
    </row>
    <row r="473" spans="1:35" ht="40.5">
      <c r="A473" s="144">
        <f t="shared" si="7"/>
        <v>471</v>
      </c>
      <c r="B473" s="148"/>
      <c r="C473" s="148"/>
      <c r="D473" s="148"/>
      <c r="E473" s="148"/>
      <c r="F473" s="148"/>
      <c r="G473" s="148"/>
      <c r="H473" s="148"/>
      <c r="I473" s="148"/>
      <c r="J473" s="98" t="s">
        <v>2102</v>
      </c>
      <c r="K473" s="51" t="str">
        <f>_xlfn.XLOOKUP(L473,'99_マスタ'!$D$5:$D$18,'99_マスタ'!$C$5:$C$18,"")</f>
        <v>02_生販在</v>
      </c>
      <c r="L473" s="52" t="s">
        <v>2305</v>
      </c>
      <c r="M473" s="52" t="s">
        <v>2511</v>
      </c>
      <c r="N473" s="54" t="s">
        <v>1637</v>
      </c>
      <c r="O473" s="41" t="s">
        <v>2994</v>
      </c>
      <c r="P473" s="80" t="s">
        <v>2627</v>
      </c>
      <c r="Q473" s="40" t="s">
        <v>139</v>
      </c>
      <c r="R473" s="41" t="s">
        <v>139</v>
      </c>
      <c r="S473" s="41" t="s">
        <v>139</v>
      </c>
      <c r="T473" s="41" t="s">
        <v>139</v>
      </c>
      <c r="U473" s="41" t="s">
        <v>2670</v>
      </c>
      <c r="V473" s="41" t="s">
        <v>139</v>
      </c>
      <c r="W473" s="73" t="s">
        <v>139</v>
      </c>
      <c r="X473" s="54" t="s">
        <v>139</v>
      </c>
      <c r="Y473" s="54" t="s">
        <v>139</v>
      </c>
      <c r="Z473" s="54" t="s">
        <v>2667</v>
      </c>
      <c r="AA473" s="54" t="s">
        <v>139</v>
      </c>
      <c r="AB473" s="55"/>
      <c r="AC473" s="56"/>
      <c r="AD473" s="56"/>
      <c r="AE473" s="57"/>
      <c r="AF473" s="56"/>
      <c r="AG473" s="56"/>
      <c r="AH473" s="56"/>
      <c r="AI473" s="3" t="s">
        <v>1583</v>
      </c>
    </row>
    <row r="474" spans="1:35" ht="40.5">
      <c r="A474" s="144">
        <f t="shared" si="7"/>
        <v>472</v>
      </c>
      <c r="B474" s="148"/>
      <c r="C474" s="148"/>
      <c r="D474" s="148"/>
      <c r="E474" s="148"/>
      <c r="F474" s="148"/>
      <c r="G474" s="148"/>
      <c r="H474" s="148"/>
      <c r="I474" s="148"/>
      <c r="J474" s="98" t="s">
        <v>2102</v>
      </c>
      <c r="K474" s="51" t="str">
        <f>_xlfn.XLOOKUP(L474,'99_マスタ'!$D$5:$D$18,'99_マスタ'!$C$5:$C$18,"")</f>
        <v>02_生販在</v>
      </c>
      <c r="L474" s="52" t="s">
        <v>2305</v>
      </c>
      <c r="M474" s="52" t="s">
        <v>2803</v>
      </c>
      <c r="N474" s="54" t="s">
        <v>1637</v>
      </c>
      <c r="O474" s="41" t="s">
        <v>2809</v>
      </c>
      <c r="P474" s="41"/>
      <c r="Q474" s="41" t="s">
        <v>1637</v>
      </c>
      <c r="R474" s="41" t="s">
        <v>2814</v>
      </c>
      <c r="S474" s="41" t="s">
        <v>139</v>
      </c>
      <c r="T474" s="41" t="s">
        <v>139</v>
      </c>
      <c r="U474" s="41" t="s">
        <v>139</v>
      </c>
      <c r="V474" s="41" t="s">
        <v>139</v>
      </c>
      <c r="W474" s="73" t="s">
        <v>218</v>
      </c>
      <c r="X474" s="54" t="s">
        <v>139</v>
      </c>
      <c r="Y474" s="54" t="s">
        <v>139</v>
      </c>
      <c r="Z474" s="54" t="s">
        <v>139</v>
      </c>
      <c r="AA474" s="54" t="s">
        <v>139</v>
      </c>
      <c r="AB474" s="55"/>
      <c r="AC474" s="56"/>
      <c r="AD474" s="56"/>
      <c r="AE474" s="57"/>
      <c r="AF474" s="56"/>
      <c r="AG474" s="56"/>
      <c r="AH474" s="56"/>
      <c r="AI474" s="3" t="s">
        <v>1583</v>
      </c>
    </row>
    <row r="475" spans="1:35" ht="40.5">
      <c r="A475" s="144">
        <f t="shared" si="7"/>
        <v>473</v>
      </c>
      <c r="B475" s="148"/>
      <c r="C475" s="148"/>
      <c r="D475" s="148"/>
      <c r="E475" s="148"/>
      <c r="F475" s="148"/>
      <c r="G475" s="148"/>
      <c r="H475" s="148"/>
      <c r="I475" s="148"/>
      <c r="J475" s="98" t="s">
        <v>2102</v>
      </c>
      <c r="K475" s="51" t="str">
        <f>_xlfn.XLOOKUP(L475,'99_マスタ'!$D$5:$D$18,'99_マスタ'!$C$5:$C$18,"")</f>
        <v>02_生販在</v>
      </c>
      <c r="L475" s="52" t="s">
        <v>2305</v>
      </c>
      <c r="M475" s="52" t="s">
        <v>2379</v>
      </c>
      <c r="N475" s="54" t="s">
        <v>1637</v>
      </c>
      <c r="O475" s="41" t="s">
        <v>3204</v>
      </c>
      <c r="P475" s="41" t="s">
        <v>2628</v>
      </c>
      <c r="Q475" s="41" t="s">
        <v>1637</v>
      </c>
      <c r="R475" s="41" t="s">
        <v>139</v>
      </c>
      <c r="S475" s="41" t="s">
        <v>139</v>
      </c>
      <c r="T475" s="41" t="s">
        <v>139</v>
      </c>
      <c r="U475" s="41" t="s">
        <v>2670</v>
      </c>
      <c r="V475" s="41" t="s">
        <v>139</v>
      </c>
      <c r="W475" s="73" t="s">
        <v>139</v>
      </c>
      <c r="X475" s="54" t="s">
        <v>139</v>
      </c>
      <c r="Y475" s="54" t="s">
        <v>139</v>
      </c>
      <c r="Z475" s="54" t="s">
        <v>2667</v>
      </c>
      <c r="AA475" s="54" t="s">
        <v>139</v>
      </c>
      <c r="AB475" s="55"/>
      <c r="AC475" s="56"/>
      <c r="AD475" s="56"/>
      <c r="AE475" s="57"/>
      <c r="AF475" s="56"/>
      <c r="AG475" s="56"/>
      <c r="AH475" s="56"/>
      <c r="AI475" s="3" t="s">
        <v>1583</v>
      </c>
    </row>
    <row r="476" spans="1:35" ht="40.5">
      <c r="A476" s="144">
        <f t="shared" si="7"/>
        <v>474</v>
      </c>
      <c r="B476" s="148"/>
      <c r="C476" s="148"/>
      <c r="D476" s="148"/>
      <c r="E476" s="148"/>
      <c r="F476" s="148"/>
      <c r="G476" s="148"/>
      <c r="H476" s="148"/>
      <c r="I476" s="148"/>
      <c r="J476" s="98" t="s">
        <v>2102</v>
      </c>
      <c r="K476" s="51" t="str">
        <f>_xlfn.XLOOKUP(L476,'99_マスタ'!$D$5:$D$18,'99_マスタ'!$C$5:$C$18,"")</f>
        <v>02_生販在</v>
      </c>
      <c r="L476" s="52" t="s">
        <v>2305</v>
      </c>
      <c r="M476" s="110" t="s">
        <v>1214</v>
      </c>
      <c r="N476" s="126" t="s">
        <v>1215</v>
      </c>
      <c r="O476" s="40" t="s">
        <v>1216</v>
      </c>
      <c r="P476" s="40"/>
      <c r="Q476" s="40" t="s">
        <v>139</v>
      </c>
      <c r="R476" s="41" t="s">
        <v>1217</v>
      </c>
      <c r="S476" s="41" t="s">
        <v>139</v>
      </c>
      <c r="T476" s="41" t="s">
        <v>139</v>
      </c>
      <c r="U476" s="41" t="s">
        <v>139</v>
      </c>
      <c r="V476" s="41" t="s">
        <v>139</v>
      </c>
      <c r="W476" s="74" t="s">
        <v>163</v>
      </c>
      <c r="X476" s="41" t="s">
        <v>139</v>
      </c>
      <c r="Y476" s="41" t="s">
        <v>139</v>
      </c>
      <c r="Z476" s="41" t="s">
        <v>139</v>
      </c>
      <c r="AA476" s="41" t="s">
        <v>139</v>
      </c>
      <c r="AB476" s="44"/>
      <c r="AC476" s="45"/>
      <c r="AD476" s="45"/>
      <c r="AE476" s="46"/>
      <c r="AF476" s="45"/>
      <c r="AG476" s="45"/>
      <c r="AH476" s="45"/>
      <c r="AI476" s="3" t="s">
        <v>1583</v>
      </c>
    </row>
    <row r="477" spans="1:35" ht="27">
      <c r="A477" s="144">
        <f t="shared" si="7"/>
        <v>475</v>
      </c>
      <c r="B477" s="148"/>
      <c r="C477" s="148"/>
      <c r="D477" s="148"/>
      <c r="E477" s="148"/>
      <c r="F477" s="148"/>
      <c r="G477" s="148"/>
      <c r="H477" s="148"/>
      <c r="I477" s="148"/>
      <c r="J477" s="98" t="s">
        <v>2102</v>
      </c>
      <c r="K477" s="51" t="str">
        <f>_xlfn.XLOOKUP(L477,'99_マスタ'!$D$5:$D$18,'99_マスタ'!$C$5:$C$18,"")</f>
        <v>02_生販在</v>
      </c>
      <c r="L477" s="52" t="s">
        <v>2305</v>
      </c>
      <c r="M477" s="52" t="s">
        <v>2804</v>
      </c>
      <c r="N477" s="54" t="s">
        <v>1637</v>
      </c>
      <c r="O477" s="41" t="s">
        <v>2810</v>
      </c>
      <c r="P477" s="41"/>
      <c r="Q477" s="41" t="s">
        <v>1637</v>
      </c>
      <c r="R477" s="41" t="s">
        <v>2814</v>
      </c>
      <c r="S477" s="41" t="s">
        <v>139</v>
      </c>
      <c r="T477" s="41" t="s">
        <v>139</v>
      </c>
      <c r="U477" s="41" t="s">
        <v>139</v>
      </c>
      <c r="V477" s="41" t="s">
        <v>139</v>
      </c>
      <c r="W477" s="73" t="s">
        <v>218</v>
      </c>
      <c r="X477" s="54" t="s">
        <v>139</v>
      </c>
      <c r="Y477" s="54" t="s">
        <v>139</v>
      </c>
      <c r="Z477" s="54" t="s">
        <v>139</v>
      </c>
      <c r="AA477" s="54" t="s">
        <v>139</v>
      </c>
      <c r="AB477" s="55"/>
      <c r="AC477" s="56"/>
      <c r="AD477" s="56"/>
      <c r="AE477" s="57"/>
      <c r="AF477" s="56"/>
      <c r="AG477" s="56"/>
      <c r="AH477" s="56"/>
      <c r="AI477" s="3" t="s">
        <v>1583</v>
      </c>
    </row>
    <row r="478" spans="1:35" ht="40.5">
      <c r="A478" s="144">
        <f t="shared" si="7"/>
        <v>476</v>
      </c>
      <c r="B478" s="148"/>
      <c r="C478" s="148"/>
      <c r="D478" s="148"/>
      <c r="E478" s="148"/>
      <c r="F478" s="148"/>
      <c r="G478" s="148"/>
      <c r="H478" s="148"/>
      <c r="I478" s="148"/>
      <c r="J478" s="98" t="s">
        <v>2102</v>
      </c>
      <c r="K478" s="51" t="str">
        <f>_xlfn.XLOOKUP(L478,'99_マスタ'!$D$5:$D$18,'99_マスタ'!$C$5:$C$18,"")</f>
        <v>02_生販在</v>
      </c>
      <c r="L478" s="52" t="s">
        <v>2305</v>
      </c>
      <c r="M478" s="110" t="s">
        <v>1222</v>
      </c>
      <c r="N478" s="126" t="s">
        <v>1223</v>
      </c>
      <c r="O478" s="40" t="s">
        <v>1224</v>
      </c>
      <c r="P478" s="40"/>
      <c r="Q478" s="40" t="s">
        <v>192</v>
      </c>
      <c r="R478" s="41" t="s">
        <v>1225</v>
      </c>
      <c r="S478" s="41" t="s">
        <v>139</v>
      </c>
      <c r="T478" s="41" t="s">
        <v>139</v>
      </c>
      <c r="U478" s="41" t="s">
        <v>139</v>
      </c>
      <c r="V478" s="41" t="s">
        <v>139</v>
      </c>
      <c r="W478" s="74" t="s">
        <v>163</v>
      </c>
      <c r="X478" s="41" t="s">
        <v>139</v>
      </c>
      <c r="Y478" s="41" t="s">
        <v>139</v>
      </c>
      <c r="Z478" s="41" t="s">
        <v>139</v>
      </c>
      <c r="AA478" s="41" t="s">
        <v>139</v>
      </c>
      <c r="AB478" s="44"/>
      <c r="AC478" s="45"/>
      <c r="AD478" s="45"/>
      <c r="AE478" s="46"/>
      <c r="AF478" s="45"/>
      <c r="AG478" s="45"/>
      <c r="AH478" s="45"/>
      <c r="AI478" s="3" t="s">
        <v>1583</v>
      </c>
    </row>
    <row r="479" spans="1:35" ht="40.5">
      <c r="A479" s="144">
        <f t="shared" si="7"/>
        <v>477</v>
      </c>
      <c r="B479" s="148"/>
      <c r="C479" s="148"/>
      <c r="D479" s="148"/>
      <c r="E479" s="148"/>
      <c r="F479" s="148"/>
      <c r="G479" s="148"/>
      <c r="H479" s="148"/>
      <c r="I479" s="148"/>
      <c r="J479" s="98" t="s">
        <v>2102</v>
      </c>
      <c r="K479" s="51" t="str">
        <f>_xlfn.XLOOKUP(L479,'99_マスタ'!$D$5:$D$18,'99_マスタ'!$C$5:$C$18,"")</f>
        <v>02_生販在</v>
      </c>
      <c r="L479" s="52" t="s">
        <v>2305</v>
      </c>
      <c r="M479" s="110" t="s">
        <v>1173</v>
      </c>
      <c r="N479" s="126" t="s">
        <v>139</v>
      </c>
      <c r="O479" s="40" t="s">
        <v>1174</v>
      </c>
      <c r="P479" s="40"/>
      <c r="Q479" s="40" t="s">
        <v>139</v>
      </c>
      <c r="R479" s="41" t="s">
        <v>139</v>
      </c>
      <c r="S479" s="41" t="s">
        <v>139</v>
      </c>
      <c r="T479" s="41" t="s">
        <v>139</v>
      </c>
      <c r="U479" s="41" t="s">
        <v>139</v>
      </c>
      <c r="V479" s="41" t="s">
        <v>139</v>
      </c>
      <c r="W479" s="74" t="s">
        <v>163</v>
      </c>
      <c r="X479" s="41" t="s">
        <v>139</v>
      </c>
      <c r="Y479" s="41" t="s">
        <v>139</v>
      </c>
      <c r="Z479" s="41" t="s">
        <v>139</v>
      </c>
      <c r="AA479" s="41" t="s">
        <v>139</v>
      </c>
      <c r="AB479" s="44"/>
      <c r="AC479" s="45"/>
      <c r="AD479" s="45"/>
      <c r="AE479" s="46"/>
      <c r="AF479" s="45"/>
      <c r="AG479" s="45"/>
      <c r="AH479" s="45"/>
      <c r="AI479" s="3" t="s">
        <v>1583</v>
      </c>
    </row>
    <row r="480" spans="1:35" ht="40.5">
      <c r="A480" s="144">
        <f t="shared" si="7"/>
        <v>478</v>
      </c>
      <c r="B480" s="148"/>
      <c r="C480" s="148"/>
      <c r="D480" s="148"/>
      <c r="E480" s="148"/>
      <c r="F480" s="148"/>
      <c r="G480" s="148"/>
      <c r="H480" s="148"/>
      <c r="I480" s="148"/>
      <c r="J480" s="98" t="s">
        <v>2102</v>
      </c>
      <c r="K480" s="51" t="str">
        <f>_xlfn.XLOOKUP(L480,'99_マスタ'!$D$5:$D$18,'99_マスタ'!$C$5:$C$18,"")</f>
        <v>02_生販在</v>
      </c>
      <c r="L480" s="52" t="s">
        <v>2305</v>
      </c>
      <c r="M480" s="52" t="s">
        <v>2818</v>
      </c>
      <c r="N480" s="54" t="s">
        <v>1637</v>
      </c>
      <c r="O480" s="41" t="s">
        <v>2823</v>
      </c>
      <c r="P480" s="41"/>
      <c r="Q480" s="41" t="s">
        <v>1637</v>
      </c>
      <c r="R480" s="41" t="s">
        <v>2815</v>
      </c>
      <c r="S480" s="41" t="s">
        <v>139</v>
      </c>
      <c r="T480" s="41" t="s">
        <v>139</v>
      </c>
      <c r="U480" s="41" t="s">
        <v>139</v>
      </c>
      <c r="V480" s="41" t="s">
        <v>139</v>
      </c>
      <c r="W480" s="73" t="s">
        <v>218</v>
      </c>
      <c r="X480" s="54" t="s">
        <v>139</v>
      </c>
      <c r="Y480" s="54" t="s">
        <v>139</v>
      </c>
      <c r="Z480" s="54" t="s">
        <v>139</v>
      </c>
      <c r="AA480" s="54" t="s">
        <v>139</v>
      </c>
      <c r="AB480" s="55"/>
      <c r="AC480" s="56"/>
      <c r="AD480" s="56"/>
      <c r="AE480" s="57"/>
      <c r="AF480" s="56"/>
      <c r="AG480" s="56"/>
      <c r="AH480" s="56"/>
      <c r="AI480" s="3" t="s">
        <v>1583</v>
      </c>
    </row>
    <row r="481" spans="1:35" ht="40.5">
      <c r="A481" s="144">
        <f t="shared" si="7"/>
        <v>479</v>
      </c>
      <c r="B481" s="148"/>
      <c r="C481" s="148"/>
      <c r="D481" s="148"/>
      <c r="E481" s="148"/>
      <c r="F481" s="148"/>
      <c r="G481" s="148"/>
      <c r="H481" s="148"/>
      <c r="I481" s="148"/>
      <c r="J481" s="98" t="s">
        <v>2102</v>
      </c>
      <c r="K481" s="51" t="str">
        <f>_xlfn.XLOOKUP(L481,'99_マスタ'!$D$5:$D$18,'99_マスタ'!$C$5:$C$18,"")</f>
        <v>02_生販在</v>
      </c>
      <c r="L481" s="52" t="s">
        <v>2305</v>
      </c>
      <c r="M481" s="52" t="s">
        <v>2416</v>
      </c>
      <c r="N481" s="54" t="s">
        <v>1637</v>
      </c>
      <c r="O481" s="41" t="s">
        <v>3002</v>
      </c>
      <c r="P481" s="41" t="s">
        <v>2629</v>
      </c>
      <c r="Q481" s="41" t="s">
        <v>1637</v>
      </c>
      <c r="R481" s="41" t="s">
        <v>139</v>
      </c>
      <c r="S481" s="41" t="s">
        <v>139</v>
      </c>
      <c r="T481" s="41" t="s">
        <v>139</v>
      </c>
      <c r="U481" s="41" t="s">
        <v>2670</v>
      </c>
      <c r="V481" s="41" t="s">
        <v>139</v>
      </c>
      <c r="W481" s="73" t="s">
        <v>139</v>
      </c>
      <c r="X481" s="54" t="s">
        <v>139</v>
      </c>
      <c r="Y481" s="54" t="s">
        <v>139</v>
      </c>
      <c r="Z481" s="54" t="s">
        <v>2667</v>
      </c>
      <c r="AA481" s="54" t="s">
        <v>139</v>
      </c>
      <c r="AB481" s="55"/>
      <c r="AC481" s="56"/>
      <c r="AD481" s="56"/>
      <c r="AE481" s="57"/>
      <c r="AF481" s="56"/>
      <c r="AG481" s="56"/>
      <c r="AH481" s="56"/>
      <c r="AI481" s="3" t="s">
        <v>1583</v>
      </c>
    </row>
    <row r="482" spans="1:35" ht="40.5">
      <c r="A482" s="144">
        <f t="shared" si="7"/>
        <v>480</v>
      </c>
      <c r="B482" s="148"/>
      <c r="C482" s="148"/>
      <c r="D482" s="148"/>
      <c r="E482" s="148"/>
      <c r="F482" s="148"/>
      <c r="G482" s="148"/>
      <c r="H482" s="148"/>
      <c r="I482" s="148"/>
      <c r="J482" s="98" t="s">
        <v>2102</v>
      </c>
      <c r="K482" s="51" t="str">
        <f>_xlfn.XLOOKUP(L482,'99_マスタ'!$D$5:$D$18,'99_マスタ'!$C$5:$C$18,"")</f>
        <v>02_生販在</v>
      </c>
      <c r="L482" s="52" t="s">
        <v>2305</v>
      </c>
      <c r="M482" s="52" t="s">
        <v>2512</v>
      </c>
      <c r="N482" s="54" t="s">
        <v>1637</v>
      </c>
      <c r="O482" s="41" t="s">
        <v>3003</v>
      </c>
      <c r="P482" s="41" t="s">
        <v>2630</v>
      </c>
      <c r="Q482" s="41" t="s">
        <v>1637</v>
      </c>
      <c r="R482" s="41" t="s">
        <v>139</v>
      </c>
      <c r="S482" s="41" t="s">
        <v>139</v>
      </c>
      <c r="T482" s="41" t="s">
        <v>139</v>
      </c>
      <c r="U482" s="41" t="s">
        <v>2670</v>
      </c>
      <c r="V482" s="41" t="s">
        <v>139</v>
      </c>
      <c r="W482" s="73" t="s">
        <v>139</v>
      </c>
      <c r="X482" s="54" t="s">
        <v>139</v>
      </c>
      <c r="Y482" s="54" t="s">
        <v>139</v>
      </c>
      <c r="Z482" s="54" t="s">
        <v>2667</v>
      </c>
      <c r="AA482" s="54" t="s">
        <v>139</v>
      </c>
      <c r="AB482" s="55"/>
      <c r="AC482" s="56"/>
      <c r="AD482" s="56"/>
      <c r="AE482" s="57"/>
      <c r="AF482" s="56"/>
      <c r="AG482" s="56"/>
      <c r="AH482" s="56"/>
      <c r="AI482" s="3" t="s">
        <v>1583</v>
      </c>
    </row>
    <row r="483" spans="1:35" ht="40.5">
      <c r="A483" s="144">
        <f t="shared" si="7"/>
        <v>481</v>
      </c>
      <c r="B483" s="148"/>
      <c r="C483" s="148"/>
      <c r="D483" s="148"/>
      <c r="E483" s="148"/>
      <c r="F483" s="148"/>
      <c r="G483" s="148"/>
      <c r="H483" s="148"/>
      <c r="I483" s="148"/>
      <c r="J483" s="98" t="s">
        <v>2102</v>
      </c>
      <c r="K483" s="51" t="str">
        <f>_xlfn.XLOOKUP(L483,'99_マスタ'!$D$5:$D$18,'99_マスタ'!$C$5:$C$18,"")</f>
        <v>02_生販在</v>
      </c>
      <c r="L483" s="52" t="s">
        <v>2305</v>
      </c>
      <c r="M483" s="52" t="s">
        <v>2513</v>
      </c>
      <c r="N483" s="54" t="s">
        <v>1637</v>
      </c>
      <c r="O483" s="41" t="s">
        <v>3004</v>
      </c>
      <c r="P483" s="41" t="s">
        <v>2631</v>
      </c>
      <c r="Q483" s="41" t="s">
        <v>1637</v>
      </c>
      <c r="R483" s="41" t="s">
        <v>139</v>
      </c>
      <c r="S483" s="41" t="s">
        <v>139</v>
      </c>
      <c r="T483" s="41" t="s">
        <v>139</v>
      </c>
      <c r="U483" s="41" t="s">
        <v>2670</v>
      </c>
      <c r="V483" s="41" t="s">
        <v>139</v>
      </c>
      <c r="W483" s="73" t="s">
        <v>139</v>
      </c>
      <c r="X483" s="54" t="s">
        <v>139</v>
      </c>
      <c r="Y483" s="54" t="s">
        <v>139</v>
      </c>
      <c r="Z483" s="54" t="s">
        <v>2667</v>
      </c>
      <c r="AA483" s="54" t="s">
        <v>139</v>
      </c>
      <c r="AB483" s="55"/>
      <c r="AC483" s="56"/>
      <c r="AD483" s="56"/>
      <c r="AE483" s="57"/>
      <c r="AF483" s="56"/>
      <c r="AG483" s="56"/>
      <c r="AH483" s="56"/>
      <c r="AI483" s="3" t="s">
        <v>1583</v>
      </c>
    </row>
    <row r="484" spans="1:35" ht="40.5">
      <c r="A484" s="144">
        <f t="shared" si="7"/>
        <v>482</v>
      </c>
      <c r="B484" s="148"/>
      <c r="C484" s="148"/>
      <c r="D484" s="148"/>
      <c r="E484" s="148"/>
      <c r="F484" s="148"/>
      <c r="G484" s="148"/>
      <c r="H484" s="148"/>
      <c r="I484" s="148"/>
      <c r="J484" s="98" t="s">
        <v>2102</v>
      </c>
      <c r="K484" s="51" t="str">
        <f>_xlfn.XLOOKUP(L484,'99_マスタ'!$D$5:$D$18,'99_マスタ'!$C$5:$C$18,"")</f>
        <v>02_生販在</v>
      </c>
      <c r="L484" s="52" t="s">
        <v>2305</v>
      </c>
      <c r="M484" s="52" t="s">
        <v>2413</v>
      </c>
      <c r="N484" s="54" t="s">
        <v>1637</v>
      </c>
      <c r="O484" s="41" t="s">
        <v>3005</v>
      </c>
      <c r="P484" s="41" t="s">
        <v>2632</v>
      </c>
      <c r="Q484" s="41" t="s">
        <v>1637</v>
      </c>
      <c r="R484" s="41" t="s">
        <v>139</v>
      </c>
      <c r="S484" s="41" t="s">
        <v>139</v>
      </c>
      <c r="T484" s="41" t="s">
        <v>139</v>
      </c>
      <c r="U484" s="41" t="s">
        <v>2670</v>
      </c>
      <c r="V484" s="41" t="s">
        <v>139</v>
      </c>
      <c r="W484" s="73" t="s">
        <v>139</v>
      </c>
      <c r="X484" s="54" t="s">
        <v>139</v>
      </c>
      <c r="Y484" s="54" t="s">
        <v>139</v>
      </c>
      <c r="Z484" s="54" t="s">
        <v>2667</v>
      </c>
      <c r="AA484" s="54" t="s">
        <v>139</v>
      </c>
      <c r="AB484" s="55"/>
      <c r="AC484" s="56"/>
      <c r="AD484" s="56"/>
      <c r="AE484" s="57"/>
      <c r="AF484" s="56"/>
      <c r="AG484" s="56"/>
      <c r="AH484" s="56"/>
      <c r="AI484" s="3" t="s">
        <v>1583</v>
      </c>
    </row>
    <row r="485" spans="1:35" ht="40.5">
      <c r="A485" s="144">
        <f t="shared" si="7"/>
        <v>483</v>
      </c>
      <c r="B485" s="148"/>
      <c r="C485" s="148"/>
      <c r="D485" s="148"/>
      <c r="E485" s="148"/>
      <c r="F485" s="148"/>
      <c r="G485" s="148"/>
      <c r="H485" s="148"/>
      <c r="I485" s="148"/>
      <c r="J485" s="98" t="s">
        <v>2102</v>
      </c>
      <c r="K485" s="51" t="str">
        <f>_xlfn.XLOOKUP(L485,'99_マスタ'!$D$5:$D$18,'99_マスタ'!$C$5:$C$18,"")</f>
        <v>02_生販在</v>
      </c>
      <c r="L485" s="52" t="s">
        <v>2305</v>
      </c>
      <c r="M485" s="52" t="s">
        <v>2414</v>
      </c>
      <c r="N485" s="54" t="s">
        <v>1637</v>
      </c>
      <c r="O485" s="41" t="s">
        <v>3006</v>
      </c>
      <c r="P485" s="41" t="s">
        <v>2633</v>
      </c>
      <c r="Q485" s="41" t="s">
        <v>1637</v>
      </c>
      <c r="R485" s="41" t="s">
        <v>139</v>
      </c>
      <c r="S485" s="41" t="s">
        <v>139</v>
      </c>
      <c r="T485" s="41" t="s">
        <v>139</v>
      </c>
      <c r="U485" s="41" t="s">
        <v>2670</v>
      </c>
      <c r="V485" s="41" t="s">
        <v>139</v>
      </c>
      <c r="W485" s="73" t="s">
        <v>139</v>
      </c>
      <c r="X485" s="54" t="s">
        <v>139</v>
      </c>
      <c r="Y485" s="54" t="s">
        <v>139</v>
      </c>
      <c r="Z485" s="54" t="s">
        <v>2667</v>
      </c>
      <c r="AA485" s="54" t="s">
        <v>139</v>
      </c>
      <c r="AB485" s="55"/>
      <c r="AC485" s="56"/>
      <c r="AD485" s="56"/>
      <c r="AE485" s="57"/>
      <c r="AF485" s="56"/>
      <c r="AG485" s="56"/>
      <c r="AH485" s="56"/>
      <c r="AI485" s="3" t="s">
        <v>1583</v>
      </c>
    </row>
    <row r="486" spans="1:35" ht="67.5">
      <c r="A486" s="144">
        <f t="shared" si="7"/>
        <v>484</v>
      </c>
      <c r="B486" s="148"/>
      <c r="C486" s="148"/>
      <c r="D486" s="148"/>
      <c r="E486" s="148"/>
      <c r="F486" s="148"/>
      <c r="G486" s="148"/>
      <c r="H486" s="148"/>
      <c r="I486" s="148"/>
      <c r="J486" s="98" t="s">
        <v>2102</v>
      </c>
      <c r="K486" s="51" t="str">
        <f>_xlfn.XLOOKUP(L486,'99_マスタ'!$D$5:$D$18,'99_マスタ'!$C$5:$C$18,"")</f>
        <v>02_生販在</v>
      </c>
      <c r="L486" s="52" t="s">
        <v>2305</v>
      </c>
      <c r="M486" s="52" t="s">
        <v>2514</v>
      </c>
      <c r="N486" s="54" t="s">
        <v>1637</v>
      </c>
      <c r="O486" s="41" t="s">
        <v>3007</v>
      </c>
      <c r="P486" s="41" t="s">
        <v>2634</v>
      </c>
      <c r="Q486" s="41" t="s">
        <v>1637</v>
      </c>
      <c r="R486" s="41" t="s">
        <v>139</v>
      </c>
      <c r="S486" s="41" t="s">
        <v>139</v>
      </c>
      <c r="T486" s="41" t="s">
        <v>139</v>
      </c>
      <c r="U486" s="41" t="s">
        <v>2670</v>
      </c>
      <c r="V486" s="41" t="s">
        <v>139</v>
      </c>
      <c r="W486" s="73" t="s">
        <v>139</v>
      </c>
      <c r="X486" s="54" t="s">
        <v>139</v>
      </c>
      <c r="Y486" s="54" t="s">
        <v>139</v>
      </c>
      <c r="Z486" s="54" t="s">
        <v>2667</v>
      </c>
      <c r="AA486" s="54" t="s">
        <v>139</v>
      </c>
      <c r="AB486" s="55"/>
      <c r="AC486" s="56"/>
      <c r="AD486" s="56"/>
      <c r="AE486" s="57"/>
      <c r="AF486" s="56"/>
      <c r="AG486" s="56"/>
      <c r="AH486" s="56"/>
      <c r="AI486" s="3" t="s">
        <v>1583</v>
      </c>
    </row>
    <row r="487" spans="1:35" ht="27">
      <c r="A487" s="144">
        <f t="shared" si="7"/>
        <v>485</v>
      </c>
      <c r="B487" s="148"/>
      <c r="C487" s="148"/>
      <c r="D487" s="148"/>
      <c r="E487" s="148"/>
      <c r="F487" s="148"/>
      <c r="G487" s="148"/>
      <c r="H487" s="148"/>
      <c r="I487" s="148"/>
      <c r="J487" s="98" t="s">
        <v>2102</v>
      </c>
      <c r="K487" s="51" t="str">
        <f>_xlfn.XLOOKUP(L487,'99_マスタ'!$D$5:$D$18,'99_マスタ'!$C$5:$C$18,"")</f>
        <v>02_生販在</v>
      </c>
      <c r="L487" s="52" t="s">
        <v>2305</v>
      </c>
      <c r="M487" s="52" t="s">
        <v>2806</v>
      </c>
      <c r="N487" s="54" t="s">
        <v>1637</v>
      </c>
      <c r="O487" s="41" t="s">
        <v>2812</v>
      </c>
      <c r="P487" s="41"/>
      <c r="Q487" s="41" t="s">
        <v>1637</v>
      </c>
      <c r="R487" s="41" t="s">
        <v>2814</v>
      </c>
      <c r="S487" s="41" t="s">
        <v>139</v>
      </c>
      <c r="T487" s="41" t="s">
        <v>139</v>
      </c>
      <c r="U487" s="41" t="s">
        <v>139</v>
      </c>
      <c r="V487" s="41" t="s">
        <v>139</v>
      </c>
      <c r="W487" s="73" t="s">
        <v>218</v>
      </c>
      <c r="X487" s="54" t="s">
        <v>139</v>
      </c>
      <c r="Y487" s="54" t="s">
        <v>139</v>
      </c>
      <c r="Z487" s="54" t="s">
        <v>139</v>
      </c>
      <c r="AA487" s="54" t="s">
        <v>139</v>
      </c>
      <c r="AB487" s="55"/>
      <c r="AC487" s="56"/>
      <c r="AD487" s="56"/>
      <c r="AE487" s="57"/>
      <c r="AF487" s="56"/>
      <c r="AG487" s="56"/>
      <c r="AH487" s="56"/>
      <c r="AI487" s="3" t="s">
        <v>1583</v>
      </c>
    </row>
    <row r="488" spans="1:35" ht="40.5">
      <c r="A488" s="144">
        <f t="shared" si="7"/>
        <v>486</v>
      </c>
      <c r="B488" s="148"/>
      <c r="C488" s="148"/>
      <c r="D488" s="148"/>
      <c r="E488" s="148"/>
      <c r="F488" s="148"/>
      <c r="G488" s="148"/>
      <c r="H488" s="148"/>
      <c r="I488" s="148"/>
      <c r="J488" s="98" t="s">
        <v>2102</v>
      </c>
      <c r="K488" s="51" t="str">
        <f>_xlfn.XLOOKUP(L488,'99_マスタ'!$D$5:$D$18,'99_マスタ'!$C$5:$C$18,"")</f>
        <v>02_生販在</v>
      </c>
      <c r="L488" s="52" t="s">
        <v>2305</v>
      </c>
      <c r="M488" s="52" t="s">
        <v>2408</v>
      </c>
      <c r="N488" s="54" t="s">
        <v>1637</v>
      </c>
      <c r="O488" s="41" t="s">
        <v>3008</v>
      </c>
      <c r="P488" s="41" t="s">
        <v>2447</v>
      </c>
      <c r="Q488" s="41" t="s">
        <v>1637</v>
      </c>
      <c r="R488" s="41" t="s">
        <v>139</v>
      </c>
      <c r="S488" s="41" t="s">
        <v>139</v>
      </c>
      <c r="T488" s="41" t="s">
        <v>139</v>
      </c>
      <c r="U488" s="41" t="s">
        <v>2670</v>
      </c>
      <c r="V488" s="41" t="s">
        <v>139</v>
      </c>
      <c r="W488" s="73" t="s">
        <v>139</v>
      </c>
      <c r="X488" s="54" t="s">
        <v>139</v>
      </c>
      <c r="Y488" s="54" t="s">
        <v>139</v>
      </c>
      <c r="Z488" s="54" t="s">
        <v>2667</v>
      </c>
      <c r="AA488" s="54" t="s">
        <v>139</v>
      </c>
      <c r="AB488" s="55"/>
      <c r="AC488" s="56"/>
      <c r="AD488" s="56"/>
      <c r="AE488" s="57"/>
      <c r="AF488" s="56"/>
      <c r="AG488" s="56"/>
      <c r="AH488" s="56"/>
      <c r="AI488" s="3" t="s">
        <v>1583</v>
      </c>
    </row>
    <row r="489" spans="1:35" ht="40.5">
      <c r="A489" s="144">
        <f t="shared" si="7"/>
        <v>487</v>
      </c>
      <c r="B489" s="148"/>
      <c r="C489" s="148"/>
      <c r="D489" s="148"/>
      <c r="E489" s="148"/>
      <c r="F489" s="148"/>
      <c r="G489" s="148"/>
      <c r="H489" s="148"/>
      <c r="I489" s="148"/>
      <c r="J489" s="98" t="s">
        <v>2102</v>
      </c>
      <c r="K489" s="51" t="str">
        <f>_xlfn.XLOOKUP(L489,'99_マスタ'!$D$5:$D$18,'99_マスタ'!$C$5:$C$18,"")</f>
        <v>02_生販在</v>
      </c>
      <c r="L489" s="52" t="s">
        <v>2305</v>
      </c>
      <c r="M489" s="52" t="s">
        <v>2405</v>
      </c>
      <c r="N489" s="54" t="s">
        <v>1637</v>
      </c>
      <c r="O489" s="41" t="s">
        <v>3009</v>
      </c>
      <c r="P489" s="41" t="s">
        <v>2635</v>
      </c>
      <c r="Q489" s="41" t="s">
        <v>1637</v>
      </c>
      <c r="R489" s="41" t="s">
        <v>139</v>
      </c>
      <c r="S489" s="41" t="s">
        <v>139</v>
      </c>
      <c r="T489" s="41" t="s">
        <v>139</v>
      </c>
      <c r="U489" s="41" t="s">
        <v>2670</v>
      </c>
      <c r="V489" s="41" t="s">
        <v>139</v>
      </c>
      <c r="W489" s="73" t="s">
        <v>139</v>
      </c>
      <c r="X489" s="54" t="s">
        <v>139</v>
      </c>
      <c r="Y489" s="54" t="s">
        <v>139</v>
      </c>
      <c r="Z489" s="54" t="s">
        <v>2667</v>
      </c>
      <c r="AA489" s="54" t="s">
        <v>139</v>
      </c>
      <c r="AB489" s="55"/>
      <c r="AC489" s="56"/>
      <c r="AD489" s="56"/>
      <c r="AE489" s="57"/>
      <c r="AF489" s="56"/>
      <c r="AG489" s="56"/>
      <c r="AH489" s="56"/>
      <c r="AI489" s="3" t="s">
        <v>1583</v>
      </c>
    </row>
    <row r="490" spans="1:35" ht="40.5">
      <c r="A490" s="144">
        <f t="shared" si="7"/>
        <v>488</v>
      </c>
      <c r="B490" s="148"/>
      <c r="C490" s="148"/>
      <c r="D490" s="148"/>
      <c r="E490" s="148"/>
      <c r="F490" s="148"/>
      <c r="G490" s="148"/>
      <c r="H490" s="148"/>
      <c r="I490" s="148"/>
      <c r="J490" s="98" t="s">
        <v>2102</v>
      </c>
      <c r="K490" s="51" t="str">
        <f>_xlfn.XLOOKUP(L490,'99_マスタ'!$D$5:$D$18,'99_マスタ'!$C$5:$C$18,"")</f>
        <v>02_生販在</v>
      </c>
      <c r="L490" s="52" t="s">
        <v>2305</v>
      </c>
      <c r="M490" s="52" t="s">
        <v>2515</v>
      </c>
      <c r="N490" s="54" t="s">
        <v>1637</v>
      </c>
      <c r="O490" s="41" t="s">
        <v>3010</v>
      </c>
      <c r="P490" s="41" t="s">
        <v>2636</v>
      </c>
      <c r="Q490" s="41" t="s">
        <v>1637</v>
      </c>
      <c r="R490" s="41" t="s">
        <v>139</v>
      </c>
      <c r="S490" s="41" t="s">
        <v>139</v>
      </c>
      <c r="T490" s="41" t="s">
        <v>139</v>
      </c>
      <c r="U490" s="41" t="s">
        <v>2670</v>
      </c>
      <c r="V490" s="41" t="s">
        <v>139</v>
      </c>
      <c r="W490" s="73" t="s">
        <v>139</v>
      </c>
      <c r="X490" s="54" t="s">
        <v>139</v>
      </c>
      <c r="Y490" s="54" t="s">
        <v>139</v>
      </c>
      <c r="Z490" s="54" t="s">
        <v>2667</v>
      </c>
      <c r="AA490" s="54" t="s">
        <v>139</v>
      </c>
      <c r="AB490" s="55"/>
      <c r="AC490" s="56"/>
      <c r="AD490" s="56"/>
      <c r="AE490" s="57"/>
      <c r="AF490" s="56"/>
      <c r="AG490" s="56"/>
      <c r="AH490" s="56"/>
      <c r="AI490" s="3" t="s">
        <v>1583</v>
      </c>
    </row>
    <row r="491" spans="1:35" ht="54">
      <c r="A491" s="144">
        <f t="shared" si="7"/>
        <v>489</v>
      </c>
      <c r="B491" s="148"/>
      <c r="C491" s="148"/>
      <c r="D491" s="148"/>
      <c r="E491" s="148"/>
      <c r="F491" s="148"/>
      <c r="G491" s="148"/>
      <c r="H491" s="148"/>
      <c r="I491" s="148"/>
      <c r="J491" s="98" t="s">
        <v>2102</v>
      </c>
      <c r="K491" s="51" t="str">
        <f>_xlfn.XLOOKUP(L491,'99_マスタ'!$D$5:$D$18,'99_マスタ'!$C$5:$C$18,"")</f>
        <v>02_生販在</v>
      </c>
      <c r="L491" s="52" t="s">
        <v>2305</v>
      </c>
      <c r="M491" s="52" t="s">
        <v>2516</v>
      </c>
      <c r="N491" s="54" t="s">
        <v>1637</v>
      </c>
      <c r="O491" s="41" t="s">
        <v>3011</v>
      </c>
      <c r="P491" s="41" t="s">
        <v>2637</v>
      </c>
      <c r="Q491" s="41" t="s">
        <v>1637</v>
      </c>
      <c r="R491" s="41" t="s">
        <v>139</v>
      </c>
      <c r="S491" s="41" t="s">
        <v>139</v>
      </c>
      <c r="T491" s="41" t="s">
        <v>139</v>
      </c>
      <c r="U491" s="41" t="s">
        <v>2670</v>
      </c>
      <c r="V491" s="41" t="s">
        <v>139</v>
      </c>
      <c r="W491" s="73" t="s">
        <v>139</v>
      </c>
      <c r="X491" s="54" t="s">
        <v>139</v>
      </c>
      <c r="Y491" s="54" t="s">
        <v>139</v>
      </c>
      <c r="Z491" s="54" t="s">
        <v>2667</v>
      </c>
      <c r="AA491" s="54" t="s">
        <v>139</v>
      </c>
      <c r="AB491" s="55"/>
      <c r="AC491" s="56"/>
      <c r="AD491" s="56"/>
      <c r="AE491" s="57"/>
      <c r="AF491" s="56"/>
      <c r="AG491" s="56"/>
      <c r="AH491" s="56"/>
      <c r="AI491" s="3" t="s">
        <v>1583</v>
      </c>
    </row>
    <row r="492" spans="1:35" ht="40.5">
      <c r="A492" s="144">
        <f t="shared" si="7"/>
        <v>490</v>
      </c>
      <c r="B492" s="148"/>
      <c r="C492" s="148"/>
      <c r="D492" s="148"/>
      <c r="E492" s="148"/>
      <c r="F492" s="148"/>
      <c r="G492" s="148"/>
      <c r="H492" s="148"/>
      <c r="I492" s="148"/>
      <c r="J492" s="98" t="s">
        <v>2102</v>
      </c>
      <c r="K492" s="51" t="str">
        <f>_xlfn.XLOOKUP(L492,'99_マスタ'!$D$5:$D$18,'99_マスタ'!$C$5:$C$18,"")</f>
        <v>02_生販在</v>
      </c>
      <c r="L492" s="52" t="s">
        <v>2305</v>
      </c>
      <c r="M492" s="52" t="s">
        <v>2517</v>
      </c>
      <c r="N492" s="54" t="s">
        <v>1637</v>
      </c>
      <c r="O492" s="41" t="s">
        <v>3012</v>
      </c>
      <c r="P492" s="41" t="s">
        <v>2638</v>
      </c>
      <c r="Q492" s="41" t="s">
        <v>1637</v>
      </c>
      <c r="R492" s="41" t="s">
        <v>139</v>
      </c>
      <c r="S492" s="41" t="s">
        <v>139</v>
      </c>
      <c r="T492" s="41" t="s">
        <v>139</v>
      </c>
      <c r="U492" s="41" t="s">
        <v>2670</v>
      </c>
      <c r="V492" s="41" t="s">
        <v>139</v>
      </c>
      <c r="W492" s="73" t="s">
        <v>139</v>
      </c>
      <c r="X492" s="54" t="s">
        <v>139</v>
      </c>
      <c r="Y492" s="54" t="s">
        <v>139</v>
      </c>
      <c r="Z492" s="54" t="s">
        <v>2667</v>
      </c>
      <c r="AA492" s="54" t="s">
        <v>139</v>
      </c>
      <c r="AB492" s="55"/>
      <c r="AC492" s="56"/>
      <c r="AD492" s="56"/>
      <c r="AE492" s="57"/>
      <c r="AF492" s="56"/>
      <c r="AG492" s="56"/>
      <c r="AH492" s="56"/>
      <c r="AI492" s="3" t="s">
        <v>1583</v>
      </c>
    </row>
    <row r="493" spans="1:35" ht="40.5">
      <c r="A493" s="144">
        <f t="shared" si="7"/>
        <v>491</v>
      </c>
      <c r="B493" s="148"/>
      <c r="C493" s="148"/>
      <c r="D493" s="148"/>
      <c r="E493" s="148"/>
      <c r="F493" s="148"/>
      <c r="G493" s="148"/>
      <c r="H493" s="148"/>
      <c r="I493" s="148"/>
      <c r="J493" s="98" t="s">
        <v>2102</v>
      </c>
      <c r="K493" s="51" t="str">
        <f>_xlfn.XLOOKUP(L493,'99_マスタ'!$D$5:$D$18,'99_マスタ'!$C$5:$C$18,"")</f>
        <v>02_生販在</v>
      </c>
      <c r="L493" s="52" t="s">
        <v>2305</v>
      </c>
      <c r="M493" s="52" t="s">
        <v>2518</v>
      </c>
      <c r="N493" s="54" t="s">
        <v>1637</v>
      </c>
      <c r="O493" s="41" t="s">
        <v>3013</v>
      </c>
      <c r="P493" s="41" t="s">
        <v>2639</v>
      </c>
      <c r="Q493" s="41" t="s">
        <v>1637</v>
      </c>
      <c r="R493" s="41" t="s">
        <v>139</v>
      </c>
      <c r="S493" s="41" t="s">
        <v>139</v>
      </c>
      <c r="T493" s="41" t="s">
        <v>139</v>
      </c>
      <c r="U493" s="41" t="s">
        <v>2670</v>
      </c>
      <c r="V493" s="41" t="s">
        <v>139</v>
      </c>
      <c r="W493" s="73" t="s">
        <v>139</v>
      </c>
      <c r="X493" s="54" t="s">
        <v>139</v>
      </c>
      <c r="Y493" s="54" t="s">
        <v>139</v>
      </c>
      <c r="Z493" s="54" t="s">
        <v>2667</v>
      </c>
      <c r="AA493" s="54" t="s">
        <v>139</v>
      </c>
      <c r="AB493" s="55"/>
      <c r="AC493" s="56"/>
      <c r="AD493" s="56"/>
      <c r="AE493" s="57"/>
      <c r="AF493" s="56"/>
      <c r="AG493" s="56"/>
      <c r="AH493" s="56"/>
      <c r="AI493" s="3" t="s">
        <v>1583</v>
      </c>
    </row>
    <row r="494" spans="1:35" ht="40.5">
      <c r="A494" s="144">
        <f t="shared" si="7"/>
        <v>492</v>
      </c>
      <c r="B494" s="148"/>
      <c r="C494" s="148"/>
      <c r="D494" s="148"/>
      <c r="E494" s="148"/>
      <c r="F494" s="148"/>
      <c r="G494" s="148"/>
      <c r="H494" s="148"/>
      <c r="I494" s="148"/>
      <c r="J494" s="98" t="s">
        <v>2102</v>
      </c>
      <c r="K494" s="51" t="str">
        <f>_xlfn.XLOOKUP(L494,'99_マスタ'!$D$5:$D$18,'99_マスタ'!$C$5:$C$18,"")</f>
        <v>02_生販在</v>
      </c>
      <c r="L494" s="52" t="s">
        <v>2305</v>
      </c>
      <c r="M494" s="52" t="s">
        <v>2519</v>
      </c>
      <c r="N494" s="54" t="s">
        <v>1637</v>
      </c>
      <c r="O494" s="41" t="s">
        <v>3014</v>
      </c>
      <c r="P494" s="41" t="s">
        <v>2640</v>
      </c>
      <c r="Q494" s="41" t="s">
        <v>1637</v>
      </c>
      <c r="R494" s="41" t="s">
        <v>139</v>
      </c>
      <c r="S494" s="41" t="s">
        <v>139</v>
      </c>
      <c r="T494" s="41" t="s">
        <v>139</v>
      </c>
      <c r="U494" s="41" t="s">
        <v>2670</v>
      </c>
      <c r="V494" s="41" t="s">
        <v>139</v>
      </c>
      <c r="W494" s="73" t="s">
        <v>139</v>
      </c>
      <c r="X494" s="54" t="s">
        <v>139</v>
      </c>
      <c r="Y494" s="54" t="s">
        <v>139</v>
      </c>
      <c r="Z494" s="54" t="s">
        <v>2667</v>
      </c>
      <c r="AA494" s="54" t="s">
        <v>139</v>
      </c>
      <c r="AB494" s="55"/>
      <c r="AC494" s="56"/>
      <c r="AD494" s="56"/>
      <c r="AE494" s="57"/>
      <c r="AF494" s="56"/>
      <c r="AG494" s="56"/>
      <c r="AH494" s="56"/>
      <c r="AI494" s="3" t="s">
        <v>1583</v>
      </c>
    </row>
    <row r="495" spans="1:35" ht="27">
      <c r="A495" s="144">
        <f t="shared" si="7"/>
        <v>493</v>
      </c>
      <c r="B495" s="148"/>
      <c r="C495" s="148"/>
      <c r="D495" s="148"/>
      <c r="E495" s="148"/>
      <c r="F495" s="148"/>
      <c r="G495" s="148"/>
      <c r="H495" s="148"/>
      <c r="I495" s="148"/>
      <c r="J495" s="98" t="s">
        <v>2102</v>
      </c>
      <c r="K495" s="51" t="str">
        <f>_xlfn.XLOOKUP(L495,'99_マスタ'!$D$5:$D$18,'99_マスタ'!$C$5:$C$18,"")</f>
        <v>02_生販在</v>
      </c>
      <c r="L495" s="52" t="s">
        <v>2305</v>
      </c>
      <c r="M495" s="52" t="s">
        <v>2881</v>
      </c>
      <c r="N495" s="54" t="s">
        <v>1637</v>
      </c>
      <c r="O495" s="41" t="s">
        <v>2886</v>
      </c>
      <c r="P495" s="41"/>
      <c r="Q495" s="41" t="s">
        <v>1637</v>
      </c>
      <c r="R495" s="41" t="s">
        <v>2887</v>
      </c>
      <c r="S495" s="41" t="s">
        <v>139</v>
      </c>
      <c r="T495" s="41" t="s">
        <v>139</v>
      </c>
      <c r="U495" s="41" t="s">
        <v>139</v>
      </c>
      <c r="V495" s="41" t="s">
        <v>139</v>
      </c>
      <c r="W495" s="73" t="s">
        <v>235</v>
      </c>
      <c r="X495" s="54" t="s">
        <v>139</v>
      </c>
      <c r="Y495" s="54" t="s">
        <v>139</v>
      </c>
      <c r="Z495" s="54" t="s">
        <v>139</v>
      </c>
      <c r="AA495" s="54" t="s">
        <v>139</v>
      </c>
      <c r="AB495" s="55"/>
      <c r="AC495" s="56"/>
      <c r="AD495" s="56"/>
      <c r="AE495" s="57"/>
      <c r="AF495" s="56"/>
      <c r="AG495" s="56"/>
      <c r="AH495" s="56"/>
      <c r="AI495" s="3" t="s">
        <v>1583</v>
      </c>
    </row>
    <row r="496" spans="1:35" ht="40.5">
      <c r="A496" s="144">
        <f t="shared" si="7"/>
        <v>494</v>
      </c>
      <c r="B496" s="148"/>
      <c r="C496" s="148"/>
      <c r="D496" s="148"/>
      <c r="E496" s="148"/>
      <c r="F496" s="148"/>
      <c r="G496" s="148"/>
      <c r="H496" s="148"/>
      <c r="I496" s="148"/>
      <c r="J496" s="98" t="s">
        <v>2102</v>
      </c>
      <c r="K496" s="51" t="str">
        <f>_xlfn.XLOOKUP(L496,'99_マスタ'!$D$5:$D$18,'99_マスタ'!$C$5:$C$18,"")</f>
        <v>02_生販在</v>
      </c>
      <c r="L496" s="52" t="s">
        <v>2305</v>
      </c>
      <c r="M496" s="52" t="s">
        <v>2417</v>
      </c>
      <c r="N496" s="54" t="s">
        <v>1637</v>
      </c>
      <c r="O496" s="41" t="s">
        <v>3015</v>
      </c>
      <c r="P496" s="41" t="s">
        <v>2641</v>
      </c>
      <c r="Q496" s="41" t="s">
        <v>1637</v>
      </c>
      <c r="R496" s="41" t="s">
        <v>139</v>
      </c>
      <c r="S496" s="41" t="s">
        <v>139</v>
      </c>
      <c r="T496" s="41" t="s">
        <v>139</v>
      </c>
      <c r="U496" s="41" t="s">
        <v>2670</v>
      </c>
      <c r="V496" s="41" t="s">
        <v>139</v>
      </c>
      <c r="W496" s="73" t="s">
        <v>139</v>
      </c>
      <c r="X496" s="54" t="s">
        <v>139</v>
      </c>
      <c r="Y496" s="54" t="s">
        <v>139</v>
      </c>
      <c r="Z496" s="54" t="s">
        <v>2667</v>
      </c>
      <c r="AA496" s="54" t="s">
        <v>139</v>
      </c>
      <c r="AB496" s="55"/>
      <c r="AC496" s="56"/>
      <c r="AD496" s="56"/>
      <c r="AE496" s="57"/>
      <c r="AF496" s="56"/>
      <c r="AG496" s="56"/>
      <c r="AH496" s="56"/>
      <c r="AI496" s="3" t="s">
        <v>1583</v>
      </c>
    </row>
    <row r="497" spans="1:35" ht="40.5">
      <c r="A497" s="144">
        <f t="shared" si="7"/>
        <v>495</v>
      </c>
      <c r="B497" s="148"/>
      <c r="C497" s="148"/>
      <c r="D497" s="148"/>
      <c r="E497" s="148"/>
      <c r="F497" s="148"/>
      <c r="G497" s="148"/>
      <c r="H497" s="148"/>
      <c r="I497" s="148"/>
      <c r="J497" s="98" t="s">
        <v>2102</v>
      </c>
      <c r="K497" s="51" t="str">
        <f>_xlfn.XLOOKUP(L497,'99_マスタ'!$D$5:$D$18,'99_マスタ'!$C$5:$C$18,"")</f>
        <v>02_生販在</v>
      </c>
      <c r="L497" s="52" t="s">
        <v>2305</v>
      </c>
      <c r="M497" s="52" t="s">
        <v>2267</v>
      </c>
      <c r="N497" s="54" t="s">
        <v>139</v>
      </c>
      <c r="O497" s="41" t="s">
        <v>2269</v>
      </c>
      <c r="P497" s="41" t="s">
        <v>2270</v>
      </c>
      <c r="Q497" s="41" t="s">
        <v>2268</v>
      </c>
      <c r="R497" s="41" t="s">
        <v>139</v>
      </c>
      <c r="S497" s="41" t="s">
        <v>139</v>
      </c>
      <c r="T497" s="41" t="s">
        <v>139</v>
      </c>
      <c r="U497" s="41" t="s">
        <v>2272</v>
      </c>
      <c r="V497" s="41" t="s">
        <v>139</v>
      </c>
      <c r="W497" s="73" t="s">
        <v>139</v>
      </c>
      <c r="X497" s="54" t="s">
        <v>139</v>
      </c>
      <c r="Y497" s="54" t="s">
        <v>139</v>
      </c>
      <c r="Z497" s="54" t="s">
        <v>2289</v>
      </c>
      <c r="AA497" s="54" t="s">
        <v>139</v>
      </c>
      <c r="AB497" s="55"/>
      <c r="AC497" s="56"/>
      <c r="AD497" s="56"/>
      <c r="AE497" s="57"/>
      <c r="AF497" s="56"/>
      <c r="AG497" s="56"/>
      <c r="AH497" s="56"/>
      <c r="AI497" s="3" t="s">
        <v>1583</v>
      </c>
    </row>
    <row r="498" spans="1:35" ht="67.5">
      <c r="A498" s="144">
        <f t="shared" si="7"/>
        <v>496</v>
      </c>
      <c r="B498" s="148"/>
      <c r="C498" s="148"/>
      <c r="D498" s="148"/>
      <c r="E498" s="148"/>
      <c r="F498" s="148"/>
      <c r="G498" s="148"/>
      <c r="H498" s="148"/>
      <c r="I498" s="148"/>
      <c r="J498" s="98" t="s">
        <v>2102</v>
      </c>
      <c r="K498" s="51" t="str">
        <f>_xlfn.XLOOKUP(L498,'99_マスタ'!$D$5:$D$18,'99_マスタ'!$C$5:$C$18,"")</f>
        <v>02_生販在</v>
      </c>
      <c r="L498" s="52" t="s">
        <v>2305</v>
      </c>
      <c r="M498" s="52" t="s">
        <v>2520</v>
      </c>
      <c r="N498" s="54" t="s">
        <v>1637</v>
      </c>
      <c r="O498" s="41" t="s">
        <v>3017</v>
      </c>
      <c r="P498" s="41" t="s">
        <v>2642</v>
      </c>
      <c r="Q498" s="41" t="s">
        <v>1637</v>
      </c>
      <c r="R498" s="41" t="s">
        <v>139</v>
      </c>
      <c r="S498" s="41" t="s">
        <v>139</v>
      </c>
      <c r="T498" s="41" t="s">
        <v>139</v>
      </c>
      <c r="U498" s="41" t="s">
        <v>2670</v>
      </c>
      <c r="V498" s="41" t="s">
        <v>139</v>
      </c>
      <c r="W498" s="73" t="s">
        <v>139</v>
      </c>
      <c r="X498" s="54" t="s">
        <v>139</v>
      </c>
      <c r="Y498" s="54" t="s">
        <v>139</v>
      </c>
      <c r="Z498" s="54" t="s">
        <v>2667</v>
      </c>
      <c r="AA498" s="54" t="s">
        <v>139</v>
      </c>
      <c r="AB498" s="55"/>
      <c r="AC498" s="56"/>
      <c r="AD498" s="56"/>
      <c r="AE498" s="57"/>
      <c r="AF498" s="56"/>
      <c r="AG498" s="56"/>
      <c r="AH498" s="56"/>
      <c r="AI498" s="3" t="s">
        <v>1583</v>
      </c>
    </row>
    <row r="499" spans="1:35">
      <c r="A499" s="144">
        <f t="shared" si="7"/>
        <v>497</v>
      </c>
      <c r="B499" s="148"/>
      <c r="C499" s="148"/>
      <c r="D499" s="148"/>
      <c r="E499" s="148"/>
      <c r="F499" s="148"/>
      <c r="G499" s="148"/>
      <c r="H499" s="148"/>
      <c r="I499" s="148"/>
      <c r="J499" s="108" t="s">
        <v>2102</v>
      </c>
      <c r="K499" s="51" t="str">
        <f>_xlfn.XLOOKUP(L499,'99_マスタ'!$D$5:$D$18,'99_マスタ'!$C$5:$C$18,"")</f>
        <v>02_生販在</v>
      </c>
      <c r="L499" s="52" t="s">
        <v>2305</v>
      </c>
      <c r="M499" s="52" t="s">
        <v>448</v>
      </c>
      <c r="N499" s="54" t="s">
        <v>139</v>
      </c>
      <c r="O499" s="41" t="s">
        <v>449</v>
      </c>
      <c r="P499" s="41"/>
      <c r="Q499" s="41" t="s">
        <v>139</v>
      </c>
      <c r="R499" s="41" t="s">
        <v>183</v>
      </c>
      <c r="S499" s="41" t="s">
        <v>139</v>
      </c>
      <c r="T499" s="41" t="s">
        <v>139</v>
      </c>
      <c r="U499" s="41" t="s">
        <v>139</v>
      </c>
      <c r="V499" s="41" t="s">
        <v>139</v>
      </c>
      <c r="W499" s="73" t="s">
        <v>114</v>
      </c>
      <c r="X499" s="54" t="s">
        <v>139</v>
      </c>
      <c r="Y499" s="54" t="s">
        <v>139</v>
      </c>
      <c r="Z499" s="54" t="s">
        <v>139</v>
      </c>
      <c r="AA499" s="54" t="s">
        <v>139</v>
      </c>
      <c r="AB499" s="55"/>
      <c r="AC499" s="56"/>
      <c r="AD499" s="56"/>
      <c r="AE499" s="57"/>
      <c r="AF499" s="56"/>
      <c r="AG499" s="56"/>
      <c r="AH499" s="56"/>
      <c r="AI499" s="3" t="s">
        <v>1583</v>
      </c>
    </row>
    <row r="500" spans="1:35" ht="40.5">
      <c r="A500" s="144">
        <f t="shared" si="7"/>
        <v>498</v>
      </c>
      <c r="B500" s="148"/>
      <c r="C500" s="148"/>
      <c r="D500" s="148"/>
      <c r="E500" s="148"/>
      <c r="F500" s="148"/>
      <c r="G500" s="148"/>
      <c r="H500" s="148"/>
      <c r="I500" s="148"/>
      <c r="J500" s="100" t="s">
        <v>2102</v>
      </c>
      <c r="K500" s="51" t="str">
        <f>_xlfn.XLOOKUP(L500,'99_マスタ'!$D$5:$D$18,'99_マスタ'!$C$5:$C$18,"")</f>
        <v>02_生販在</v>
      </c>
      <c r="L500" s="52" t="s">
        <v>2305</v>
      </c>
      <c r="M500" s="110" t="s">
        <v>3039</v>
      </c>
      <c r="N500" s="126" t="s">
        <v>1352</v>
      </c>
      <c r="O500" s="40" t="s">
        <v>1353</v>
      </c>
      <c r="P500" s="40"/>
      <c r="Q500" s="40" t="s">
        <v>139</v>
      </c>
      <c r="R500" s="41" t="s">
        <v>1354</v>
      </c>
      <c r="S500" s="41" t="s">
        <v>139</v>
      </c>
      <c r="T500" s="41" t="s">
        <v>139</v>
      </c>
      <c r="U500" s="41" t="s">
        <v>139</v>
      </c>
      <c r="V500" s="41" t="s">
        <v>139</v>
      </c>
      <c r="W500" s="74" t="s">
        <v>438</v>
      </c>
      <c r="X500" s="41" t="s">
        <v>139</v>
      </c>
      <c r="Y500" s="41" t="s">
        <v>139</v>
      </c>
      <c r="Z500" s="41" t="s">
        <v>139</v>
      </c>
      <c r="AA500" s="41" t="s">
        <v>139</v>
      </c>
      <c r="AB500" s="44"/>
      <c r="AC500" s="45"/>
      <c r="AD500" s="45"/>
      <c r="AE500" s="46"/>
      <c r="AF500" s="45"/>
      <c r="AG500" s="45"/>
      <c r="AH500" s="45"/>
      <c r="AI500" s="3" t="s">
        <v>1583</v>
      </c>
    </row>
    <row r="501" spans="1:35" ht="40.5">
      <c r="A501" s="144">
        <f t="shared" si="7"/>
        <v>499</v>
      </c>
      <c r="B501" s="148"/>
      <c r="C501" s="148"/>
      <c r="D501" s="148"/>
      <c r="E501" s="148"/>
      <c r="F501" s="148"/>
      <c r="G501" s="148"/>
      <c r="H501" s="148"/>
      <c r="I501" s="148"/>
      <c r="J501" s="100" t="s">
        <v>2102</v>
      </c>
      <c r="K501" s="51" t="str">
        <f>_xlfn.XLOOKUP(L501,'99_マスタ'!$D$5:$D$18,'99_マスタ'!$C$5:$C$18,"")</f>
        <v>02_生販在</v>
      </c>
      <c r="L501" s="52" t="s">
        <v>2305</v>
      </c>
      <c r="M501" s="110" t="s">
        <v>1218</v>
      </c>
      <c r="N501" s="126" t="s">
        <v>1219</v>
      </c>
      <c r="O501" s="40" t="s">
        <v>1220</v>
      </c>
      <c r="P501" s="40"/>
      <c r="Q501" s="40" t="s">
        <v>192</v>
      </c>
      <c r="R501" s="41" t="s">
        <v>1221</v>
      </c>
      <c r="S501" s="41" t="s">
        <v>139</v>
      </c>
      <c r="T501" s="41" t="s">
        <v>139</v>
      </c>
      <c r="U501" s="41" t="s">
        <v>139</v>
      </c>
      <c r="V501" s="41" t="s">
        <v>139</v>
      </c>
      <c r="W501" s="74" t="s">
        <v>163</v>
      </c>
      <c r="X501" s="41" t="s">
        <v>139</v>
      </c>
      <c r="Y501" s="41" t="s">
        <v>139</v>
      </c>
      <c r="Z501" s="41" t="s">
        <v>139</v>
      </c>
      <c r="AA501" s="41" t="s">
        <v>139</v>
      </c>
      <c r="AB501" s="44"/>
      <c r="AC501" s="45"/>
      <c r="AD501" s="45"/>
      <c r="AE501" s="46"/>
      <c r="AF501" s="45"/>
      <c r="AG501" s="45"/>
      <c r="AH501" s="45"/>
      <c r="AI501" s="3" t="s">
        <v>1583</v>
      </c>
    </row>
    <row r="502" spans="1:35" ht="27">
      <c r="A502" s="144">
        <f t="shared" si="7"/>
        <v>500</v>
      </c>
      <c r="B502" s="148"/>
      <c r="C502" s="148"/>
      <c r="D502" s="148"/>
      <c r="E502" s="148"/>
      <c r="F502" s="148"/>
      <c r="G502" s="148"/>
      <c r="H502" s="148"/>
      <c r="I502" s="148"/>
      <c r="J502" s="100" t="s">
        <v>2102</v>
      </c>
      <c r="K502" s="51" t="str">
        <f>_xlfn.XLOOKUP(L502,'99_マスタ'!$D$5:$D$18,'99_マスタ'!$C$5:$C$18,"")</f>
        <v>02_生販在</v>
      </c>
      <c r="L502" s="52" t="s">
        <v>2305</v>
      </c>
      <c r="M502" s="110" t="s">
        <v>1212</v>
      </c>
      <c r="N502" s="126" t="s">
        <v>1637</v>
      </c>
      <c r="O502" s="40" t="s">
        <v>1213</v>
      </c>
      <c r="P502" s="40"/>
      <c r="Q502" s="40" t="s">
        <v>139</v>
      </c>
      <c r="R502" s="41" t="s">
        <v>1211</v>
      </c>
      <c r="S502" s="41" t="s">
        <v>139</v>
      </c>
      <c r="T502" s="41" t="s">
        <v>139</v>
      </c>
      <c r="U502" s="41" t="s">
        <v>139</v>
      </c>
      <c r="V502" s="41" t="s">
        <v>139</v>
      </c>
      <c r="W502" s="74" t="s">
        <v>163</v>
      </c>
      <c r="X502" s="41" t="s">
        <v>139</v>
      </c>
      <c r="Y502" s="41" t="s">
        <v>139</v>
      </c>
      <c r="Z502" s="41" t="s">
        <v>139</v>
      </c>
      <c r="AA502" s="41" t="s">
        <v>139</v>
      </c>
      <c r="AB502" s="44"/>
      <c r="AC502" s="45"/>
      <c r="AD502" s="45"/>
      <c r="AE502" s="46"/>
      <c r="AF502" s="45"/>
      <c r="AG502" s="45"/>
      <c r="AH502" s="45"/>
      <c r="AI502" s="3" t="s">
        <v>1583</v>
      </c>
    </row>
    <row r="503" spans="1:35" ht="40.5">
      <c r="A503" s="144">
        <f t="shared" si="7"/>
        <v>501</v>
      </c>
      <c r="B503" s="148"/>
      <c r="C503" s="148"/>
      <c r="D503" s="148"/>
      <c r="E503" s="148"/>
      <c r="F503" s="148"/>
      <c r="G503" s="148"/>
      <c r="H503" s="148"/>
      <c r="I503" s="148"/>
      <c r="J503" s="98" t="s">
        <v>2102</v>
      </c>
      <c r="K503" s="51" t="str">
        <f>_xlfn.XLOOKUP(L503,'99_マスタ'!$D$5:$D$18,'99_マスタ'!$C$5:$C$18,"")</f>
        <v>02_生販在</v>
      </c>
      <c r="L503" s="52" t="s">
        <v>2305</v>
      </c>
      <c r="M503" s="52" t="s">
        <v>2521</v>
      </c>
      <c r="N503" s="54" t="s">
        <v>1637</v>
      </c>
      <c r="O503" s="41" t="s">
        <v>3018</v>
      </c>
      <c r="P503" s="41" t="s">
        <v>2643</v>
      </c>
      <c r="Q503" s="41" t="s">
        <v>1637</v>
      </c>
      <c r="R503" s="41" t="s">
        <v>139</v>
      </c>
      <c r="S503" s="41" t="s">
        <v>139</v>
      </c>
      <c r="T503" s="41" t="s">
        <v>139</v>
      </c>
      <c r="U503" s="41" t="s">
        <v>2670</v>
      </c>
      <c r="V503" s="41" t="s">
        <v>139</v>
      </c>
      <c r="W503" s="73" t="s">
        <v>139</v>
      </c>
      <c r="X503" s="54" t="s">
        <v>139</v>
      </c>
      <c r="Y503" s="54" t="s">
        <v>139</v>
      </c>
      <c r="Z503" s="54" t="s">
        <v>2667</v>
      </c>
      <c r="AA503" s="54" t="s">
        <v>139</v>
      </c>
      <c r="AB503" s="55"/>
      <c r="AC503" s="56"/>
      <c r="AD503" s="56"/>
      <c r="AE503" s="57"/>
      <c r="AF503" s="56"/>
      <c r="AG503" s="56"/>
      <c r="AH503" s="56"/>
      <c r="AI503" s="3" t="s">
        <v>1583</v>
      </c>
    </row>
    <row r="504" spans="1:35" ht="40.5">
      <c r="A504" s="144">
        <f t="shared" si="7"/>
        <v>502</v>
      </c>
      <c r="B504" s="148"/>
      <c r="C504" s="148"/>
      <c r="D504" s="148"/>
      <c r="E504" s="148"/>
      <c r="F504" s="148"/>
      <c r="G504" s="148"/>
      <c r="H504" s="148"/>
      <c r="I504" s="148"/>
      <c r="J504" s="100" t="s">
        <v>2102</v>
      </c>
      <c r="K504" s="51" t="str">
        <f>_xlfn.XLOOKUP(L504,'99_マスタ'!$D$5:$D$18,'99_マスタ'!$C$5:$C$18,"")</f>
        <v>02_生販在</v>
      </c>
      <c r="L504" s="52" t="s">
        <v>2305</v>
      </c>
      <c r="M504" s="110" t="s">
        <v>1311</v>
      </c>
      <c r="N504" s="126" t="s">
        <v>1312</v>
      </c>
      <c r="O504" s="40" t="s">
        <v>1313</v>
      </c>
      <c r="P504" s="40"/>
      <c r="Q504" s="40" t="s">
        <v>192</v>
      </c>
      <c r="R504" s="41" t="s">
        <v>1314</v>
      </c>
      <c r="S504" s="41" t="s">
        <v>139</v>
      </c>
      <c r="T504" s="41" t="s">
        <v>139</v>
      </c>
      <c r="U504" s="41" t="s">
        <v>139</v>
      </c>
      <c r="V504" s="41" t="s">
        <v>139</v>
      </c>
      <c r="W504" s="74" t="s">
        <v>1277</v>
      </c>
      <c r="X504" s="41" t="s">
        <v>139</v>
      </c>
      <c r="Y504" s="41" t="s">
        <v>139</v>
      </c>
      <c r="Z504" s="41" t="s">
        <v>139</v>
      </c>
      <c r="AA504" s="41" t="s">
        <v>139</v>
      </c>
      <c r="AB504" s="44"/>
      <c r="AC504" s="45"/>
      <c r="AD504" s="45"/>
      <c r="AE504" s="46"/>
      <c r="AF504" s="45"/>
      <c r="AG504" s="45"/>
      <c r="AH504" s="45"/>
      <c r="AI504" s="3" t="s">
        <v>1583</v>
      </c>
    </row>
    <row r="505" spans="1:35" ht="40.5">
      <c r="A505" s="144">
        <f t="shared" si="7"/>
        <v>503</v>
      </c>
      <c r="B505" s="148"/>
      <c r="C505" s="148"/>
      <c r="D505" s="148"/>
      <c r="E505" s="148"/>
      <c r="F505" s="148"/>
      <c r="G505" s="148"/>
      <c r="H505" s="148"/>
      <c r="I505" s="148"/>
      <c r="J505" s="98" t="s">
        <v>2102</v>
      </c>
      <c r="K505" s="51" t="str">
        <f>_xlfn.XLOOKUP(L505,'99_マスタ'!$D$5:$D$18,'99_マスタ'!$C$5:$C$18,"")</f>
        <v>02_生販在</v>
      </c>
      <c r="L505" s="52" t="s">
        <v>2305</v>
      </c>
      <c r="M505" s="52" t="s">
        <v>2422</v>
      </c>
      <c r="N505" s="54" t="s">
        <v>1637</v>
      </c>
      <c r="O505" s="41" t="s">
        <v>3019</v>
      </c>
      <c r="P505" s="41" t="s">
        <v>2644</v>
      </c>
      <c r="Q505" s="41" t="s">
        <v>1637</v>
      </c>
      <c r="R505" s="41" t="s">
        <v>139</v>
      </c>
      <c r="S505" s="41" t="s">
        <v>139</v>
      </c>
      <c r="T505" s="41" t="s">
        <v>139</v>
      </c>
      <c r="U505" s="41" t="s">
        <v>2670</v>
      </c>
      <c r="V505" s="41" t="s">
        <v>139</v>
      </c>
      <c r="W505" s="73" t="s">
        <v>139</v>
      </c>
      <c r="X505" s="54" t="s">
        <v>139</v>
      </c>
      <c r="Y505" s="54" t="s">
        <v>139</v>
      </c>
      <c r="Z505" s="54" t="s">
        <v>2667</v>
      </c>
      <c r="AA505" s="54" t="s">
        <v>139</v>
      </c>
      <c r="AB505" s="55"/>
      <c r="AC505" s="56"/>
      <c r="AD505" s="56"/>
      <c r="AE505" s="57"/>
      <c r="AF505" s="56"/>
      <c r="AG505" s="56"/>
      <c r="AH505" s="56"/>
      <c r="AI505" s="3" t="s">
        <v>1583</v>
      </c>
    </row>
    <row r="506" spans="1:35" ht="40.5">
      <c r="A506" s="144">
        <f t="shared" si="7"/>
        <v>504</v>
      </c>
      <c r="B506" s="148"/>
      <c r="C506" s="148"/>
      <c r="D506" s="148"/>
      <c r="E506" s="148"/>
      <c r="F506" s="148"/>
      <c r="G506" s="148"/>
      <c r="H506" s="148"/>
      <c r="I506" s="148"/>
      <c r="J506" s="98" t="s">
        <v>2102</v>
      </c>
      <c r="K506" s="51" t="str">
        <f>_xlfn.XLOOKUP(L506,'99_マスタ'!$D$5:$D$18,'99_マスタ'!$C$5:$C$18,"")</f>
        <v>02_生販在</v>
      </c>
      <c r="L506" s="52" t="s">
        <v>2305</v>
      </c>
      <c r="M506" s="52" t="s">
        <v>2522</v>
      </c>
      <c r="N506" s="54" t="s">
        <v>1637</v>
      </c>
      <c r="O506" s="41" t="s">
        <v>3020</v>
      </c>
      <c r="P506" s="41" t="s">
        <v>2645</v>
      </c>
      <c r="Q506" s="41" t="s">
        <v>1637</v>
      </c>
      <c r="R506" s="41" t="s">
        <v>139</v>
      </c>
      <c r="S506" s="41" t="s">
        <v>139</v>
      </c>
      <c r="T506" s="41" t="s">
        <v>139</v>
      </c>
      <c r="U506" s="41" t="s">
        <v>2670</v>
      </c>
      <c r="V506" s="41" t="s">
        <v>139</v>
      </c>
      <c r="W506" s="73" t="s">
        <v>139</v>
      </c>
      <c r="X506" s="54" t="s">
        <v>139</v>
      </c>
      <c r="Y506" s="54" t="s">
        <v>139</v>
      </c>
      <c r="Z506" s="54" t="s">
        <v>2667</v>
      </c>
      <c r="AA506" s="54" t="s">
        <v>139</v>
      </c>
      <c r="AB506" s="55"/>
      <c r="AC506" s="56"/>
      <c r="AD506" s="56"/>
      <c r="AE506" s="57"/>
      <c r="AF506" s="56"/>
      <c r="AG506" s="56"/>
      <c r="AH506" s="56"/>
      <c r="AI506" s="3" t="s">
        <v>1583</v>
      </c>
    </row>
    <row r="507" spans="1:35" ht="27">
      <c r="A507" s="144">
        <f t="shared" si="7"/>
        <v>505</v>
      </c>
      <c r="B507" s="148"/>
      <c r="C507" s="148"/>
      <c r="D507" s="148"/>
      <c r="E507" s="148"/>
      <c r="F507" s="148"/>
      <c r="G507" s="148"/>
      <c r="H507" s="148"/>
      <c r="I507" s="148"/>
      <c r="J507" s="98" t="s">
        <v>2102</v>
      </c>
      <c r="K507" s="51" t="str">
        <f>_xlfn.XLOOKUP(L507,'99_マスタ'!$D$5:$D$18,'99_マスタ'!$C$5:$C$18,"")</f>
        <v>02_生販在</v>
      </c>
      <c r="L507" s="52" t="s">
        <v>2305</v>
      </c>
      <c r="M507" s="52" t="s">
        <v>2878</v>
      </c>
      <c r="N507" s="54" t="s">
        <v>1637</v>
      </c>
      <c r="O507" s="41" t="s">
        <v>2883</v>
      </c>
      <c r="P507" s="41"/>
      <c r="Q507" s="41" t="s">
        <v>1637</v>
      </c>
      <c r="R507" s="41" t="s">
        <v>2887</v>
      </c>
      <c r="S507" s="41" t="s">
        <v>139</v>
      </c>
      <c r="T507" s="41" t="s">
        <v>139</v>
      </c>
      <c r="U507" s="41" t="s">
        <v>139</v>
      </c>
      <c r="V507" s="41" t="s">
        <v>139</v>
      </c>
      <c r="W507" s="73" t="s">
        <v>235</v>
      </c>
      <c r="X507" s="54" t="s">
        <v>139</v>
      </c>
      <c r="Y507" s="54" t="s">
        <v>139</v>
      </c>
      <c r="Z507" s="54" t="s">
        <v>139</v>
      </c>
      <c r="AA507" s="54" t="s">
        <v>139</v>
      </c>
      <c r="AB507" s="55"/>
      <c r="AC507" s="56"/>
      <c r="AD507" s="56"/>
      <c r="AE507" s="57"/>
      <c r="AF507" s="56"/>
      <c r="AG507" s="56"/>
      <c r="AH507" s="56"/>
      <c r="AI507" s="3" t="s">
        <v>1583</v>
      </c>
    </row>
    <row r="508" spans="1:35" ht="27">
      <c r="A508" s="144">
        <f t="shared" si="7"/>
        <v>506</v>
      </c>
      <c r="B508" s="148"/>
      <c r="C508" s="148"/>
      <c r="D508" s="148"/>
      <c r="E508" s="148"/>
      <c r="F508" s="148"/>
      <c r="G508" s="148"/>
      <c r="H508" s="148"/>
      <c r="I508" s="148"/>
      <c r="J508" s="100" t="s">
        <v>2102</v>
      </c>
      <c r="K508" s="51" t="str">
        <f>_xlfn.XLOOKUP(L508,'99_マスタ'!$D$5:$D$18,'99_マスタ'!$C$5:$C$18,"")</f>
        <v>02_生販在</v>
      </c>
      <c r="L508" s="52" t="s">
        <v>2305</v>
      </c>
      <c r="M508" s="100" t="s">
        <v>3042</v>
      </c>
      <c r="N508" s="54" t="s">
        <v>139</v>
      </c>
      <c r="O508" s="40" t="s">
        <v>3043</v>
      </c>
      <c r="P508" s="40"/>
      <c r="Q508" s="40" t="s">
        <v>139</v>
      </c>
      <c r="R508" s="41" t="s">
        <v>1167</v>
      </c>
      <c r="S508" s="41" t="s">
        <v>1168</v>
      </c>
      <c r="T508" s="41" t="s">
        <v>139</v>
      </c>
      <c r="U508" s="41" t="s">
        <v>139</v>
      </c>
      <c r="V508" s="41" t="s">
        <v>1891</v>
      </c>
      <c r="W508" s="74" t="s">
        <v>163</v>
      </c>
      <c r="X508" s="41" t="s">
        <v>758</v>
      </c>
      <c r="Y508" s="41" t="s">
        <v>139</v>
      </c>
      <c r="Z508" s="41" t="s">
        <v>139</v>
      </c>
      <c r="AA508" s="41" t="s">
        <v>614</v>
      </c>
      <c r="AB508" s="44"/>
      <c r="AC508" s="45"/>
      <c r="AD508" s="45"/>
      <c r="AE508" s="46"/>
      <c r="AF508" s="45"/>
      <c r="AG508" s="45"/>
      <c r="AH508" s="45"/>
      <c r="AI508" s="3" t="s">
        <v>1583</v>
      </c>
    </row>
    <row r="509" spans="1:35" ht="27">
      <c r="A509" s="144">
        <f t="shared" si="7"/>
        <v>507</v>
      </c>
      <c r="B509" s="148"/>
      <c r="C509" s="148"/>
      <c r="D509" s="148"/>
      <c r="E509" s="148"/>
      <c r="F509" s="148"/>
      <c r="G509" s="148"/>
      <c r="H509" s="148"/>
      <c r="I509" s="148"/>
      <c r="J509" s="100" t="s">
        <v>2102</v>
      </c>
      <c r="K509" s="51" t="str">
        <f>_xlfn.XLOOKUP(L509,'99_マスタ'!$D$5:$D$18,'99_マスタ'!$C$5:$C$18,"")</f>
        <v>02_生販在</v>
      </c>
      <c r="L509" s="52" t="s">
        <v>2305</v>
      </c>
      <c r="M509" s="100" t="s">
        <v>3041</v>
      </c>
      <c r="N509" s="126" t="s">
        <v>1637</v>
      </c>
      <c r="O509" s="40" t="s">
        <v>3044</v>
      </c>
      <c r="P509" s="40"/>
      <c r="Q509" s="40" t="s">
        <v>139</v>
      </c>
      <c r="R509" s="41" t="s">
        <v>1167</v>
      </c>
      <c r="S509" s="41" t="s">
        <v>1168</v>
      </c>
      <c r="T509" s="41" t="s">
        <v>139</v>
      </c>
      <c r="U509" s="41" t="s">
        <v>139</v>
      </c>
      <c r="V509" s="41" t="s">
        <v>1891</v>
      </c>
      <c r="W509" s="74" t="s">
        <v>163</v>
      </c>
      <c r="X509" s="41" t="s">
        <v>758</v>
      </c>
      <c r="Y509" s="41" t="s">
        <v>139</v>
      </c>
      <c r="Z509" s="41" t="s">
        <v>139</v>
      </c>
      <c r="AA509" s="41" t="s">
        <v>614</v>
      </c>
      <c r="AB509" s="44"/>
      <c r="AC509" s="45"/>
      <c r="AD509" s="45"/>
      <c r="AE509" s="46"/>
      <c r="AF509" s="45"/>
      <c r="AG509" s="45"/>
      <c r="AH509" s="45"/>
      <c r="AI509" s="3" t="s">
        <v>1583</v>
      </c>
    </row>
    <row r="510" spans="1:35" ht="40.5">
      <c r="A510" s="144">
        <f t="shared" si="7"/>
        <v>508</v>
      </c>
      <c r="B510" s="148"/>
      <c r="C510" s="148"/>
      <c r="D510" s="148"/>
      <c r="E510" s="148"/>
      <c r="F510" s="148"/>
      <c r="G510" s="148"/>
      <c r="H510" s="148"/>
      <c r="I510" s="148"/>
      <c r="J510" s="98" t="s">
        <v>2102</v>
      </c>
      <c r="K510" s="51" t="str">
        <f>_xlfn.XLOOKUP(L510,'99_マスタ'!$D$5:$D$18,'99_マスタ'!$C$5:$C$18,"")</f>
        <v>02_生販在</v>
      </c>
      <c r="L510" s="52" t="s">
        <v>2305</v>
      </c>
      <c r="M510" s="52" t="s">
        <v>2419</v>
      </c>
      <c r="N510" s="54" t="s">
        <v>1637</v>
      </c>
      <c r="O510" s="41" t="s">
        <v>3021</v>
      </c>
      <c r="P510" s="41" t="s">
        <v>2646</v>
      </c>
      <c r="Q510" s="41" t="s">
        <v>1637</v>
      </c>
      <c r="R510" s="41" t="s">
        <v>139</v>
      </c>
      <c r="S510" s="41" t="s">
        <v>139</v>
      </c>
      <c r="T510" s="41" t="s">
        <v>139</v>
      </c>
      <c r="U510" s="41" t="s">
        <v>2670</v>
      </c>
      <c r="V510" s="41" t="s">
        <v>139</v>
      </c>
      <c r="W510" s="73" t="s">
        <v>139</v>
      </c>
      <c r="X510" s="54" t="s">
        <v>139</v>
      </c>
      <c r="Y510" s="54" t="s">
        <v>139</v>
      </c>
      <c r="Z510" s="54" t="s">
        <v>2667</v>
      </c>
      <c r="AA510" s="54" t="s">
        <v>139</v>
      </c>
      <c r="AB510" s="55"/>
      <c r="AC510" s="56"/>
      <c r="AD510" s="56"/>
      <c r="AE510" s="57"/>
      <c r="AF510" s="56"/>
      <c r="AG510" s="56"/>
      <c r="AH510" s="56"/>
      <c r="AI510" s="3" t="s">
        <v>1583</v>
      </c>
    </row>
    <row r="511" spans="1:35" ht="40.5">
      <c r="A511" s="144">
        <f t="shared" si="7"/>
        <v>509</v>
      </c>
      <c r="B511" s="148"/>
      <c r="C511" s="148"/>
      <c r="D511" s="148"/>
      <c r="E511" s="148"/>
      <c r="F511" s="148"/>
      <c r="G511" s="148"/>
      <c r="H511" s="148"/>
      <c r="I511" s="148"/>
      <c r="J511" s="98" t="s">
        <v>2102</v>
      </c>
      <c r="K511" s="51" t="str">
        <f>_xlfn.XLOOKUP(L511,'99_マスタ'!$D$5:$D$18,'99_マスタ'!$C$5:$C$18,"")</f>
        <v>02_生販在</v>
      </c>
      <c r="L511" s="52" t="s">
        <v>2305</v>
      </c>
      <c r="M511" s="52" t="s">
        <v>2420</v>
      </c>
      <c r="N511" s="54" t="s">
        <v>1637</v>
      </c>
      <c r="O511" s="41" t="s">
        <v>3022</v>
      </c>
      <c r="P511" s="41" t="s">
        <v>2647</v>
      </c>
      <c r="Q511" s="41" t="s">
        <v>1637</v>
      </c>
      <c r="R511" s="41" t="s">
        <v>139</v>
      </c>
      <c r="S511" s="41" t="s">
        <v>139</v>
      </c>
      <c r="T511" s="41" t="s">
        <v>139</v>
      </c>
      <c r="U511" s="41" t="s">
        <v>2670</v>
      </c>
      <c r="V511" s="41" t="s">
        <v>139</v>
      </c>
      <c r="W511" s="73" t="s">
        <v>139</v>
      </c>
      <c r="X511" s="54" t="s">
        <v>139</v>
      </c>
      <c r="Y511" s="54" t="s">
        <v>139</v>
      </c>
      <c r="Z511" s="54" t="s">
        <v>2667</v>
      </c>
      <c r="AA511" s="54" t="s">
        <v>139</v>
      </c>
      <c r="AB511" s="55"/>
      <c r="AC511" s="56"/>
      <c r="AD511" s="56"/>
      <c r="AE511" s="57"/>
      <c r="AF511" s="56"/>
      <c r="AG511" s="56"/>
      <c r="AH511" s="56"/>
      <c r="AI511" s="3" t="s">
        <v>1583</v>
      </c>
    </row>
    <row r="512" spans="1:35" ht="40.5">
      <c r="A512" s="144">
        <f t="shared" si="7"/>
        <v>510</v>
      </c>
      <c r="B512" s="148"/>
      <c r="C512" s="148"/>
      <c r="D512" s="148"/>
      <c r="E512" s="148"/>
      <c r="F512" s="148"/>
      <c r="G512" s="148"/>
      <c r="H512" s="148"/>
      <c r="I512" s="148"/>
      <c r="J512" s="98" t="s">
        <v>2102</v>
      </c>
      <c r="K512" s="51" t="str">
        <f>_xlfn.XLOOKUP(L512,'99_マスタ'!$D$5:$D$18,'99_マスタ'!$C$5:$C$18,"")</f>
        <v>02_生販在</v>
      </c>
      <c r="L512" s="52" t="s">
        <v>2305</v>
      </c>
      <c r="M512" s="52" t="s">
        <v>2523</v>
      </c>
      <c r="N512" s="54" t="s">
        <v>1637</v>
      </c>
      <c r="O512" s="41" t="s">
        <v>3023</v>
      </c>
      <c r="P512" s="41" t="s">
        <v>2648</v>
      </c>
      <c r="Q512" s="41" t="s">
        <v>1637</v>
      </c>
      <c r="R512" s="41" t="s">
        <v>139</v>
      </c>
      <c r="S512" s="41" t="s">
        <v>139</v>
      </c>
      <c r="T512" s="41" t="s">
        <v>139</v>
      </c>
      <c r="U512" s="41" t="s">
        <v>2670</v>
      </c>
      <c r="V512" s="41" t="s">
        <v>139</v>
      </c>
      <c r="W512" s="73" t="s">
        <v>139</v>
      </c>
      <c r="X512" s="54" t="s">
        <v>139</v>
      </c>
      <c r="Y512" s="54" t="s">
        <v>139</v>
      </c>
      <c r="Z512" s="54" t="s">
        <v>2667</v>
      </c>
      <c r="AA512" s="54" t="s">
        <v>139</v>
      </c>
      <c r="AB512" s="55"/>
      <c r="AC512" s="56"/>
      <c r="AD512" s="56"/>
      <c r="AE512" s="57"/>
      <c r="AF512" s="56"/>
      <c r="AG512" s="56"/>
      <c r="AH512" s="56"/>
      <c r="AI512" s="3" t="s">
        <v>1583</v>
      </c>
    </row>
    <row r="513" spans="1:35" ht="40.5">
      <c r="A513" s="144">
        <f t="shared" si="7"/>
        <v>511</v>
      </c>
      <c r="B513" s="148"/>
      <c r="C513" s="148"/>
      <c r="D513" s="148"/>
      <c r="E513" s="148"/>
      <c r="F513" s="148"/>
      <c r="G513" s="148"/>
      <c r="H513" s="148"/>
      <c r="I513" s="148"/>
      <c r="J513" s="98" t="s">
        <v>2102</v>
      </c>
      <c r="K513" s="51" t="str">
        <f>_xlfn.XLOOKUP(L513,'99_マスタ'!$D$5:$D$18,'99_マスタ'!$C$5:$C$18,"")</f>
        <v>02_生販在</v>
      </c>
      <c r="L513" s="52" t="s">
        <v>2305</v>
      </c>
      <c r="M513" s="52" t="s">
        <v>2524</v>
      </c>
      <c r="N513" s="54" t="s">
        <v>1637</v>
      </c>
      <c r="O513" s="41" t="s">
        <v>3024</v>
      </c>
      <c r="P513" s="41" t="s">
        <v>2649</v>
      </c>
      <c r="Q513" s="41" t="s">
        <v>1637</v>
      </c>
      <c r="R513" s="41" t="s">
        <v>139</v>
      </c>
      <c r="S513" s="41" t="s">
        <v>139</v>
      </c>
      <c r="T513" s="41" t="s">
        <v>139</v>
      </c>
      <c r="U513" s="41" t="s">
        <v>2670</v>
      </c>
      <c r="V513" s="41" t="s">
        <v>139</v>
      </c>
      <c r="W513" s="73" t="s">
        <v>139</v>
      </c>
      <c r="X513" s="54" t="s">
        <v>139</v>
      </c>
      <c r="Y513" s="54" t="s">
        <v>139</v>
      </c>
      <c r="Z513" s="54" t="s">
        <v>2667</v>
      </c>
      <c r="AA513" s="54" t="s">
        <v>139</v>
      </c>
      <c r="AB513" s="55"/>
      <c r="AC513" s="56"/>
      <c r="AD513" s="56"/>
      <c r="AE513" s="57"/>
      <c r="AF513" s="56"/>
      <c r="AG513" s="56"/>
      <c r="AH513" s="56"/>
      <c r="AI513" s="3" t="s">
        <v>1583</v>
      </c>
    </row>
    <row r="514" spans="1:35" ht="40.5">
      <c r="A514" s="144">
        <f t="shared" si="7"/>
        <v>512</v>
      </c>
      <c r="B514" s="148"/>
      <c r="C514" s="148"/>
      <c r="D514" s="148"/>
      <c r="E514" s="148"/>
      <c r="F514" s="148"/>
      <c r="G514" s="148"/>
      <c r="H514" s="148"/>
      <c r="I514" s="148"/>
      <c r="J514" s="98" t="s">
        <v>2102</v>
      </c>
      <c r="K514" s="51" t="str">
        <f>_xlfn.XLOOKUP(L514,'99_マスタ'!$D$5:$D$18,'99_マスタ'!$C$5:$C$18,"")</f>
        <v>02_生販在</v>
      </c>
      <c r="L514" s="52" t="s">
        <v>2305</v>
      </c>
      <c r="M514" s="52" t="s">
        <v>2276</v>
      </c>
      <c r="N514" s="54" t="s">
        <v>2277</v>
      </c>
      <c r="O514" s="41" t="s">
        <v>2278</v>
      </c>
      <c r="P514" s="41"/>
      <c r="Q514" s="41" t="s">
        <v>1637</v>
      </c>
      <c r="R514" s="41" t="s">
        <v>139</v>
      </c>
      <c r="S514" s="41" t="s">
        <v>139</v>
      </c>
      <c r="T514" s="41" t="s">
        <v>139</v>
      </c>
      <c r="U514" s="41" t="s">
        <v>2271</v>
      </c>
      <c r="V514" s="41" t="s">
        <v>139</v>
      </c>
      <c r="W514" s="73" t="s">
        <v>139</v>
      </c>
      <c r="X514" s="54" t="s">
        <v>139</v>
      </c>
      <c r="Y514" s="54" t="s">
        <v>139</v>
      </c>
      <c r="Z514" s="54" t="s">
        <v>2289</v>
      </c>
      <c r="AA514" s="54" t="s">
        <v>139</v>
      </c>
      <c r="AB514" s="55"/>
      <c r="AC514" s="56"/>
      <c r="AD514" s="56"/>
      <c r="AE514" s="57"/>
      <c r="AF514" s="56"/>
      <c r="AG514" s="56"/>
      <c r="AH514" s="56"/>
      <c r="AI514" s="3" t="s">
        <v>1583</v>
      </c>
    </row>
    <row r="515" spans="1:35" ht="40.5">
      <c r="A515" s="144">
        <f t="shared" ref="A515:A578" si="8">ROW()-2</f>
        <v>513</v>
      </c>
      <c r="B515" s="148"/>
      <c r="C515" s="148"/>
      <c r="D515" s="148"/>
      <c r="E515" s="148"/>
      <c r="F515" s="148"/>
      <c r="G515" s="148"/>
      <c r="H515" s="148"/>
      <c r="I515" s="148"/>
      <c r="J515" s="98" t="s">
        <v>2102</v>
      </c>
      <c r="K515" s="51" t="str">
        <f>_xlfn.XLOOKUP(L515,'99_マスタ'!$D$5:$D$18,'99_マスタ'!$C$5:$C$18,"")</f>
        <v>02_生販在</v>
      </c>
      <c r="L515" s="52" t="s">
        <v>2305</v>
      </c>
      <c r="M515" s="52" t="s">
        <v>2406</v>
      </c>
      <c r="N515" s="54" t="s">
        <v>1637</v>
      </c>
      <c r="O515" s="41" t="s">
        <v>3025</v>
      </c>
      <c r="P515" s="41" t="s">
        <v>2406</v>
      </c>
      <c r="Q515" s="41" t="s">
        <v>1637</v>
      </c>
      <c r="R515" s="41" t="s">
        <v>139</v>
      </c>
      <c r="S515" s="41" t="s">
        <v>139</v>
      </c>
      <c r="T515" s="41" t="s">
        <v>139</v>
      </c>
      <c r="U515" s="41" t="s">
        <v>2670</v>
      </c>
      <c r="V515" s="41" t="s">
        <v>139</v>
      </c>
      <c r="W515" s="73" t="s">
        <v>139</v>
      </c>
      <c r="X515" s="54" t="s">
        <v>139</v>
      </c>
      <c r="Y515" s="54" t="s">
        <v>139</v>
      </c>
      <c r="Z515" s="54" t="s">
        <v>2667</v>
      </c>
      <c r="AA515" s="54" t="s">
        <v>139</v>
      </c>
      <c r="AB515" s="55"/>
      <c r="AC515" s="56"/>
      <c r="AD515" s="56"/>
      <c r="AE515" s="57"/>
      <c r="AF515" s="56"/>
      <c r="AG515" s="56"/>
      <c r="AH515" s="56"/>
      <c r="AI515" s="3" t="s">
        <v>1583</v>
      </c>
    </row>
    <row r="516" spans="1:35" ht="40.5">
      <c r="A516" s="144">
        <f t="shared" si="8"/>
        <v>514</v>
      </c>
      <c r="B516" s="148"/>
      <c r="C516" s="148"/>
      <c r="D516" s="148"/>
      <c r="E516" s="148"/>
      <c r="F516" s="148"/>
      <c r="G516" s="148"/>
      <c r="H516" s="148"/>
      <c r="I516" s="148"/>
      <c r="J516" s="98" t="s">
        <v>2102</v>
      </c>
      <c r="K516" s="51" t="str">
        <f>_xlfn.XLOOKUP(L516,'99_マスタ'!$D$5:$D$18,'99_マスタ'!$C$5:$C$18,"")</f>
        <v>02_生販在</v>
      </c>
      <c r="L516" s="52" t="s">
        <v>2305</v>
      </c>
      <c r="M516" s="52" t="s">
        <v>2274</v>
      </c>
      <c r="N516" s="54" t="s">
        <v>139</v>
      </c>
      <c r="O516" s="41" t="s">
        <v>2273</v>
      </c>
      <c r="P516" s="41" t="s">
        <v>2275</v>
      </c>
      <c r="Q516" s="41" t="s">
        <v>2268</v>
      </c>
      <c r="R516" s="41" t="s">
        <v>139</v>
      </c>
      <c r="S516" s="41" t="s">
        <v>139</v>
      </c>
      <c r="T516" s="41" t="s">
        <v>139</v>
      </c>
      <c r="U516" s="41" t="s">
        <v>2271</v>
      </c>
      <c r="V516" s="41" t="s">
        <v>139</v>
      </c>
      <c r="W516" s="73" t="s">
        <v>139</v>
      </c>
      <c r="X516" s="54" t="s">
        <v>139</v>
      </c>
      <c r="Y516" s="54" t="s">
        <v>139</v>
      </c>
      <c r="Z516" s="54" t="s">
        <v>2289</v>
      </c>
      <c r="AA516" s="54" t="s">
        <v>139</v>
      </c>
      <c r="AB516" s="55"/>
      <c r="AC516" s="56"/>
      <c r="AD516" s="56"/>
      <c r="AE516" s="57"/>
      <c r="AF516" s="56"/>
      <c r="AG516" s="56"/>
      <c r="AH516" s="56"/>
      <c r="AI516" s="3" t="s">
        <v>1583</v>
      </c>
    </row>
    <row r="517" spans="1:35" ht="40.5">
      <c r="A517" s="144">
        <f t="shared" si="8"/>
        <v>515</v>
      </c>
      <c r="B517" s="148"/>
      <c r="C517" s="148"/>
      <c r="D517" s="148"/>
      <c r="E517" s="148"/>
      <c r="F517" s="148"/>
      <c r="G517" s="148"/>
      <c r="H517" s="148"/>
      <c r="I517" s="148"/>
      <c r="J517" s="98" t="s">
        <v>2102</v>
      </c>
      <c r="K517" s="51" t="str">
        <f>_xlfn.XLOOKUP(L517,'99_マスタ'!$D$5:$D$18,'99_マスタ'!$C$5:$C$18,"")</f>
        <v>02_生販在</v>
      </c>
      <c r="L517" s="52" t="s">
        <v>2305</v>
      </c>
      <c r="M517" s="52" t="s">
        <v>2525</v>
      </c>
      <c r="N517" s="54" t="s">
        <v>1637</v>
      </c>
      <c r="O517" s="41" t="s">
        <v>3026</v>
      </c>
      <c r="P517" s="41" t="s">
        <v>2650</v>
      </c>
      <c r="Q517" s="41" t="s">
        <v>1637</v>
      </c>
      <c r="R517" s="41" t="s">
        <v>139</v>
      </c>
      <c r="S517" s="41" t="s">
        <v>139</v>
      </c>
      <c r="T517" s="41" t="s">
        <v>139</v>
      </c>
      <c r="U517" s="41" t="s">
        <v>2670</v>
      </c>
      <c r="V517" s="41" t="s">
        <v>139</v>
      </c>
      <c r="W517" s="73" t="s">
        <v>139</v>
      </c>
      <c r="X517" s="54" t="s">
        <v>139</v>
      </c>
      <c r="Y517" s="54" t="s">
        <v>139</v>
      </c>
      <c r="Z517" s="54" t="s">
        <v>2667</v>
      </c>
      <c r="AA517" s="54" t="s">
        <v>139</v>
      </c>
      <c r="AB517" s="55"/>
      <c r="AC517" s="56"/>
      <c r="AD517" s="56"/>
      <c r="AE517" s="57"/>
      <c r="AF517" s="56"/>
      <c r="AG517" s="56"/>
      <c r="AH517" s="56"/>
      <c r="AI517" s="3" t="s">
        <v>1583</v>
      </c>
    </row>
    <row r="518" spans="1:35" ht="40.5">
      <c r="A518" s="144">
        <f t="shared" si="8"/>
        <v>516</v>
      </c>
      <c r="B518" s="148"/>
      <c r="C518" s="148"/>
      <c r="D518" s="148"/>
      <c r="E518" s="148"/>
      <c r="F518" s="148"/>
      <c r="G518" s="148"/>
      <c r="H518" s="148"/>
      <c r="I518" s="148"/>
      <c r="J518" s="98" t="s">
        <v>2102</v>
      </c>
      <c r="K518" s="51" t="str">
        <f>_xlfn.XLOOKUP(L518,'99_マスタ'!$D$5:$D$18,'99_マスタ'!$C$5:$C$18,"")</f>
        <v>02_生販在</v>
      </c>
      <c r="L518" s="52" t="s">
        <v>2305</v>
      </c>
      <c r="M518" s="52" t="s">
        <v>2526</v>
      </c>
      <c r="N518" s="54" t="s">
        <v>1637</v>
      </c>
      <c r="O518" s="41" t="s">
        <v>2651</v>
      </c>
      <c r="P518" s="41" t="s">
        <v>2652</v>
      </c>
      <c r="Q518" s="41"/>
      <c r="R518" s="41" t="s">
        <v>139</v>
      </c>
      <c r="S518" s="41" t="s">
        <v>139</v>
      </c>
      <c r="T518" s="41" t="s">
        <v>139</v>
      </c>
      <c r="U518" s="41" t="s">
        <v>2670</v>
      </c>
      <c r="V518" s="41" t="s">
        <v>139</v>
      </c>
      <c r="W518" s="73" t="s">
        <v>139</v>
      </c>
      <c r="X518" s="54" t="s">
        <v>139</v>
      </c>
      <c r="Y518" s="54" t="s">
        <v>139</v>
      </c>
      <c r="Z518" s="54" t="s">
        <v>2667</v>
      </c>
      <c r="AA518" s="54" t="s">
        <v>139</v>
      </c>
      <c r="AB518" s="55"/>
      <c r="AC518" s="56"/>
      <c r="AD518" s="56"/>
      <c r="AE518" s="57"/>
      <c r="AF518" s="56"/>
      <c r="AG518" s="56"/>
      <c r="AH518" s="56"/>
      <c r="AI518" s="3" t="s">
        <v>1583</v>
      </c>
    </row>
    <row r="519" spans="1:35" ht="40.5">
      <c r="A519" s="144">
        <f t="shared" si="8"/>
        <v>517</v>
      </c>
      <c r="B519" s="148"/>
      <c r="C519" s="148"/>
      <c r="D519" s="148"/>
      <c r="E519" s="148"/>
      <c r="F519" s="148"/>
      <c r="G519" s="148"/>
      <c r="H519" s="148"/>
      <c r="I519" s="148"/>
      <c r="J519" s="98" t="s">
        <v>2102</v>
      </c>
      <c r="K519" s="51" t="str">
        <f>_xlfn.XLOOKUP(L519,'99_マスタ'!$D$5:$D$18,'99_マスタ'!$C$5:$C$18,"")</f>
        <v>02_生販在</v>
      </c>
      <c r="L519" s="52" t="s">
        <v>2305</v>
      </c>
      <c r="M519" s="52" t="s">
        <v>2399</v>
      </c>
      <c r="N519" s="54" t="s">
        <v>1637</v>
      </c>
      <c r="O519" s="41" t="s">
        <v>3205</v>
      </c>
      <c r="P519" s="41" t="s">
        <v>2653</v>
      </c>
      <c r="Q519" s="41"/>
      <c r="R519" s="41" t="s">
        <v>139</v>
      </c>
      <c r="S519" s="41" t="s">
        <v>139</v>
      </c>
      <c r="T519" s="41" t="s">
        <v>139</v>
      </c>
      <c r="U519" s="41" t="s">
        <v>2670</v>
      </c>
      <c r="V519" s="41" t="s">
        <v>139</v>
      </c>
      <c r="W519" s="73" t="s">
        <v>139</v>
      </c>
      <c r="X519" s="54" t="s">
        <v>139</v>
      </c>
      <c r="Y519" s="54" t="s">
        <v>139</v>
      </c>
      <c r="Z519" s="54" t="s">
        <v>2667</v>
      </c>
      <c r="AA519" s="54" t="s">
        <v>139</v>
      </c>
      <c r="AB519" s="55"/>
      <c r="AC519" s="56"/>
      <c r="AD519" s="56"/>
      <c r="AE519" s="57"/>
      <c r="AF519" s="56"/>
      <c r="AG519" s="56"/>
      <c r="AH519" s="56"/>
      <c r="AI519" s="3" t="s">
        <v>1583</v>
      </c>
    </row>
    <row r="520" spans="1:35" ht="54">
      <c r="A520" s="144">
        <f t="shared" si="8"/>
        <v>518</v>
      </c>
      <c r="B520" s="148"/>
      <c r="C520" s="148"/>
      <c r="D520" s="148"/>
      <c r="E520" s="148"/>
      <c r="F520" s="148"/>
      <c r="G520" s="148"/>
      <c r="H520" s="148"/>
      <c r="I520" s="148"/>
      <c r="J520" s="98" t="s">
        <v>2102</v>
      </c>
      <c r="K520" s="51" t="str">
        <f>_xlfn.XLOOKUP(L520,'99_マスタ'!$D$5:$D$18,'99_マスタ'!$C$5:$C$18,"")</f>
        <v>02_生販在</v>
      </c>
      <c r="L520" s="52" t="s">
        <v>2305</v>
      </c>
      <c r="M520" s="52" t="s">
        <v>2400</v>
      </c>
      <c r="N520" s="54" t="s">
        <v>1637</v>
      </c>
      <c r="O520" s="41" t="s">
        <v>3206</v>
      </c>
      <c r="P520" s="41" t="s">
        <v>2654</v>
      </c>
      <c r="Q520" s="41"/>
      <c r="R520" s="41" t="s">
        <v>139</v>
      </c>
      <c r="S520" s="41" t="s">
        <v>139</v>
      </c>
      <c r="T520" s="41" t="s">
        <v>139</v>
      </c>
      <c r="U520" s="41" t="s">
        <v>2670</v>
      </c>
      <c r="V520" s="41" t="s">
        <v>139</v>
      </c>
      <c r="W520" s="73" t="s">
        <v>139</v>
      </c>
      <c r="X520" s="54" t="s">
        <v>139</v>
      </c>
      <c r="Y520" s="54" t="s">
        <v>139</v>
      </c>
      <c r="Z520" s="54" t="s">
        <v>2667</v>
      </c>
      <c r="AA520" s="54" t="s">
        <v>139</v>
      </c>
      <c r="AB520" s="55"/>
      <c r="AC520" s="56"/>
      <c r="AD520" s="56"/>
      <c r="AE520" s="57"/>
      <c r="AF520" s="56"/>
      <c r="AG520" s="56"/>
      <c r="AH520" s="56"/>
      <c r="AI520" s="3" t="s">
        <v>1583</v>
      </c>
    </row>
    <row r="521" spans="1:35" ht="40.5">
      <c r="A521" s="144">
        <f t="shared" si="8"/>
        <v>519</v>
      </c>
      <c r="B521" s="148"/>
      <c r="C521" s="148"/>
      <c r="D521" s="148"/>
      <c r="E521" s="148"/>
      <c r="F521" s="148"/>
      <c r="G521" s="148"/>
      <c r="H521" s="148"/>
      <c r="I521" s="148"/>
      <c r="J521" s="98" t="s">
        <v>2102</v>
      </c>
      <c r="K521" s="51" t="str">
        <f>_xlfn.XLOOKUP(L521,'99_マスタ'!$D$5:$D$18,'99_マスタ'!$C$5:$C$18,"")</f>
        <v>02_生販在</v>
      </c>
      <c r="L521" s="52" t="s">
        <v>2305</v>
      </c>
      <c r="M521" s="52" t="s">
        <v>2401</v>
      </c>
      <c r="N521" s="54" t="s">
        <v>1637</v>
      </c>
      <c r="O521" s="41" t="s">
        <v>2655</v>
      </c>
      <c r="P521" s="41" t="s">
        <v>2656</v>
      </c>
      <c r="Q521" s="41"/>
      <c r="R521" s="41" t="s">
        <v>139</v>
      </c>
      <c r="S521" s="41" t="s">
        <v>139</v>
      </c>
      <c r="T521" s="41" t="s">
        <v>139</v>
      </c>
      <c r="U521" s="41" t="s">
        <v>2670</v>
      </c>
      <c r="V521" s="41" t="s">
        <v>139</v>
      </c>
      <c r="W521" s="73" t="s">
        <v>139</v>
      </c>
      <c r="X521" s="54" t="s">
        <v>139</v>
      </c>
      <c r="Y521" s="54" t="s">
        <v>139</v>
      </c>
      <c r="Z521" s="54" t="s">
        <v>2667</v>
      </c>
      <c r="AA521" s="54" t="s">
        <v>139</v>
      </c>
      <c r="AB521" s="55"/>
      <c r="AC521" s="56"/>
      <c r="AD521" s="56"/>
      <c r="AE521" s="57"/>
      <c r="AF521" s="56"/>
      <c r="AG521" s="56"/>
      <c r="AH521" s="56"/>
      <c r="AI521" s="3" t="s">
        <v>1583</v>
      </c>
    </row>
    <row r="522" spans="1:35" ht="40.5">
      <c r="A522" s="144">
        <f t="shared" si="8"/>
        <v>520</v>
      </c>
      <c r="B522" s="148"/>
      <c r="C522" s="148"/>
      <c r="D522" s="148"/>
      <c r="E522" s="148"/>
      <c r="F522" s="148"/>
      <c r="G522" s="148"/>
      <c r="H522" s="148"/>
      <c r="I522" s="148"/>
      <c r="J522" s="98" t="s">
        <v>2102</v>
      </c>
      <c r="K522" s="51" t="str">
        <f>_xlfn.XLOOKUP(L522,'99_マスタ'!$D$5:$D$18,'99_マスタ'!$C$5:$C$18,"")</f>
        <v>02_生販在</v>
      </c>
      <c r="L522" s="52" t="s">
        <v>2305</v>
      </c>
      <c r="M522" s="52" t="s">
        <v>2527</v>
      </c>
      <c r="N522" s="54" t="s">
        <v>1637</v>
      </c>
      <c r="O522" s="41" t="s">
        <v>3207</v>
      </c>
      <c r="P522" s="41" t="s">
        <v>2657</v>
      </c>
      <c r="Q522" s="41"/>
      <c r="R522" s="41" t="s">
        <v>139</v>
      </c>
      <c r="S522" s="41" t="s">
        <v>139</v>
      </c>
      <c r="T522" s="41" t="s">
        <v>139</v>
      </c>
      <c r="U522" s="41" t="s">
        <v>2670</v>
      </c>
      <c r="V522" s="41" t="s">
        <v>139</v>
      </c>
      <c r="W522" s="73" t="s">
        <v>139</v>
      </c>
      <c r="X522" s="54" t="s">
        <v>139</v>
      </c>
      <c r="Y522" s="54" t="s">
        <v>139</v>
      </c>
      <c r="Z522" s="54" t="s">
        <v>2667</v>
      </c>
      <c r="AA522" s="54" t="s">
        <v>139</v>
      </c>
      <c r="AB522" s="55"/>
      <c r="AC522" s="56"/>
      <c r="AD522" s="56"/>
      <c r="AE522" s="57"/>
      <c r="AF522" s="56"/>
      <c r="AG522" s="56"/>
      <c r="AH522" s="56"/>
      <c r="AI522" s="3" t="s">
        <v>1583</v>
      </c>
    </row>
    <row r="523" spans="1:35">
      <c r="A523" s="144">
        <f t="shared" si="8"/>
        <v>521</v>
      </c>
      <c r="B523" s="148"/>
      <c r="C523" s="148"/>
      <c r="D523" s="148"/>
      <c r="E523" s="148"/>
      <c r="F523" s="148"/>
      <c r="G523" s="148"/>
      <c r="H523" s="148"/>
      <c r="I523" s="148"/>
      <c r="J523" s="98" t="s">
        <v>2102</v>
      </c>
      <c r="K523" s="51" t="str">
        <f>_xlfn.XLOOKUP(L523,'99_マスタ'!$D$5:$D$18,'99_マスタ'!$C$5:$C$18,"")</f>
        <v>02_生販在</v>
      </c>
      <c r="L523" s="52" t="s">
        <v>2305</v>
      </c>
      <c r="M523" s="52" t="s">
        <v>3001</v>
      </c>
      <c r="N523" s="54" t="s">
        <v>3000</v>
      </c>
      <c r="O523" s="41" t="s">
        <v>465</v>
      </c>
      <c r="P523" s="41"/>
      <c r="Q523" s="41" t="s">
        <v>139</v>
      </c>
      <c r="R523" s="41" t="s">
        <v>466</v>
      </c>
      <c r="S523" s="41" t="s">
        <v>139</v>
      </c>
      <c r="T523" s="41" t="s">
        <v>139</v>
      </c>
      <c r="U523" s="41" t="s">
        <v>139</v>
      </c>
      <c r="V523" s="41" t="s">
        <v>139</v>
      </c>
      <c r="W523" s="73" t="s">
        <v>361</v>
      </c>
      <c r="X523" s="54" t="s">
        <v>139</v>
      </c>
      <c r="Y523" s="54" t="s">
        <v>139</v>
      </c>
      <c r="Z523" s="54" t="s">
        <v>139</v>
      </c>
      <c r="AA523" s="54" t="s">
        <v>139</v>
      </c>
      <c r="AB523" s="55"/>
      <c r="AC523" s="56"/>
      <c r="AD523" s="56"/>
      <c r="AE523" s="57"/>
      <c r="AF523" s="56"/>
      <c r="AG523" s="56"/>
      <c r="AH523" s="56"/>
      <c r="AI523" s="3" t="s">
        <v>1583</v>
      </c>
    </row>
    <row r="524" spans="1:35" ht="54">
      <c r="A524" s="144">
        <f t="shared" si="8"/>
        <v>522</v>
      </c>
      <c r="B524" s="148"/>
      <c r="C524" s="148"/>
      <c r="D524" s="148"/>
      <c r="E524" s="148"/>
      <c r="F524" s="148"/>
      <c r="G524" s="148"/>
      <c r="H524" s="148"/>
      <c r="I524" s="148"/>
      <c r="J524" s="98" t="s">
        <v>2102</v>
      </c>
      <c r="K524" s="51" t="str">
        <f>_xlfn.XLOOKUP(L524,'99_マスタ'!$D$5:$D$18,'99_マスタ'!$C$5:$C$18,"")</f>
        <v>02_生販在</v>
      </c>
      <c r="L524" s="52" t="s">
        <v>2305</v>
      </c>
      <c r="M524" s="52" t="s">
        <v>2528</v>
      </c>
      <c r="N524" s="54" t="s">
        <v>1637</v>
      </c>
      <c r="O524" s="41" t="s">
        <v>3208</v>
      </c>
      <c r="P524" s="41" t="s">
        <v>2658</v>
      </c>
      <c r="Q524" s="41"/>
      <c r="R524" s="41" t="s">
        <v>139</v>
      </c>
      <c r="S524" s="41" t="s">
        <v>139</v>
      </c>
      <c r="T524" s="41" t="s">
        <v>139</v>
      </c>
      <c r="U524" s="41" t="s">
        <v>2670</v>
      </c>
      <c r="V524" s="41" t="s">
        <v>139</v>
      </c>
      <c r="W524" s="73" t="s">
        <v>139</v>
      </c>
      <c r="X524" s="54" t="s">
        <v>139</v>
      </c>
      <c r="Y524" s="54" t="s">
        <v>139</v>
      </c>
      <c r="Z524" s="54" t="s">
        <v>2667</v>
      </c>
      <c r="AA524" s="54" t="s">
        <v>139</v>
      </c>
      <c r="AB524" s="55"/>
      <c r="AC524" s="56"/>
      <c r="AD524" s="56"/>
      <c r="AE524" s="57"/>
      <c r="AF524" s="56"/>
      <c r="AG524" s="56"/>
      <c r="AH524" s="56"/>
      <c r="AI524" s="3" t="s">
        <v>1583</v>
      </c>
    </row>
    <row r="525" spans="1:35" ht="54">
      <c r="A525" s="144">
        <f t="shared" si="8"/>
        <v>523</v>
      </c>
      <c r="B525" s="148"/>
      <c r="C525" s="148"/>
      <c r="D525" s="148"/>
      <c r="E525" s="148"/>
      <c r="F525" s="148"/>
      <c r="G525" s="148"/>
      <c r="H525" s="148"/>
      <c r="I525" s="148"/>
      <c r="J525" s="98" t="s">
        <v>2102</v>
      </c>
      <c r="K525" s="51" t="str">
        <f>_xlfn.XLOOKUP(L525,'99_マスタ'!$D$5:$D$18,'99_マスタ'!$C$5:$C$18,"")</f>
        <v>02_生販在</v>
      </c>
      <c r="L525" s="52" t="s">
        <v>2305</v>
      </c>
      <c r="M525" s="52" t="s">
        <v>2529</v>
      </c>
      <c r="N525" s="54" t="s">
        <v>1637</v>
      </c>
      <c r="O525" s="41" t="s">
        <v>3209</v>
      </c>
      <c r="P525" s="41" t="s">
        <v>2659</v>
      </c>
      <c r="Q525" s="41"/>
      <c r="R525" s="41" t="s">
        <v>139</v>
      </c>
      <c r="S525" s="41" t="s">
        <v>139</v>
      </c>
      <c r="T525" s="41" t="s">
        <v>139</v>
      </c>
      <c r="U525" s="41" t="s">
        <v>2670</v>
      </c>
      <c r="V525" s="41" t="s">
        <v>139</v>
      </c>
      <c r="W525" s="73" t="s">
        <v>139</v>
      </c>
      <c r="X525" s="54" t="s">
        <v>139</v>
      </c>
      <c r="Y525" s="54" t="s">
        <v>139</v>
      </c>
      <c r="Z525" s="54" t="s">
        <v>2667</v>
      </c>
      <c r="AA525" s="54" t="s">
        <v>139</v>
      </c>
      <c r="AB525" s="55"/>
      <c r="AC525" s="56"/>
      <c r="AD525" s="56"/>
      <c r="AE525" s="57"/>
      <c r="AF525" s="56"/>
      <c r="AG525" s="56"/>
      <c r="AH525" s="56"/>
      <c r="AI525" s="3" t="s">
        <v>1583</v>
      </c>
    </row>
    <row r="526" spans="1:35">
      <c r="A526" s="144">
        <f t="shared" si="8"/>
        <v>524</v>
      </c>
      <c r="B526" s="148"/>
      <c r="C526" s="148"/>
      <c r="D526" s="148"/>
      <c r="E526" s="148"/>
      <c r="F526" s="148"/>
      <c r="G526" s="148"/>
      <c r="H526" s="148"/>
      <c r="I526" s="148"/>
      <c r="J526" s="98" t="s">
        <v>2102</v>
      </c>
      <c r="K526" s="51" t="str">
        <f>_xlfn.XLOOKUP(L526,'99_マスタ'!$D$5:$D$18,'99_マスタ'!$C$5:$C$18,"")</f>
        <v>02_生販在</v>
      </c>
      <c r="L526" s="52" t="s">
        <v>2305</v>
      </c>
      <c r="M526" s="52" t="s">
        <v>461</v>
      </c>
      <c r="N526" s="54" t="s">
        <v>139</v>
      </c>
      <c r="O526" s="41" t="s">
        <v>462</v>
      </c>
      <c r="P526" s="41"/>
      <c r="Q526" s="41" t="s">
        <v>139</v>
      </c>
      <c r="R526" s="41" t="s">
        <v>378</v>
      </c>
      <c r="S526" s="41" t="s">
        <v>139</v>
      </c>
      <c r="T526" s="41" t="s">
        <v>139</v>
      </c>
      <c r="U526" s="41" t="s">
        <v>139</v>
      </c>
      <c r="V526" s="41" t="s">
        <v>139</v>
      </c>
      <c r="W526" s="73" t="s">
        <v>163</v>
      </c>
      <c r="X526" s="54" t="s">
        <v>139</v>
      </c>
      <c r="Y526" s="54" t="s">
        <v>139</v>
      </c>
      <c r="Z526" s="54" t="s">
        <v>139</v>
      </c>
      <c r="AA526" s="54" t="s">
        <v>139</v>
      </c>
      <c r="AB526" s="55"/>
      <c r="AC526" s="56"/>
      <c r="AD526" s="56"/>
      <c r="AE526" s="57"/>
      <c r="AF526" s="56"/>
      <c r="AG526" s="56"/>
      <c r="AH526" s="56"/>
      <c r="AI526" s="3" t="s">
        <v>1583</v>
      </c>
    </row>
    <row r="527" spans="1:35">
      <c r="A527" s="144">
        <f t="shared" si="8"/>
        <v>525</v>
      </c>
      <c r="B527" s="148"/>
      <c r="C527" s="148"/>
      <c r="D527" s="148"/>
      <c r="E527" s="148"/>
      <c r="F527" s="148"/>
      <c r="G527" s="148"/>
      <c r="H527" s="148"/>
      <c r="I527" s="148"/>
      <c r="J527" s="98" t="s">
        <v>2102</v>
      </c>
      <c r="K527" s="51" t="str">
        <f>_xlfn.XLOOKUP(L527,'99_マスタ'!$D$5:$D$18,'99_マスタ'!$C$5:$C$18,"")</f>
        <v>02_生販在</v>
      </c>
      <c r="L527" s="52" t="s">
        <v>2305</v>
      </c>
      <c r="M527" s="52" t="s">
        <v>456</v>
      </c>
      <c r="N527" s="54" t="s">
        <v>139</v>
      </c>
      <c r="O527" s="41" t="s">
        <v>457</v>
      </c>
      <c r="P527" s="41"/>
      <c r="Q527" s="41" t="s">
        <v>139</v>
      </c>
      <c r="R527" s="41" t="s">
        <v>458</v>
      </c>
      <c r="S527" s="41" t="s">
        <v>139</v>
      </c>
      <c r="T527" s="41" t="s">
        <v>139</v>
      </c>
      <c r="U527" s="41" t="s">
        <v>139</v>
      </c>
      <c r="V527" s="41" t="s">
        <v>139</v>
      </c>
      <c r="W527" s="73" t="s">
        <v>228</v>
      </c>
      <c r="X527" s="54" t="s">
        <v>139</v>
      </c>
      <c r="Y527" s="54" t="s">
        <v>139</v>
      </c>
      <c r="Z527" s="54" t="s">
        <v>139</v>
      </c>
      <c r="AA527" s="54" t="s">
        <v>139</v>
      </c>
      <c r="AB527" s="55"/>
      <c r="AC527" s="56"/>
      <c r="AD527" s="56"/>
      <c r="AE527" s="57"/>
      <c r="AF527" s="56"/>
      <c r="AG527" s="56"/>
      <c r="AH527" s="56"/>
      <c r="AI527" s="3" t="s">
        <v>1583</v>
      </c>
    </row>
    <row r="528" spans="1:35" ht="40.5">
      <c r="A528" s="144">
        <f t="shared" si="8"/>
        <v>526</v>
      </c>
      <c r="B528" s="148"/>
      <c r="C528" s="148"/>
      <c r="D528" s="148"/>
      <c r="E528" s="148"/>
      <c r="F528" s="148"/>
      <c r="G528" s="148"/>
      <c r="H528" s="148"/>
      <c r="I528" s="148"/>
      <c r="J528" s="98" t="s">
        <v>2102</v>
      </c>
      <c r="K528" s="51" t="str">
        <f>_xlfn.XLOOKUP(L528,'99_マスタ'!$D$5:$D$18,'99_マスタ'!$C$5:$C$18,"")</f>
        <v>02_生販在</v>
      </c>
      <c r="L528" s="52" t="s">
        <v>2305</v>
      </c>
      <c r="M528" s="52" t="s">
        <v>2530</v>
      </c>
      <c r="N528" s="54" t="s">
        <v>1637</v>
      </c>
      <c r="O528" s="41" t="s">
        <v>3210</v>
      </c>
      <c r="P528" s="41" t="s">
        <v>2660</v>
      </c>
      <c r="Q528" s="41"/>
      <c r="R528" s="41" t="s">
        <v>139</v>
      </c>
      <c r="S528" s="41" t="s">
        <v>139</v>
      </c>
      <c r="T528" s="41" t="s">
        <v>139</v>
      </c>
      <c r="U528" s="41" t="s">
        <v>2670</v>
      </c>
      <c r="V528" s="41" t="s">
        <v>139</v>
      </c>
      <c r="W528" s="73" t="s">
        <v>139</v>
      </c>
      <c r="X528" s="54" t="s">
        <v>139</v>
      </c>
      <c r="Y528" s="54" t="s">
        <v>139</v>
      </c>
      <c r="Z528" s="54" t="s">
        <v>2667</v>
      </c>
      <c r="AA528" s="54" t="s">
        <v>139</v>
      </c>
      <c r="AB528" s="55"/>
      <c r="AC528" s="56"/>
      <c r="AD528" s="56"/>
      <c r="AE528" s="57"/>
      <c r="AF528" s="56"/>
      <c r="AG528" s="56"/>
      <c r="AH528" s="56"/>
      <c r="AI528" s="3" t="s">
        <v>1583</v>
      </c>
    </row>
    <row r="529" spans="1:35" ht="40.5">
      <c r="A529" s="144">
        <f t="shared" si="8"/>
        <v>527</v>
      </c>
      <c r="B529" s="148"/>
      <c r="C529" s="148"/>
      <c r="D529" s="148"/>
      <c r="E529" s="148"/>
      <c r="F529" s="148"/>
      <c r="G529" s="148"/>
      <c r="H529" s="148"/>
      <c r="I529" s="148"/>
      <c r="J529" s="98" t="s">
        <v>2102</v>
      </c>
      <c r="K529" s="51" t="str">
        <f>_xlfn.XLOOKUP(L529,'99_マスタ'!$D$5:$D$18,'99_マスタ'!$C$5:$C$18,"")</f>
        <v>02_生販在</v>
      </c>
      <c r="L529" s="52" t="s">
        <v>2305</v>
      </c>
      <c r="M529" s="52" t="s">
        <v>2531</v>
      </c>
      <c r="N529" s="54" t="s">
        <v>1637</v>
      </c>
      <c r="O529" s="41" t="s">
        <v>3211</v>
      </c>
      <c r="P529" s="41" t="s">
        <v>2661</v>
      </c>
      <c r="Q529" s="41"/>
      <c r="R529" s="41" t="s">
        <v>139</v>
      </c>
      <c r="S529" s="41" t="s">
        <v>139</v>
      </c>
      <c r="T529" s="41" t="s">
        <v>139</v>
      </c>
      <c r="U529" s="41" t="s">
        <v>2670</v>
      </c>
      <c r="V529" s="41" t="s">
        <v>139</v>
      </c>
      <c r="W529" s="73" t="s">
        <v>139</v>
      </c>
      <c r="X529" s="54" t="s">
        <v>139</v>
      </c>
      <c r="Y529" s="54" t="s">
        <v>139</v>
      </c>
      <c r="Z529" s="54" t="s">
        <v>2667</v>
      </c>
      <c r="AA529" s="54" t="s">
        <v>139</v>
      </c>
      <c r="AB529" s="55"/>
      <c r="AC529" s="56"/>
      <c r="AD529" s="56"/>
      <c r="AE529" s="57"/>
      <c r="AF529" s="56"/>
      <c r="AG529" s="56"/>
      <c r="AH529" s="56"/>
      <c r="AI529" s="3" t="s">
        <v>1583</v>
      </c>
    </row>
    <row r="530" spans="1:35" ht="40.5">
      <c r="A530" s="144">
        <f t="shared" si="8"/>
        <v>528</v>
      </c>
      <c r="B530" s="148"/>
      <c r="C530" s="148"/>
      <c r="D530" s="148"/>
      <c r="E530" s="148"/>
      <c r="F530" s="148"/>
      <c r="G530" s="148"/>
      <c r="H530" s="148"/>
      <c r="I530" s="148"/>
      <c r="J530" s="98" t="s">
        <v>2102</v>
      </c>
      <c r="K530" s="51" t="str">
        <f>_xlfn.XLOOKUP(L530,'99_マスタ'!$D$5:$D$18,'99_マスタ'!$C$5:$C$18,"")</f>
        <v>02_生販在</v>
      </c>
      <c r="L530" s="52" t="s">
        <v>2305</v>
      </c>
      <c r="M530" s="52" t="s">
        <v>2532</v>
      </c>
      <c r="N530" s="54" t="s">
        <v>1637</v>
      </c>
      <c r="O530" s="41" t="s">
        <v>3212</v>
      </c>
      <c r="P530" s="41" t="s">
        <v>2662</v>
      </c>
      <c r="Q530" s="41"/>
      <c r="R530" s="41" t="s">
        <v>139</v>
      </c>
      <c r="S530" s="41" t="s">
        <v>139</v>
      </c>
      <c r="T530" s="41" t="s">
        <v>139</v>
      </c>
      <c r="U530" s="41" t="s">
        <v>2670</v>
      </c>
      <c r="V530" s="41" t="s">
        <v>139</v>
      </c>
      <c r="W530" s="73" t="s">
        <v>139</v>
      </c>
      <c r="X530" s="54" t="s">
        <v>139</v>
      </c>
      <c r="Y530" s="54" t="s">
        <v>139</v>
      </c>
      <c r="Z530" s="54" t="s">
        <v>2667</v>
      </c>
      <c r="AA530" s="54" t="s">
        <v>139</v>
      </c>
      <c r="AB530" s="55"/>
      <c r="AC530" s="56"/>
      <c r="AD530" s="56"/>
      <c r="AE530" s="57"/>
      <c r="AF530" s="56"/>
      <c r="AG530" s="56"/>
      <c r="AH530" s="56"/>
      <c r="AI530" s="3" t="s">
        <v>1583</v>
      </c>
    </row>
    <row r="531" spans="1:35" ht="40.5">
      <c r="A531" s="144">
        <f t="shared" si="8"/>
        <v>529</v>
      </c>
      <c r="B531" s="148"/>
      <c r="C531" s="148"/>
      <c r="D531" s="148"/>
      <c r="E531" s="148"/>
      <c r="F531" s="148"/>
      <c r="G531" s="148"/>
      <c r="H531" s="148"/>
      <c r="I531" s="148"/>
      <c r="J531" s="98" t="s">
        <v>2102</v>
      </c>
      <c r="K531" s="51" t="str">
        <f>_xlfn.XLOOKUP(L531,'99_マスタ'!$D$5:$D$18,'99_マスタ'!$C$5:$C$18,"")</f>
        <v>02_生販在</v>
      </c>
      <c r="L531" s="52" t="s">
        <v>2305</v>
      </c>
      <c r="M531" s="52" t="s">
        <v>2533</v>
      </c>
      <c r="N531" s="54" t="s">
        <v>1637</v>
      </c>
      <c r="O531" s="41" t="s">
        <v>3213</v>
      </c>
      <c r="P531" s="41" t="s">
        <v>2663</v>
      </c>
      <c r="Q531" s="41"/>
      <c r="R531" s="41" t="s">
        <v>139</v>
      </c>
      <c r="S531" s="41" t="s">
        <v>139</v>
      </c>
      <c r="T531" s="41" t="s">
        <v>139</v>
      </c>
      <c r="U531" s="41" t="s">
        <v>2670</v>
      </c>
      <c r="V531" s="41" t="s">
        <v>139</v>
      </c>
      <c r="W531" s="73" t="s">
        <v>139</v>
      </c>
      <c r="X531" s="54" t="s">
        <v>139</v>
      </c>
      <c r="Y531" s="54" t="s">
        <v>139</v>
      </c>
      <c r="Z531" s="54" t="s">
        <v>2667</v>
      </c>
      <c r="AA531" s="54" t="s">
        <v>139</v>
      </c>
      <c r="AB531" s="55"/>
      <c r="AC531" s="56"/>
      <c r="AD531" s="56"/>
      <c r="AE531" s="57"/>
      <c r="AF531" s="56"/>
      <c r="AG531" s="56"/>
      <c r="AH531" s="56"/>
      <c r="AI531" s="3" t="s">
        <v>1583</v>
      </c>
    </row>
    <row r="532" spans="1:35" ht="54">
      <c r="A532" s="144">
        <f t="shared" si="8"/>
        <v>530</v>
      </c>
      <c r="B532" s="148"/>
      <c r="C532" s="148"/>
      <c r="D532" s="148"/>
      <c r="E532" s="148"/>
      <c r="F532" s="148"/>
      <c r="G532" s="148"/>
      <c r="H532" s="148"/>
      <c r="I532" s="148"/>
      <c r="J532" s="98" t="s">
        <v>2102</v>
      </c>
      <c r="K532" s="51" t="str">
        <f>_xlfn.XLOOKUP(L532,'99_マスタ'!$D$5:$D$18,'99_マスタ'!$C$5:$C$18,"")</f>
        <v>02_生販在</v>
      </c>
      <c r="L532" s="52" t="s">
        <v>2305</v>
      </c>
      <c r="M532" s="52" t="s">
        <v>2534</v>
      </c>
      <c r="N532" s="54" t="s">
        <v>1637</v>
      </c>
      <c r="O532" s="41" t="s">
        <v>3214</v>
      </c>
      <c r="P532" s="41" t="s">
        <v>2664</v>
      </c>
      <c r="Q532" s="41"/>
      <c r="R532" s="41" t="s">
        <v>139</v>
      </c>
      <c r="S532" s="41" t="s">
        <v>139</v>
      </c>
      <c r="T532" s="41" t="s">
        <v>139</v>
      </c>
      <c r="U532" s="41" t="s">
        <v>2670</v>
      </c>
      <c r="V532" s="41" t="s">
        <v>139</v>
      </c>
      <c r="W532" s="73" t="s">
        <v>139</v>
      </c>
      <c r="X532" s="54" t="s">
        <v>139</v>
      </c>
      <c r="Y532" s="54" t="s">
        <v>139</v>
      </c>
      <c r="Z532" s="54" t="s">
        <v>2667</v>
      </c>
      <c r="AA532" s="54" t="s">
        <v>139</v>
      </c>
      <c r="AB532" s="55"/>
      <c r="AC532" s="56"/>
      <c r="AD532" s="56"/>
      <c r="AE532" s="57"/>
      <c r="AF532" s="56"/>
      <c r="AG532" s="56"/>
      <c r="AH532" s="56"/>
      <c r="AI532" s="3" t="s">
        <v>1583</v>
      </c>
    </row>
    <row r="533" spans="1:35" ht="54">
      <c r="A533" s="144">
        <f t="shared" si="8"/>
        <v>531</v>
      </c>
      <c r="B533" s="148"/>
      <c r="C533" s="148"/>
      <c r="D533" s="148"/>
      <c r="E533" s="148"/>
      <c r="F533" s="148"/>
      <c r="G533" s="148"/>
      <c r="H533" s="148"/>
      <c r="I533" s="148"/>
      <c r="J533" s="98" t="s">
        <v>2102</v>
      </c>
      <c r="K533" s="51" t="str">
        <f>_xlfn.XLOOKUP(L533,'99_マスタ'!$D$5:$D$18,'99_マスタ'!$C$5:$C$18,"")</f>
        <v>02_生販在</v>
      </c>
      <c r="L533" s="52" t="s">
        <v>2305</v>
      </c>
      <c r="M533" s="52" t="s">
        <v>2535</v>
      </c>
      <c r="N533" s="54" t="s">
        <v>1637</v>
      </c>
      <c r="O533" s="41" t="s">
        <v>3215</v>
      </c>
      <c r="P533" s="41" t="s">
        <v>2665</v>
      </c>
      <c r="Q533" s="41"/>
      <c r="R533" s="41" t="s">
        <v>139</v>
      </c>
      <c r="S533" s="41" t="s">
        <v>139</v>
      </c>
      <c r="T533" s="41" t="s">
        <v>139</v>
      </c>
      <c r="U533" s="41" t="s">
        <v>2670</v>
      </c>
      <c r="V533" s="41" t="s">
        <v>139</v>
      </c>
      <c r="W533" s="73" t="s">
        <v>139</v>
      </c>
      <c r="X533" s="54" t="s">
        <v>139</v>
      </c>
      <c r="Y533" s="54" t="s">
        <v>139</v>
      </c>
      <c r="Z533" s="54" t="s">
        <v>2667</v>
      </c>
      <c r="AA533" s="54" t="s">
        <v>139</v>
      </c>
      <c r="AB533" s="55"/>
      <c r="AC533" s="56"/>
      <c r="AD533" s="56"/>
      <c r="AE533" s="57"/>
      <c r="AF533" s="56"/>
      <c r="AG533" s="56"/>
      <c r="AH533" s="56"/>
      <c r="AI533" s="3" t="s">
        <v>1583</v>
      </c>
    </row>
    <row r="534" spans="1:35" ht="40.5">
      <c r="A534" s="144">
        <f t="shared" si="8"/>
        <v>532</v>
      </c>
      <c r="B534" s="148"/>
      <c r="C534" s="148"/>
      <c r="D534" s="148"/>
      <c r="E534" s="148"/>
      <c r="F534" s="148"/>
      <c r="G534" s="148"/>
      <c r="H534" s="148"/>
      <c r="I534" s="148"/>
      <c r="J534" s="98" t="s">
        <v>2102</v>
      </c>
      <c r="K534" s="51" t="str">
        <f>_xlfn.XLOOKUP(L534,'99_マスタ'!$D$5:$D$18,'99_マスタ'!$C$5:$C$18,"")</f>
        <v>02_生販在</v>
      </c>
      <c r="L534" s="52" t="s">
        <v>2305</v>
      </c>
      <c r="M534" s="52" t="s">
        <v>2407</v>
      </c>
      <c r="N534" s="54" t="s">
        <v>1637</v>
      </c>
      <c r="O534" s="41" t="s">
        <v>3216</v>
      </c>
      <c r="P534" s="41" t="s">
        <v>2446</v>
      </c>
      <c r="Q534" s="41"/>
      <c r="R534" s="41" t="s">
        <v>139</v>
      </c>
      <c r="S534" s="41" t="s">
        <v>139</v>
      </c>
      <c r="T534" s="41" t="s">
        <v>139</v>
      </c>
      <c r="U534" s="41" t="s">
        <v>2670</v>
      </c>
      <c r="V534" s="41" t="s">
        <v>139</v>
      </c>
      <c r="W534" s="73" t="s">
        <v>139</v>
      </c>
      <c r="X534" s="54" t="s">
        <v>139</v>
      </c>
      <c r="Y534" s="54" t="s">
        <v>139</v>
      </c>
      <c r="Z534" s="54" t="s">
        <v>2667</v>
      </c>
      <c r="AA534" s="54" t="s">
        <v>139</v>
      </c>
      <c r="AB534" s="55"/>
      <c r="AC534" s="56"/>
      <c r="AD534" s="56"/>
      <c r="AE534" s="57"/>
      <c r="AF534" s="56"/>
      <c r="AG534" s="56"/>
      <c r="AH534" s="56"/>
      <c r="AI534" s="3" t="s">
        <v>1583</v>
      </c>
    </row>
    <row r="535" spans="1:35" ht="40.5">
      <c r="A535" s="144">
        <f t="shared" si="8"/>
        <v>533</v>
      </c>
      <c r="B535" s="148"/>
      <c r="C535" s="148"/>
      <c r="D535" s="148"/>
      <c r="E535" s="148"/>
      <c r="F535" s="148"/>
      <c r="G535" s="148"/>
      <c r="H535" s="148"/>
      <c r="I535" s="148"/>
      <c r="J535" s="98" t="s">
        <v>2102</v>
      </c>
      <c r="K535" s="51" t="str">
        <f>_xlfn.XLOOKUP(L535,'99_マスタ'!$D$5:$D$18,'99_マスタ'!$C$5:$C$18,"")</f>
        <v>02_生販在</v>
      </c>
      <c r="L535" s="52" t="s">
        <v>2305</v>
      </c>
      <c r="M535" s="52" t="s">
        <v>2536</v>
      </c>
      <c r="N535" s="54" t="s">
        <v>1637</v>
      </c>
      <c r="O535" s="41" t="s">
        <v>3217</v>
      </c>
      <c r="P535" s="41" t="s">
        <v>2666</v>
      </c>
      <c r="Q535" s="41"/>
      <c r="R535" s="41" t="s">
        <v>139</v>
      </c>
      <c r="S535" s="41" t="s">
        <v>139</v>
      </c>
      <c r="T535" s="41" t="s">
        <v>139</v>
      </c>
      <c r="U535" s="41" t="s">
        <v>2670</v>
      </c>
      <c r="V535" s="41" t="s">
        <v>139</v>
      </c>
      <c r="W535" s="73" t="s">
        <v>139</v>
      </c>
      <c r="X535" s="54" t="s">
        <v>139</v>
      </c>
      <c r="Y535" s="54" t="s">
        <v>139</v>
      </c>
      <c r="Z535" s="54" t="s">
        <v>2667</v>
      </c>
      <c r="AA535" s="54" t="s">
        <v>139</v>
      </c>
      <c r="AB535" s="55"/>
      <c r="AC535" s="56"/>
      <c r="AD535" s="56"/>
      <c r="AE535" s="57"/>
      <c r="AF535" s="56"/>
      <c r="AG535" s="56"/>
      <c r="AH535" s="56"/>
      <c r="AI535" s="3" t="s">
        <v>1583</v>
      </c>
    </row>
    <row r="536" spans="1:35">
      <c r="A536" s="144">
        <f t="shared" si="8"/>
        <v>534</v>
      </c>
      <c r="B536" s="148"/>
      <c r="C536" s="148"/>
      <c r="D536" s="148"/>
      <c r="E536" s="148"/>
      <c r="F536" s="148"/>
      <c r="G536" s="148"/>
      <c r="H536" s="148"/>
      <c r="I536" s="148"/>
      <c r="J536" s="98" t="s">
        <v>2102</v>
      </c>
      <c r="K536" s="65" t="str">
        <f>_xlfn.XLOOKUP(L536,'99_マスタ'!$D$5:$D$18,'99_マスタ'!$C$5:$C$18,"")</f>
        <v>03_会社運営</v>
      </c>
      <c r="L536" s="86" t="s">
        <v>2310</v>
      </c>
      <c r="M536" s="71" t="s">
        <v>184</v>
      </c>
      <c r="N536" s="54" t="s">
        <v>185</v>
      </c>
      <c r="O536" s="41" t="s">
        <v>186</v>
      </c>
      <c r="P536" s="41" t="s">
        <v>187</v>
      </c>
      <c r="Q536" s="41" t="s">
        <v>266</v>
      </c>
      <c r="R536" s="41" t="s">
        <v>183</v>
      </c>
      <c r="S536" s="41" t="s">
        <v>139</v>
      </c>
      <c r="T536" s="41" t="s">
        <v>139</v>
      </c>
      <c r="U536" s="41" t="s">
        <v>139</v>
      </c>
      <c r="V536" s="41" t="s">
        <v>139</v>
      </c>
      <c r="W536" s="73" t="s">
        <v>114</v>
      </c>
      <c r="X536" s="54" t="s">
        <v>139</v>
      </c>
      <c r="Y536" s="54" t="s">
        <v>139</v>
      </c>
      <c r="Z536" s="54" t="s">
        <v>139</v>
      </c>
      <c r="AA536" s="54" t="s">
        <v>139</v>
      </c>
      <c r="AB536" s="55"/>
      <c r="AC536" s="56"/>
      <c r="AD536" s="56"/>
      <c r="AE536" s="57"/>
      <c r="AF536" s="56"/>
      <c r="AG536" s="56"/>
      <c r="AH536" s="56"/>
      <c r="AI536" s="3" t="s">
        <v>1583</v>
      </c>
    </row>
    <row r="537" spans="1:35">
      <c r="A537" s="144">
        <f t="shared" si="8"/>
        <v>535</v>
      </c>
      <c r="B537" s="148"/>
      <c r="C537" s="148"/>
      <c r="D537" s="148"/>
      <c r="E537" s="148"/>
      <c r="F537" s="148"/>
      <c r="G537" s="148"/>
      <c r="H537" s="148"/>
      <c r="I537" s="148"/>
      <c r="J537" s="98" t="s">
        <v>2102</v>
      </c>
      <c r="K537" s="101" t="str">
        <f>_xlfn.XLOOKUP(L537,'99_マスタ'!$D$5:$D$18,'99_マスタ'!$C$5:$C$18,"")</f>
        <v>03_会社運営</v>
      </c>
      <c r="L537" s="81" t="s">
        <v>2310</v>
      </c>
      <c r="M537" s="81" t="s">
        <v>332</v>
      </c>
      <c r="N537" s="54" t="s">
        <v>139</v>
      </c>
      <c r="O537" s="41" t="s">
        <v>333</v>
      </c>
      <c r="P537" s="41" t="s">
        <v>334</v>
      </c>
      <c r="Q537" s="41" t="s">
        <v>1140</v>
      </c>
      <c r="R537" s="41" t="s">
        <v>328</v>
      </c>
      <c r="S537" s="41" t="s">
        <v>139</v>
      </c>
      <c r="T537" s="41" t="s">
        <v>139</v>
      </c>
      <c r="U537" s="41" t="s">
        <v>139</v>
      </c>
      <c r="V537" s="41" t="s">
        <v>139</v>
      </c>
      <c r="W537" s="73" t="s">
        <v>117</v>
      </c>
      <c r="X537" s="54" t="s">
        <v>139</v>
      </c>
      <c r="Y537" s="54" t="s">
        <v>139</v>
      </c>
      <c r="Z537" s="54" t="s">
        <v>139</v>
      </c>
      <c r="AA537" s="54" t="s">
        <v>139</v>
      </c>
      <c r="AB537" s="55"/>
      <c r="AC537" s="56"/>
      <c r="AD537" s="56"/>
      <c r="AE537" s="57"/>
      <c r="AF537" s="56"/>
      <c r="AG537" s="56"/>
      <c r="AH537" s="56"/>
      <c r="AI537" s="3" t="s">
        <v>1583</v>
      </c>
    </row>
    <row r="538" spans="1:35" ht="27">
      <c r="A538" s="144">
        <f t="shared" si="8"/>
        <v>536</v>
      </c>
      <c r="B538" s="148"/>
      <c r="C538" s="148"/>
      <c r="D538" s="148"/>
      <c r="E538" s="148"/>
      <c r="F538" s="148"/>
      <c r="G538" s="148"/>
      <c r="H538" s="148"/>
      <c r="I538" s="148"/>
      <c r="J538" s="98" t="s">
        <v>2102</v>
      </c>
      <c r="K538" s="101" t="str">
        <f>_xlfn.XLOOKUP(L538,'99_マスタ'!$D$5:$D$18,'99_マスタ'!$C$5:$C$18,"")</f>
        <v>03_会社運営</v>
      </c>
      <c r="L538" s="81" t="s">
        <v>2310</v>
      </c>
      <c r="M538" s="81" t="s">
        <v>303</v>
      </c>
      <c r="N538" s="54" t="s">
        <v>139</v>
      </c>
      <c r="O538" s="41" t="s">
        <v>304</v>
      </c>
      <c r="P538" s="41" t="s">
        <v>305</v>
      </c>
      <c r="Q538" s="41" t="s">
        <v>192</v>
      </c>
      <c r="R538" s="41" t="s">
        <v>306</v>
      </c>
      <c r="S538" s="41" t="s">
        <v>139</v>
      </c>
      <c r="T538" s="41" t="s">
        <v>139</v>
      </c>
      <c r="U538" s="41" t="s">
        <v>139</v>
      </c>
      <c r="V538" s="41" t="s">
        <v>139</v>
      </c>
      <c r="W538" s="73" t="s">
        <v>307</v>
      </c>
      <c r="X538" s="54" t="s">
        <v>139</v>
      </c>
      <c r="Y538" s="54" t="s">
        <v>139</v>
      </c>
      <c r="Z538" s="54" t="s">
        <v>139</v>
      </c>
      <c r="AA538" s="54" t="s">
        <v>139</v>
      </c>
      <c r="AB538" s="55"/>
      <c r="AC538" s="56"/>
      <c r="AD538" s="56"/>
      <c r="AE538" s="57"/>
      <c r="AF538" s="56"/>
      <c r="AG538" s="56"/>
      <c r="AH538" s="56"/>
      <c r="AI538" s="3" t="s">
        <v>1583</v>
      </c>
    </row>
    <row r="539" spans="1:35">
      <c r="A539" s="144">
        <f t="shared" si="8"/>
        <v>537</v>
      </c>
      <c r="B539" s="148"/>
      <c r="C539" s="148"/>
      <c r="D539" s="148"/>
      <c r="E539" s="148"/>
      <c r="F539" s="148"/>
      <c r="G539" s="148"/>
      <c r="H539" s="148"/>
      <c r="I539" s="148"/>
      <c r="J539" s="98" t="s">
        <v>2102</v>
      </c>
      <c r="K539" s="65" t="str">
        <f>_xlfn.XLOOKUP(L539,'99_マスタ'!$D$5:$D$18,'99_マスタ'!$C$5:$C$18,"")</f>
        <v>03_会社運営</v>
      </c>
      <c r="L539" s="86" t="s">
        <v>2310</v>
      </c>
      <c r="M539" s="71" t="s">
        <v>179</v>
      </c>
      <c r="N539" s="54" t="s">
        <v>180</v>
      </c>
      <c r="O539" s="41" t="s">
        <v>181</v>
      </c>
      <c r="P539" s="41" t="s">
        <v>182</v>
      </c>
      <c r="Q539" s="41" t="s">
        <v>1140</v>
      </c>
      <c r="R539" s="41" t="s">
        <v>183</v>
      </c>
      <c r="S539" s="41" t="s">
        <v>139</v>
      </c>
      <c r="T539" s="41" t="s">
        <v>139</v>
      </c>
      <c r="U539" s="41" t="s">
        <v>139</v>
      </c>
      <c r="V539" s="41" t="s">
        <v>139</v>
      </c>
      <c r="W539" s="73" t="s">
        <v>114</v>
      </c>
      <c r="X539" s="54" t="s">
        <v>139</v>
      </c>
      <c r="Y539" s="54" t="s">
        <v>139</v>
      </c>
      <c r="Z539" s="54" t="s">
        <v>139</v>
      </c>
      <c r="AA539" s="54" t="s">
        <v>139</v>
      </c>
      <c r="AB539" s="55"/>
      <c r="AC539" s="56"/>
      <c r="AD539" s="56"/>
      <c r="AE539" s="57"/>
      <c r="AF539" s="56"/>
      <c r="AG539" s="56"/>
      <c r="AH539" s="56"/>
      <c r="AI539" s="3" t="s">
        <v>1583</v>
      </c>
    </row>
    <row r="540" spans="1:35" ht="27">
      <c r="A540" s="144">
        <f t="shared" si="8"/>
        <v>538</v>
      </c>
      <c r="B540" s="148"/>
      <c r="C540" s="148"/>
      <c r="D540" s="148"/>
      <c r="E540" s="148"/>
      <c r="F540" s="148"/>
      <c r="G540" s="148"/>
      <c r="H540" s="148"/>
      <c r="I540" s="148"/>
      <c r="J540" s="98" t="s">
        <v>2104</v>
      </c>
      <c r="K540" s="99" t="str">
        <f>_xlfn.XLOOKUP(L540,'99_マスタ'!$D$5:$D$18,'99_マスタ'!$C$5:$C$18,"")</f>
        <v>01_財務・業績指標</v>
      </c>
      <c r="L540" s="99" t="s">
        <v>2297</v>
      </c>
      <c r="M540" s="99" t="s">
        <v>2311</v>
      </c>
      <c r="N540" s="126" t="s">
        <v>139</v>
      </c>
      <c r="O540" s="40" t="s">
        <v>2313</v>
      </c>
      <c r="P540" s="40"/>
      <c r="Q540" s="40"/>
      <c r="R540" s="41" t="s">
        <v>139</v>
      </c>
      <c r="S540" s="41" t="s">
        <v>139</v>
      </c>
      <c r="T540" s="41" t="s">
        <v>139</v>
      </c>
      <c r="U540" s="41" t="s">
        <v>2314</v>
      </c>
      <c r="V540" s="41" t="s">
        <v>139</v>
      </c>
      <c r="W540" s="74" t="s">
        <v>139</v>
      </c>
      <c r="X540" s="41" t="s">
        <v>139</v>
      </c>
      <c r="Y540" s="41" t="s">
        <v>139</v>
      </c>
      <c r="Z540" s="41" t="s">
        <v>2316</v>
      </c>
      <c r="AA540" s="41" t="s">
        <v>139</v>
      </c>
      <c r="AB540" s="44"/>
      <c r="AC540" s="45"/>
      <c r="AD540" s="45"/>
      <c r="AE540" s="46"/>
      <c r="AF540" s="45"/>
      <c r="AG540" s="45"/>
      <c r="AH540" s="45"/>
      <c r="AI540" s="3" t="s">
        <v>1583</v>
      </c>
    </row>
    <row r="541" spans="1:35" ht="67.5">
      <c r="A541" s="144">
        <f t="shared" si="8"/>
        <v>539</v>
      </c>
      <c r="B541" s="148"/>
      <c r="C541" s="148"/>
      <c r="D541" s="148"/>
      <c r="E541" s="148"/>
      <c r="F541" s="148"/>
      <c r="G541" s="148"/>
      <c r="H541" s="148"/>
      <c r="I541" s="148"/>
      <c r="J541" s="98" t="s">
        <v>2104</v>
      </c>
      <c r="K541" s="100" t="str">
        <f>_xlfn.XLOOKUP(L541,'99_マスタ'!$D$5:$D$18,'99_マスタ'!$C$5:$C$18,"")</f>
        <v>01_財務・業績指標</v>
      </c>
      <c r="L541" s="100" t="s">
        <v>2299</v>
      </c>
      <c r="M541" s="100" t="s">
        <v>3253</v>
      </c>
      <c r="N541" s="126" t="s">
        <v>3252</v>
      </c>
      <c r="O541" s="40" t="s">
        <v>1593</v>
      </c>
      <c r="P541" s="40" t="s">
        <v>762</v>
      </c>
      <c r="Q541" s="40" t="s">
        <v>192</v>
      </c>
      <c r="R541" s="41" t="s">
        <v>139</v>
      </c>
      <c r="S541" s="41" t="s">
        <v>763</v>
      </c>
      <c r="T541" s="41" t="s">
        <v>139</v>
      </c>
      <c r="U541" s="41" t="s">
        <v>139</v>
      </c>
      <c r="V541" s="41" t="s">
        <v>764</v>
      </c>
      <c r="W541" s="74" t="s">
        <v>139</v>
      </c>
      <c r="X541" s="41" t="s">
        <v>2730</v>
      </c>
      <c r="Y541" s="41" t="s">
        <v>139</v>
      </c>
      <c r="Z541" s="41" t="s">
        <v>139</v>
      </c>
      <c r="AA541" s="41" t="s">
        <v>157</v>
      </c>
      <c r="AB541" s="44"/>
      <c r="AC541" s="45"/>
      <c r="AD541" s="45"/>
      <c r="AE541" s="46"/>
      <c r="AF541" s="45"/>
      <c r="AG541" s="45"/>
      <c r="AH541" s="45"/>
      <c r="AI541" s="3" t="s">
        <v>1583</v>
      </c>
    </row>
    <row r="542" spans="1:35" ht="27">
      <c r="A542" s="144">
        <f t="shared" si="8"/>
        <v>540</v>
      </c>
      <c r="B542" s="148"/>
      <c r="C542" s="148"/>
      <c r="D542" s="148"/>
      <c r="E542" s="148"/>
      <c r="F542" s="148"/>
      <c r="G542" s="148"/>
      <c r="H542" s="148"/>
      <c r="I542" s="148"/>
      <c r="J542" s="98" t="s">
        <v>2104</v>
      </c>
      <c r="K542" s="101" t="str">
        <f>_xlfn.XLOOKUP(L542,'99_マスタ'!$D$5:$D$18,'99_マスタ'!$C$5:$C$18,"")</f>
        <v>01_財務・業績指標</v>
      </c>
      <c r="L542" s="113" t="s">
        <v>2299</v>
      </c>
      <c r="M542" s="113" t="s">
        <v>2785</v>
      </c>
      <c r="N542" s="54" t="s">
        <v>1637</v>
      </c>
      <c r="O542" s="70" t="s">
        <v>2786</v>
      </c>
      <c r="P542" s="41"/>
      <c r="Q542" s="41" t="s">
        <v>1637</v>
      </c>
      <c r="R542" s="41" t="s">
        <v>139</v>
      </c>
      <c r="S542" s="41" t="s">
        <v>139</v>
      </c>
      <c r="T542" s="41" t="s">
        <v>139</v>
      </c>
      <c r="U542" s="41" t="s">
        <v>2787</v>
      </c>
      <c r="V542" s="41" t="s">
        <v>139</v>
      </c>
      <c r="W542" s="73" t="s">
        <v>139</v>
      </c>
      <c r="X542" s="54" t="s">
        <v>139</v>
      </c>
      <c r="Y542" s="54" t="s">
        <v>139</v>
      </c>
      <c r="Z542" s="54" t="s">
        <v>2788</v>
      </c>
      <c r="AA542" s="54" t="s">
        <v>139</v>
      </c>
      <c r="AB542" s="55"/>
      <c r="AC542" s="56"/>
      <c r="AD542" s="56"/>
      <c r="AE542" s="57"/>
      <c r="AF542" s="56"/>
      <c r="AG542" s="56"/>
      <c r="AH542" s="56"/>
      <c r="AI542" s="3" t="s">
        <v>1583</v>
      </c>
    </row>
    <row r="543" spans="1:35" ht="67.5">
      <c r="A543" s="144">
        <f t="shared" si="8"/>
        <v>541</v>
      </c>
      <c r="B543" s="148"/>
      <c r="C543" s="148"/>
      <c r="D543" s="148"/>
      <c r="E543" s="148"/>
      <c r="F543" s="148"/>
      <c r="G543" s="148"/>
      <c r="H543" s="148"/>
      <c r="I543" s="148"/>
      <c r="J543" s="103" t="s">
        <v>2104</v>
      </c>
      <c r="K543" s="102" t="str">
        <f>_xlfn.XLOOKUP(L543,'99_マスタ'!$D$5:$D$18,'99_マスタ'!$C$5:$C$18,"")</f>
        <v>02_生販在</v>
      </c>
      <c r="L543" s="102" t="s">
        <v>2302</v>
      </c>
      <c r="M543" s="102" t="s">
        <v>1822</v>
      </c>
      <c r="N543" s="127" t="s">
        <v>139</v>
      </c>
      <c r="O543" s="60" t="s">
        <v>2031</v>
      </c>
      <c r="P543" s="60"/>
      <c r="Q543" s="60" t="s">
        <v>139</v>
      </c>
      <c r="R543" s="48" t="s">
        <v>139</v>
      </c>
      <c r="S543" s="48" t="s">
        <v>139</v>
      </c>
      <c r="T543" s="79" t="s">
        <v>1823</v>
      </c>
      <c r="U543" s="48" t="s">
        <v>139</v>
      </c>
      <c r="V543" s="48" t="s">
        <v>139</v>
      </c>
      <c r="W543" s="75" t="s">
        <v>139</v>
      </c>
      <c r="X543" s="48" t="s">
        <v>139</v>
      </c>
      <c r="Y543" s="79" t="s">
        <v>1125</v>
      </c>
      <c r="Z543" s="48" t="s">
        <v>139</v>
      </c>
      <c r="AA543" s="48" t="s">
        <v>139</v>
      </c>
      <c r="AB543" s="44"/>
      <c r="AC543" s="45"/>
      <c r="AD543" s="45"/>
      <c r="AE543" s="46"/>
      <c r="AF543" s="45"/>
      <c r="AG543" s="45"/>
      <c r="AH543" s="45"/>
      <c r="AI543" s="3" t="s">
        <v>1583</v>
      </c>
    </row>
    <row r="544" spans="1:35" ht="40.5">
      <c r="A544" s="144">
        <f t="shared" si="8"/>
        <v>542</v>
      </c>
      <c r="B544" s="148"/>
      <c r="C544" s="148"/>
      <c r="D544" s="148"/>
      <c r="E544" s="148"/>
      <c r="F544" s="148"/>
      <c r="G544" s="148"/>
      <c r="H544" s="148"/>
      <c r="I544" s="148"/>
      <c r="J544" s="103" t="s">
        <v>2104</v>
      </c>
      <c r="K544" s="102" t="str">
        <f>_xlfn.XLOOKUP(L544,'99_マスタ'!$D$5:$D$18,'99_マスタ'!$C$5:$C$18,"")</f>
        <v>02_生販在</v>
      </c>
      <c r="L544" s="102" t="s">
        <v>2302</v>
      </c>
      <c r="M544" s="102" t="s">
        <v>1824</v>
      </c>
      <c r="N544" s="127" t="s">
        <v>139</v>
      </c>
      <c r="O544" s="60" t="s">
        <v>1825</v>
      </c>
      <c r="P544" s="60"/>
      <c r="Q544" s="60" t="s">
        <v>139</v>
      </c>
      <c r="R544" s="48" t="s">
        <v>139</v>
      </c>
      <c r="S544" s="48" t="s">
        <v>139</v>
      </c>
      <c r="T544" s="79" t="s">
        <v>1723</v>
      </c>
      <c r="U544" s="48" t="s">
        <v>139</v>
      </c>
      <c r="V544" s="48" t="s">
        <v>139</v>
      </c>
      <c r="W544" s="75" t="s">
        <v>139</v>
      </c>
      <c r="X544" s="48" t="s">
        <v>139</v>
      </c>
      <c r="Y544" s="79" t="s">
        <v>1125</v>
      </c>
      <c r="Z544" s="48" t="s">
        <v>139</v>
      </c>
      <c r="AA544" s="48" t="s">
        <v>139</v>
      </c>
      <c r="AB544" s="44"/>
      <c r="AC544" s="45"/>
      <c r="AD544" s="45"/>
      <c r="AE544" s="46"/>
      <c r="AF544" s="45"/>
      <c r="AG544" s="45"/>
      <c r="AH544" s="45"/>
      <c r="AI544" s="3" t="s">
        <v>1583</v>
      </c>
    </row>
    <row r="545" spans="1:35">
      <c r="A545" s="144">
        <f t="shared" si="8"/>
        <v>543</v>
      </c>
      <c r="B545" s="148"/>
      <c r="C545" s="148"/>
      <c r="D545" s="148"/>
      <c r="E545" s="148"/>
      <c r="F545" s="148"/>
      <c r="G545" s="148"/>
      <c r="H545" s="148"/>
      <c r="I545" s="148"/>
      <c r="J545" s="103" t="s">
        <v>2104</v>
      </c>
      <c r="K545" s="102" t="str">
        <f>_xlfn.XLOOKUP(L545,'99_マスタ'!$D$5:$D$18,'99_マスタ'!$C$5:$C$18,"")</f>
        <v>02_生販在</v>
      </c>
      <c r="L545" s="102" t="s">
        <v>2302</v>
      </c>
      <c r="M545" s="102" t="s">
        <v>1826</v>
      </c>
      <c r="N545" s="127" t="s">
        <v>139</v>
      </c>
      <c r="O545" s="60" t="s">
        <v>1827</v>
      </c>
      <c r="P545" s="60"/>
      <c r="Q545" s="60" t="s">
        <v>139</v>
      </c>
      <c r="R545" s="48" t="s">
        <v>139</v>
      </c>
      <c r="S545" s="48" t="s">
        <v>139</v>
      </c>
      <c r="T545" s="79" t="s">
        <v>1723</v>
      </c>
      <c r="U545" s="48" t="s">
        <v>139</v>
      </c>
      <c r="V545" s="48" t="s">
        <v>139</v>
      </c>
      <c r="W545" s="75" t="s">
        <v>139</v>
      </c>
      <c r="X545" s="48" t="s">
        <v>139</v>
      </c>
      <c r="Y545" s="79" t="s">
        <v>1125</v>
      </c>
      <c r="Z545" s="48" t="s">
        <v>139</v>
      </c>
      <c r="AA545" s="48" t="s">
        <v>139</v>
      </c>
      <c r="AB545" s="44"/>
      <c r="AC545" s="45"/>
      <c r="AD545" s="45"/>
      <c r="AE545" s="46"/>
      <c r="AF545" s="45"/>
      <c r="AG545" s="45"/>
      <c r="AH545" s="45"/>
      <c r="AI545" s="3" t="s">
        <v>1583</v>
      </c>
    </row>
    <row r="546" spans="1:35" ht="27">
      <c r="A546" s="144">
        <f t="shared" si="8"/>
        <v>544</v>
      </c>
      <c r="B546" s="148"/>
      <c r="C546" s="148"/>
      <c r="D546" s="148"/>
      <c r="E546" s="148"/>
      <c r="F546" s="148"/>
      <c r="G546" s="148"/>
      <c r="H546" s="148"/>
      <c r="I546" s="148"/>
      <c r="J546" s="100" t="s">
        <v>2104</v>
      </c>
      <c r="K546" s="99" t="str">
        <f>_xlfn.XLOOKUP(L546,'99_マスタ'!$D$5:$D$18,'99_マスタ'!$C$5:$C$18,"")</f>
        <v>02_生販在</v>
      </c>
      <c r="L546" s="99" t="s">
        <v>2302</v>
      </c>
      <c r="M546" s="99" t="s">
        <v>2169</v>
      </c>
      <c r="N546" s="126" t="s">
        <v>1637</v>
      </c>
      <c r="O546" s="40" t="s">
        <v>2170</v>
      </c>
      <c r="P546" s="40"/>
      <c r="Q546" s="40" t="s">
        <v>2171</v>
      </c>
      <c r="R546" s="41" t="s">
        <v>139</v>
      </c>
      <c r="S546" s="41" t="s">
        <v>139</v>
      </c>
      <c r="T546" s="41" t="s">
        <v>139</v>
      </c>
      <c r="U546" s="41" t="s">
        <v>2173</v>
      </c>
      <c r="V546" s="41" t="s">
        <v>139</v>
      </c>
      <c r="W546" s="74" t="s">
        <v>139</v>
      </c>
      <c r="X546" s="41" t="s">
        <v>139</v>
      </c>
      <c r="Y546" s="41" t="s">
        <v>139</v>
      </c>
      <c r="Z546" s="41" t="s">
        <v>2172</v>
      </c>
      <c r="AA546" s="41" t="s">
        <v>139</v>
      </c>
      <c r="AB546" s="44"/>
      <c r="AC546" s="45"/>
      <c r="AD546" s="45"/>
      <c r="AE546" s="46"/>
      <c r="AF546" s="45"/>
      <c r="AG546" s="45"/>
      <c r="AH546" s="45"/>
      <c r="AI546" s="3" t="s">
        <v>1583</v>
      </c>
    </row>
    <row r="547" spans="1:35" ht="27">
      <c r="A547" s="144">
        <f t="shared" si="8"/>
        <v>545</v>
      </c>
      <c r="B547" s="148"/>
      <c r="C547" s="148"/>
      <c r="D547" s="148"/>
      <c r="E547" s="148"/>
      <c r="F547" s="148"/>
      <c r="G547" s="148"/>
      <c r="H547" s="148"/>
      <c r="I547" s="148"/>
      <c r="J547" s="103" t="s">
        <v>2104</v>
      </c>
      <c r="K547" s="102" t="str">
        <f>_xlfn.XLOOKUP(L547,'99_マスタ'!$D$5:$D$18,'99_マスタ'!$C$5:$C$18,"")</f>
        <v>02_生販在</v>
      </c>
      <c r="L547" s="102" t="s">
        <v>2302</v>
      </c>
      <c r="M547" s="102" t="s">
        <v>1828</v>
      </c>
      <c r="N547" s="127" t="s">
        <v>139</v>
      </c>
      <c r="O547" s="60" t="s">
        <v>1829</v>
      </c>
      <c r="P547" s="60"/>
      <c r="Q547" s="60" t="s">
        <v>139</v>
      </c>
      <c r="R547" s="48" t="s">
        <v>139</v>
      </c>
      <c r="S547" s="48" t="s">
        <v>139</v>
      </c>
      <c r="T547" s="79" t="s">
        <v>1830</v>
      </c>
      <c r="U547" s="48" t="s">
        <v>139</v>
      </c>
      <c r="V547" s="48" t="s">
        <v>139</v>
      </c>
      <c r="W547" s="75" t="s">
        <v>139</v>
      </c>
      <c r="X547" s="48" t="s">
        <v>139</v>
      </c>
      <c r="Y547" s="79" t="s">
        <v>1125</v>
      </c>
      <c r="Z547" s="48" t="s">
        <v>139</v>
      </c>
      <c r="AA547" s="48" t="s">
        <v>139</v>
      </c>
      <c r="AB547" s="44"/>
      <c r="AC547" s="45"/>
      <c r="AD547" s="45"/>
      <c r="AE547" s="46"/>
      <c r="AF547" s="45"/>
      <c r="AG547" s="45"/>
      <c r="AH547" s="45"/>
      <c r="AI547" s="3" t="s">
        <v>1583</v>
      </c>
    </row>
    <row r="548" spans="1:35" ht="27">
      <c r="A548" s="144">
        <f t="shared" si="8"/>
        <v>546</v>
      </c>
      <c r="B548" s="148"/>
      <c r="C548" s="148"/>
      <c r="D548" s="148"/>
      <c r="E548" s="148"/>
      <c r="F548" s="148"/>
      <c r="G548" s="148"/>
      <c r="H548" s="148"/>
      <c r="I548" s="148"/>
      <c r="J548" s="103" t="s">
        <v>2104</v>
      </c>
      <c r="K548" s="102" t="str">
        <f>_xlfn.XLOOKUP(L548,'99_マスタ'!$D$5:$D$18,'99_マスタ'!$C$5:$C$18,"")</f>
        <v>02_生販在</v>
      </c>
      <c r="L548" s="102" t="s">
        <v>2302</v>
      </c>
      <c r="M548" s="102" t="s">
        <v>1831</v>
      </c>
      <c r="N548" s="127" t="s">
        <v>1832</v>
      </c>
      <c r="O548" s="60" t="s">
        <v>1833</v>
      </c>
      <c r="P548" s="60"/>
      <c r="Q548" s="60" t="s">
        <v>139</v>
      </c>
      <c r="R548" s="48" t="s">
        <v>139</v>
      </c>
      <c r="S548" s="48" t="s">
        <v>139</v>
      </c>
      <c r="T548" s="79" t="s">
        <v>1834</v>
      </c>
      <c r="U548" s="48" t="s">
        <v>139</v>
      </c>
      <c r="V548" s="48" t="s">
        <v>139</v>
      </c>
      <c r="W548" s="75" t="s">
        <v>139</v>
      </c>
      <c r="X548" s="48" t="s">
        <v>139</v>
      </c>
      <c r="Y548" s="79" t="s">
        <v>1125</v>
      </c>
      <c r="Z548" s="48" t="s">
        <v>139</v>
      </c>
      <c r="AA548" s="48" t="s">
        <v>139</v>
      </c>
      <c r="AB548" s="44"/>
      <c r="AC548" s="45"/>
      <c r="AD548" s="45"/>
      <c r="AE548" s="46"/>
      <c r="AF548" s="45"/>
      <c r="AG548" s="45"/>
      <c r="AH548" s="45"/>
      <c r="AI548" s="3" t="s">
        <v>1583</v>
      </c>
    </row>
    <row r="549" spans="1:35" ht="27">
      <c r="A549" s="144">
        <f t="shared" si="8"/>
        <v>547</v>
      </c>
      <c r="B549" s="148"/>
      <c r="C549" s="148"/>
      <c r="D549" s="148"/>
      <c r="E549" s="148"/>
      <c r="F549" s="148"/>
      <c r="G549" s="148"/>
      <c r="H549" s="148"/>
      <c r="I549" s="148"/>
      <c r="J549" s="103" t="s">
        <v>2104</v>
      </c>
      <c r="K549" s="102" t="str">
        <f>_xlfn.XLOOKUP(L549,'99_マスタ'!$D$5:$D$18,'99_マスタ'!$C$5:$C$18,"")</f>
        <v>02_生販在</v>
      </c>
      <c r="L549" s="102" t="s">
        <v>2302</v>
      </c>
      <c r="M549" s="102" t="s">
        <v>1948</v>
      </c>
      <c r="N549" s="127" t="s">
        <v>3237</v>
      </c>
      <c r="O549" s="60" t="s">
        <v>1741</v>
      </c>
      <c r="P549" s="60"/>
      <c r="Q549" s="60" t="s">
        <v>139</v>
      </c>
      <c r="R549" s="48" t="s">
        <v>139</v>
      </c>
      <c r="S549" s="48" t="s">
        <v>139</v>
      </c>
      <c r="T549" s="79" t="s">
        <v>1742</v>
      </c>
      <c r="U549" s="48" t="s">
        <v>139</v>
      </c>
      <c r="V549" s="48" t="s">
        <v>139</v>
      </c>
      <c r="W549" s="75" t="s">
        <v>139</v>
      </c>
      <c r="X549" s="48" t="s">
        <v>139</v>
      </c>
      <c r="Y549" s="79" t="s">
        <v>1125</v>
      </c>
      <c r="Z549" s="48" t="s">
        <v>139</v>
      </c>
      <c r="AA549" s="48" t="s">
        <v>139</v>
      </c>
      <c r="AB549" s="44"/>
      <c r="AC549" s="45"/>
      <c r="AD549" s="45"/>
      <c r="AE549" s="46"/>
      <c r="AF549" s="45"/>
      <c r="AG549" s="45"/>
      <c r="AH549" s="45"/>
      <c r="AI549" s="3" t="s">
        <v>1583</v>
      </c>
    </row>
    <row r="550" spans="1:35" ht="54">
      <c r="A550" s="144">
        <f t="shared" si="8"/>
        <v>548</v>
      </c>
      <c r="B550" s="148"/>
      <c r="C550" s="148"/>
      <c r="D550" s="148"/>
      <c r="E550" s="148"/>
      <c r="F550" s="148"/>
      <c r="G550" s="148"/>
      <c r="H550" s="148"/>
      <c r="I550" s="148"/>
      <c r="J550" s="98" t="s">
        <v>2104</v>
      </c>
      <c r="K550" s="99" t="str">
        <f>_xlfn.XLOOKUP(L550,'99_マスタ'!$D$5:$D$18,'99_マスタ'!$C$5:$C$18,"")</f>
        <v>02_生販在</v>
      </c>
      <c r="L550" s="99" t="s">
        <v>2302</v>
      </c>
      <c r="M550" s="99" t="s">
        <v>678</v>
      </c>
      <c r="N550" s="126" t="s">
        <v>679</v>
      </c>
      <c r="O550" s="40" t="s">
        <v>680</v>
      </c>
      <c r="P550" s="40"/>
      <c r="Q550" s="40" t="s">
        <v>139</v>
      </c>
      <c r="R550" s="41" t="s">
        <v>139</v>
      </c>
      <c r="S550" s="41" t="s">
        <v>139</v>
      </c>
      <c r="T550" s="41" t="s">
        <v>139</v>
      </c>
      <c r="U550" s="41" t="s">
        <v>681</v>
      </c>
      <c r="V550" s="41" t="s">
        <v>139</v>
      </c>
      <c r="W550" s="74" t="s">
        <v>139</v>
      </c>
      <c r="X550" s="41" t="s">
        <v>139</v>
      </c>
      <c r="Y550" s="41" t="s">
        <v>139</v>
      </c>
      <c r="Z550" s="41" t="s">
        <v>682</v>
      </c>
      <c r="AA550" s="41" t="s">
        <v>139</v>
      </c>
      <c r="AB550" s="44"/>
      <c r="AC550" s="45"/>
      <c r="AD550" s="45"/>
      <c r="AE550" s="46"/>
      <c r="AF550" s="45"/>
      <c r="AG550" s="45"/>
      <c r="AH550" s="45"/>
      <c r="AI550" s="3" t="s">
        <v>1583</v>
      </c>
    </row>
    <row r="551" spans="1:35" ht="40.5">
      <c r="A551" s="144">
        <f t="shared" si="8"/>
        <v>549</v>
      </c>
      <c r="B551" s="148"/>
      <c r="C551" s="148"/>
      <c r="D551" s="148"/>
      <c r="E551" s="148"/>
      <c r="F551" s="148"/>
      <c r="G551" s="148"/>
      <c r="H551" s="148"/>
      <c r="I551" s="148"/>
      <c r="J551" s="103" t="s">
        <v>2104</v>
      </c>
      <c r="K551" s="102" t="str">
        <f>_xlfn.XLOOKUP(L551,'99_マスタ'!$D$5:$D$18,'99_マスタ'!$C$5:$C$18,"")</f>
        <v>02_生販在</v>
      </c>
      <c r="L551" s="102" t="s">
        <v>2302</v>
      </c>
      <c r="M551" s="102" t="s">
        <v>1945</v>
      </c>
      <c r="N551" s="127" t="s">
        <v>3255</v>
      </c>
      <c r="O551" s="60" t="s">
        <v>1739</v>
      </c>
      <c r="P551" s="60"/>
      <c r="Q551" s="60" t="s">
        <v>139</v>
      </c>
      <c r="R551" s="48" t="s">
        <v>139</v>
      </c>
      <c r="S551" s="48" t="s">
        <v>139</v>
      </c>
      <c r="T551" s="79" t="s">
        <v>1740</v>
      </c>
      <c r="U551" s="48" t="s">
        <v>139</v>
      </c>
      <c r="V551" s="48" t="s">
        <v>139</v>
      </c>
      <c r="W551" s="75" t="s">
        <v>139</v>
      </c>
      <c r="X551" s="48" t="s">
        <v>139</v>
      </c>
      <c r="Y551" s="79" t="s">
        <v>1125</v>
      </c>
      <c r="Z551" s="48" t="s">
        <v>139</v>
      </c>
      <c r="AA551" s="48" t="s">
        <v>139</v>
      </c>
      <c r="AB551" s="44"/>
      <c r="AC551" s="45"/>
      <c r="AD551" s="45"/>
      <c r="AE551" s="46"/>
      <c r="AF551" s="45"/>
      <c r="AG551" s="45"/>
      <c r="AH551" s="45"/>
      <c r="AI551" s="3" t="s">
        <v>1583</v>
      </c>
    </row>
    <row r="552" spans="1:35" ht="27">
      <c r="A552" s="144">
        <f t="shared" si="8"/>
        <v>550</v>
      </c>
      <c r="B552" s="148"/>
      <c r="C552" s="148"/>
      <c r="D552" s="148"/>
      <c r="E552" s="148"/>
      <c r="F552" s="148"/>
      <c r="G552" s="148"/>
      <c r="H552" s="148"/>
      <c r="I552" s="148"/>
      <c r="J552" s="98" t="s">
        <v>2104</v>
      </c>
      <c r="K552" s="112" t="str">
        <f>_xlfn.XLOOKUP(L552,'99_マスタ'!$D$5:$D$18,'99_マスタ'!$C$5:$C$18,"")</f>
        <v>02_生販在</v>
      </c>
      <c r="L552" s="112" t="s">
        <v>2302</v>
      </c>
      <c r="M552" s="112" t="s">
        <v>3256</v>
      </c>
      <c r="N552" s="126" t="s">
        <v>3254</v>
      </c>
      <c r="O552" s="40" t="s">
        <v>944</v>
      </c>
      <c r="P552" s="40" t="s">
        <v>945</v>
      </c>
      <c r="Q552" s="40" t="s">
        <v>2078</v>
      </c>
      <c r="R552" s="41" t="s">
        <v>139</v>
      </c>
      <c r="S552" s="41" t="s">
        <v>139</v>
      </c>
      <c r="T552" s="41" t="s">
        <v>139</v>
      </c>
      <c r="U552" s="41" t="s">
        <v>946</v>
      </c>
      <c r="V552" s="41" t="s">
        <v>139</v>
      </c>
      <c r="W552" s="74" t="s">
        <v>139</v>
      </c>
      <c r="X552" s="41" t="s">
        <v>139</v>
      </c>
      <c r="Y552" s="41" t="s">
        <v>139</v>
      </c>
      <c r="Z552" s="41" t="s">
        <v>943</v>
      </c>
      <c r="AA552" s="41" t="s">
        <v>139</v>
      </c>
      <c r="AB552" s="44"/>
      <c r="AC552" s="45"/>
      <c r="AD552" s="45"/>
      <c r="AE552" s="46"/>
      <c r="AF552" s="45"/>
      <c r="AG552" s="45"/>
      <c r="AH552" s="45"/>
      <c r="AI552" s="3" t="s">
        <v>1583</v>
      </c>
    </row>
    <row r="553" spans="1:35">
      <c r="A553" s="144">
        <f t="shared" si="8"/>
        <v>551</v>
      </c>
      <c r="B553" s="148"/>
      <c r="C553" s="148"/>
      <c r="D553" s="148"/>
      <c r="E553" s="148"/>
      <c r="F553" s="148"/>
      <c r="G553" s="148"/>
      <c r="H553" s="148"/>
      <c r="I553" s="148"/>
      <c r="J553" s="103" t="s">
        <v>2104</v>
      </c>
      <c r="K553" s="102" t="str">
        <f>_xlfn.XLOOKUP(L553,'99_マスタ'!$D$5:$D$18,'99_マスタ'!$C$5:$C$18,"")</f>
        <v>02_生販在</v>
      </c>
      <c r="L553" s="102" t="s">
        <v>2302</v>
      </c>
      <c r="M553" s="102" t="s">
        <v>1835</v>
      </c>
      <c r="N553" s="127" t="s">
        <v>1813</v>
      </c>
      <c r="O553" s="60" t="s">
        <v>1836</v>
      </c>
      <c r="P553" s="60"/>
      <c r="Q553" s="60" t="s">
        <v>139</v>
      </c>
      <c r="R553" s="48" t="s">
        <v>139</v>
      </c>
      <c r="S553" s="48" t="s">
        <v>139</v>
      </c>
      <c r="T553" s="79" t="s">
        <v>1837</v>
      </c>
      <c r="U553" s="48" t="s">
        <v>139</v>
      </c>
      <c r="V553" s="48" t="s">
        <v>139</v>
      </c>
      <c r="W553" s="75" t="s">
        <v>139</v>
      </c>
      <c r="X553" s="48" t="s">
        <v>139</v>
      </c>
      <c r="Y553" s="79" t="s">
        <v>1125</v>
      </c>
      <c r="Z553" s="48" t="s">
        <v>139</v>
      </c>
      <c r="AA553" s="48" t="s">
        <v>139</v>
      </c>
      <c r="AB553" s="44"/>
      <c r="AC553" s="45"/>
      <c r="AD553" s="45"/>
      <c r="AE553" s="46"/>
      <c r="AF553" s="45"/>
      <c r="AG553" s="45"/>
      <c r="AH553" s="45"/>
      <c r="AI553" s="3" t="s">
        <v>1583</v>
      </c>
    </row>
    <row r="554" spans="1:35" ht="27">
      <c r="A554" s="144">
        <f t="shared" si="8"/>
        <v>552</v>
      </c>
      <c r="B554" s="148"/>
      <c r="C554" s="148"/>
      <c r="D554" s="148"/>
      <c r="E554" s="148"/>
      <c r="F554" s="148"/>
      <c r="G554" s="148"/>
      <c r="H554" s="148"/>
      <c r="I554" s="148"/>
      <c r="J554" s="103" t="s">
        <v>2104</v>
      </c>
      <c r="K554" s="102" t="str">
        <f>_xlfn.XLOOKUP(L554,'99_マスタ'!$D$5:$D$18,'99_マスタ'!$C$5:$C$18,"")</f>
        <v>02_生販在</v>
      </c>
      <c r="L554" s="102" t="s">
        <v>2302</v>
      </c>
      <c r="M554" s="102" t="s">
        <v>1129</v>
      </c>
      <c r="N554" s="126" t="s">
        <v>139</v>
      </c>
      <c r="O554" s="40" t="s">
        <v>1614</v>
      </c>
      <c r="P554" s="40"/>
      <c r="Q554" s="40" t="s">
        <v>139</v>
      </c>
      <c r="R554" s="41" t="s">
        <v>139</v>
      </c>
      <c r="S554" s="41" t="s">
        <v>139</v>
      </c>
      <c r="T554" s="41" t="s">
        <v>1130</v>
      </c>
      <c r="U554" s="41" t="s">
        <v>139</v>
      </c>
      <c r="V554" s="41" t="s">
        <v>139</v>
      </c>
      <c r="W554" s="74" t="s">
        <v>139</v>
      </c>
      <c r="X554" s="41" t="s">
        <v>139</v>
      </c>
      <c r="Y554" s="41" t="s">
        <v>1125</v>
      </c>
      <c r="Z554" s="41" t="s">
        <v>139</v>
      </c>
      <c r="AA554" s="41" t="s">
        <v>139</v>
      </c>
      <c r="AB554" s="44"/>
      <c r="AC554" s="45"/>
      <c r="AD554" s="45"/>
      <c r="AE554" s="46"/>
      <c r="AF554" s="45"/>
      <c r="AG554" s="45"/>
      <c r="AH554" s="45"/>
      <c r="AI554" s="3" t="s">
        <v>1583</v>
      </c>
    </row>
    <row r="555" spans="1:35" ht="27">
      <c r="A555" s="144">
        <f t="shared" si="8"/>
        <v>553</v>
      </c>
      <c r="B555" s="148"/>
      <c r="C555" s="148"/>
      <c r="D555" s="148"/>
      <c r="E555" s="148"/>
      <c r="F555" s="148"/>
      <c r="G555" s="148"/>
      <c r="H555" s="148"/>
      <c r="I555" s="148"/>
      <c r="J555" s="103" t="s">
        <v>2104</v>
      </c>
      <c r="K555" s="102" t="str">
        <f>_xlfn.XLOOKUP(L555,'99_マスタ'!$D$5:$D$18,'99_マスタ'!$C$5:$C$18,"")</f>
        <v>02_生販在</v>
      </c>
      <c r="L555" s="102" t="s">
        <v>2302</v>
      </c>
      <c r="M555" s="102" t="s">
        <v>1838</v>
      </c>
      <c r="N555" s="127" t="s">
        <v>1839</v>
      </c>
      <c r="O555" s="60" t="s">
        <v>1840</v>
      </c>
      <c r="P555" s="60"/>
      <c r="Q555" s="60" t="s">
        <v>139</v>
      </c>
      <c r="R555" s="48" t="s">
        <v>139</v>
      </c>
      <c r="S555" s="48" t="s">
        <v>139</v>
      </c>
      <c r="T555" s="79" t="s">
        <v>1841</v>
      </c>
      <c r="U555" s="48" t="s">
        <v>139</v>
      </c>
      <c r="V555" s="48" t="s">
        <v>139</v>
      </c>
      <c r="W555" s="75" t="s">
        <v>139</v>
      </c>
      <c r="X555" s="48" t="s">
        <v>139</v>
      </c>
      <c r="Y555" s="79" t="s">
        <v>1125</v>
      </c>
      <c r="Z555" s="48" t="s">
        <v>139</v>
      </c>
      <c r="AA555" s="48" t="s">
        <v>139</v>
      </c>
      <c r="AB555" s="44"/>
      <c r="AC555" s="45"/>
      <c r="AD555" s="45"/>
      <c r="AE555" s="46"/>
      <c r="AF555" s="45"/>
      <c r="AG555" s="45"/>
      <c r="AH555" s="45"/>
      <c r="AI555" s="3" t="s">
        <v>1583</v>
      </c>
    </row>
    <row r="556" spans="1:35" ht="40.5">
      <c r="A556" s="144">
        <f t="shared" si="8"/>
        <v>554</v>
      </c>
      <c r="B556" s="148"/>
      <c r="C556" s="148"/>
      <c r="D556" s="148"/>
      <c r="E556" s="148"/>
      <c r="F556" s="148"/>
      <c r="G556" s="148"/>
      <c r="H556" s="148"/>
      <c r="I556" s="148"/>
      <c r="J556" s="103" t="s">
        <v>2104</v>
      </c>
      <c r="K556" s="102" t="str">
        <f>_xlfn.XLOOKUP(L556,'99_マスタ'!$D$5:$D$18,'99_マスタ'!$C$5:$C$18,"")</f>
        <v>02_生販在</v>
      </c>
      <c r="L556" s="102" t="s">
        <v>2302</v>
      </c>
      <c r="M556" s="102" t="s">
        <v>1730</v>
      </c>
      <c r="N556" s="127" t="s">
        <v>139</v>
      </c>
      <c r="O556" s="60" t="s">
        <v>1731</v>
      </c>
      <c r="P556" s="60"/>
      <c r="Q556" s="60" t="s">
        <v>139</v>
      </c>
      <c r="R556" s="48" t="s">
        <v>139</v>
      </c>
      <c r="S556" s="48" t="s">
        <v>139</v>
      </c>
      <c r="T556" s="79" t="s">
        <v>1732</v>
      </c>
      <c r="U556" s="48" t="s">
        <v>139</v>
      </c>
      <c r="V556" s="48" t="s">
        <v>139</v>
      </c>
      <c r="W556" s="75" t="s">
        <v>139</v>
      </c>
      <c r="X556" s="48" t="s">
        <v>139</v>
      </c>
      <c r="Y556" s="79" t="s">
        <v>1125</v>
      </c>
      <c r="Z556" s="48" t="s">
        <v>139</v>
      </c>
      <c r="AA556" s="48" t="s">
        <v>139</v>
      </c>
      <c r="AB556" s="44"/>
      <c r="AC556" s="45"/>
      <c r="AD556" s="45"/>
      <c r="AE556" s="46"/>
      <c r="AF556" s="45"/>
      <c r="AG556" s="45"/>
      <c r="AH556" s="45"/>
      <c r="AI556" s="3" t="s">
        <v>1583</v>
      </c>
    </row>
    <row r="557" spans="1:35" ht="27">
      <c r="A557" s="144">
        <f t="shared" si="8"/>
        <v>555</v>
      </c>
      <c r="B557" s="148"/>
      <c r="C557" s="148"/>
      <c r="D557" s="148"/>
      <c r="E557" s="148"/>
      <c r="F557" s="148"/>
      <c r="G557" s="148"/>
      <c r="H557" s="148"/>
      <c r="I557" s="148"/>
      <c r="J557" s="98" t="s">
        <v>2104</v>
      </c>
      <c r="K557" s="99" t="str">
        <f>_xlfn.XLOOKUP(L557,'99_マスタ'!$D$5:$D$18,'99_マスタ'!$C$5:$C$18,"")</f>
        <v>02_生販在</v>
      </c>
      <c r="L557" s="99" t="s">
        <v>2302</v>
      </c>
      <c r="M557" s="99" t="s">
        <v>3263</v>
      </c>
      <c r="N557" s="126" t="s">
        <v>2140</v>
      </c>
      <c r="O557" s="40" t="s">
        <v>2141</v>
      </c>
      <c r="P557" s="40"/>
      <c r="Q557" s="40"/>
      <c r="R557" s="41" t="s">
        <v>139</v>
      </c>
      <c r="S557" s="41" t="s">
        <v>139</v>
      </c>
      <c r="T557" s="41" t="s">
        <v>139</v>
      </c>
      <c r="U557" s="41" t="s">
        <v>2173</v>
      </c>
      <c r="V557" s="41" t="s">
        <v>139</v>
      </c>
      <c r="W557" s="74" t="s">
        <v>139</v>
      </c>
      <c r="X557" s="41" t="s">
        <v>139</v>
      </c>
      <c r="Y557" s="41" t="s">
        <v>139</v>
      </c>
      <c r="Z557" s="41" t="s">
        <v>2172</v>
      </c>
      <c r="AA557" s="41" t="s">
        <v>139</v>
      </c>
      <c r="AB557" s="44"/>
      <c r="AC557" s="45"/>
      <c r="AD557" s="45"/>
      <c r="AE557" s="46"/>
      <c r="AF557" s="45"/>
      <c r="AG557" s="45"/>
      <c r="AH557" s="45"/>
      <c r="AI557" s="3" t="s">
        <v>1583</v>
      </c>
    </row>
    <row r="558" spans="1:35" ht="27">
      <c r="A558" s="144">
        <f t="shared" si="8"/>
        <v>556</v>
      </c>
      <c r="B558" s="148"/>
      <c r="C558" s="148"/>
      <c r="D558" s="148"/>
      <c r="E558" s="148"/>
      <c r="F558" s="148"/>
      <c r="G558" s="148"/>
      <c r="H558" s="148"/>
      <c r="I558" s="148"/>
      <c r="J558" s="103" t="s">
        <v>2104</v>
      </c>
      <c r="K558" s="102" t="str">
        <f>_xlfn.XLOOKUP(L558,'99_マスタ'!$D$5:$D$18,'99_マスタ'!$C$5:$C$18,"")</f>
        <v>02_生販在</v>
      </c>
      <c r="L558" s="102" t="s">
        <v>2302</v>
      </c>
      <c r="M558" s="102" t="s">
        <v>1961</v>
      </c>
      <c r="N558" s="127" t="s">
        <v>1799</v>
      </c>
      <c r="O558" s="60" t="s">
        <v>1800</v>
      </c>
      <c r="P558" s="60"/>
      <c r="Q558" s="60" t="s">
        <v>139</v>
      </c>
      <c r="R558" s="48" t="s">
        <v>139</v>
      </c>
      <c r="S558" s="48" t="s">
        <v>139</v>
      </c>
      <c r="T558" s="79" t="s">
        <v>1801</v>
      </c>
      <c r="U558" s="48" t="s">
        <v>139</v>
      </c>
      <c r="V558" s="48" t="s">
        <v>139</v>
      </c>
      <c r="W558" s="75" t="s">
        <v>139</v>
      </c>
      <c r="X558" s="48" t="s">
        <v>139</v>
      </c>
      <c r="Y558" s="79" t="s">
        <v>1125</v>
      </c>
      <c r="Z558" s="48" t="s">
        <v>139</v>
      </c>
      <c r="AA558" s="48" t="s">
        <v>139</v>
      </c>
      <c r="AB558" s="44"/>
      <c r="AC558" s="45"/>
      <c r="AD558" s="45"/>
      <c r="AE558" s="46"/>
      <c r="AF558" s="45"/>
      <c r="AG558" s="45"/>
      <c r="AH558" s="45"/>
      <c r="AI558" s="3" t="s">
        <v>1583</v>
      </c>
    </row>
    <row r="559" spans="1:35" ht="27">
      <c r="A559" s="144">
        <f t="shared" si="8"/>
        <v>557</v>
      </c>
      <c r="B559" s="148"/>
      <c r="C559" s="148"/>
      <c r="D559" s="148"/>
      <c r="E559" s="148"/>
      <c r="F559" s="148"/>
      <c r="G559" s="148"/>
      <c r="H559" s="148"/>
      <c r="I559" s="148"/>
      <c r="J559" s="103" t="s">
        <v>2104</v>
      </c>
      <c r="K559" s="102" t="str">
        <f>_xlfn.XLOOKUP(L559,'99_マスタ'!$D$5:$D$18,'99_マスタ'!$C$5:$C$18,"")</f>
        <v>02_生販在</v>
      </c>
      <c r="L559" s="102" t="s">
        <v>2302</v>
      </c>
      <c r="M559" s="102" t="s">
        <v>1784</v>
      </c>
      <c r="N559" s="127" t="s">
        <v>139</v>
      </c>
      <c r="O559" s="60" t="s">
        <v>1785</v>
      </c>
      <c r="P559" s="60"/>
      <c r="Q559" s="60" t="s">
        <v>139</v>
      </c>
      <c r="R559" s="48" t="s">
        <v>139</v>
      </c>
      <c r="S559" s="48" t="s">
        <v>139</v>
      </c>
      <c r="T559" s="79" t="s">
        <v>1786</v>
      </c>
      <c r="U559" s="48" t="s">
        <v>139</v>
      </c>
      <c r="V559" s="48" t="s">
        <v>139</v>
      </c>
      <c r="W559" s="75" t="s">
        <v>139</v>
      </c>
      <c r="X559" s="48" t="s">
        <v>139</v>
      </c>
      <c r="Y559" s="79" t="s">
        <v>1125</v>
      </c>
      <c r="Z559" s="48" t="s">
        <v>139</v>
      </c>
      <c r="AA559" s="48" t="s">
        <v>139</v>
      </c>
      <c r="AB559" s="44"/>
      <c r="AC559" s="45"/>
      <c r="AD559" s="45"/>
      <c r="AE559" s="46"/>
      <c r="AF559" s="45"/>
      <c r="AG559" s="45"/>
      <c r="AH559" s="45"/>
      <c r="AI559" s="3" t="s">
        <v>1583</v>
      </c>
    </row>
    <row r="560" spans="1:35" ht="27">
      <c r="A560" s="144">
        <f t="shared" si="8"/>
        <v>558</v>
      </c>
      <c r="B560" s="148"/>
      <c r="C560" s="148"/>
      <c r="D560" s="148"/>
      <c r="E560" s="148"/>
      <c r="F560" s="148"/>
      <c r="G560" s="148"/>
      <c r="H560" s="148"/>
      <c r="I560" s="148"/>
      <c r="J560" s="98" t="s">
        <v>2104</v>
      </c>
      <c r="K560" s="100" t="str">
        <f>_xlfn.XLOOKUP(L560,'99_マスタ'!$D$5:$D$18,'99_マスタ'!$C$5:$C$18,"")</f>
        <v>02_生販在</v>
      </c>
      <c r="L560" s="100" t="s">
        <v>2302</v>
      </c>
      <c r="M560" s="100" t="s">
        <v>1067</v>
      </c>
      <c r="N560" s="126" t="s">
        <v>139</v>
      </c>
      <c r="O560" s="40" t="s">
        <v>1068</v>
      </c>
      <c r="P560" s="40"/>
      <c r="Q560" s="40" t="s">
        <v>139</v>
      </c>
      <c r="R560" s="41" t="s">
        <v>139</v>
      </c>
      <c r="S560" s="41" t="s">
        <v>139</v>
      </c>
      <c r="T560" s="41" t="s">
        <v>139</v>
      </c>
      <c r="U560" s="41" t="s">
        <v>139</v>
      </c>
      <c r="V560" s="41" t="s">
        <v>1069</v>
      </c>
      <c r="W560" s="74" t="s">
        <v>139</v>
      </c>
      <c r="X560" s="41" t="s">
        <v>139</v>
      </c>
      <c r="Y560" s="41" t="s">
        <v>139</v>
      </c>
      <c r="Z560" s="41" t="s">
        <v>139</v>
      </c>
      <c r="AA560" s="41" t="s">
        <v>614</v>
      </c>
      <c r="AB560" s="44"/>
      <c r="AC560" s="45"/>
      <c r="AD560" s="45"/>
      <c r="AE560" s="46"/>
      <c r="AF560" s="45"/>
      <c r="AG560" s="45"/>
      <c r="AH560" s="45"/>
      <c r="AI560" s="3" t="s">
        <v>1583</v>
      </c>
    </row>
    <row r="561" spans="1:35" ht="27">
      <c r="A561" s="144">
        <f t="shared" si="8"/>
        <v>559</v>
      </c>
      <c r="B561" s="148"/>
      <c r="C561" s="148"/>
      <c r="D561" s="148"/>
      <c r="E561" s="148"/>
      <c r="F561" s="148"/>
      <c r="G561" s="148"/>
      <c r="H561" s="148"/>
      <c r="I561" s="148"/>
      <c r="J561" s="98" t="s">
        <v>2104</v>
      </c>
      <c r="K561" s="102" t="str">
        <f>_xlfn.XLOOKUP(L561,'99_マスタ'!$D$5:$D$18,'99_マスタ'!$C$5:$C$18,"")</f>
        <v>02_生販在</v>
      </c>
      <c r="L561" s="102" t="s">
        <v>2302</v>
      </c>
      <c r="M561" s="102" t="s">
        <v>1941</v>
      </c>
      <c r="N561" s="126" t="s">
        <v>1637</v>
      </c>
      <c r="O561" s="40" t="s">
        <v>1943</v>
      </c>
      <c r="P561" s="40"/>
      <c r="Q561" s="41" t="s">
        <v>1637</v>
      </c>
      <c r="R561" s="41" t="s">
        <v>139</v>
      </c>
      <c r="S561" s="41" t="s">
        <v>139</v>
      </c>
      <c r="T561" s="41" t="s">
        <v>1123</v>
      </c>
      <c r="U561" s="41" t="s">
        <v>139</v>
      </c>
      <c r="V561" s="41" t="s">
        <v>139</v>
      </c>
      <c r="W561" s="74" t="s">
        <v>139</v>
      </c>
      <c r="X561" s="41" t="s">
        <v>139</v>
      </c>
      <c r="Y561" s="41" t="s">
        <v>1076</v>
      </c>
      <c r="Z561" s="41" t="s">
        <v>139</v>
      </c>
      <c r="AA561" s="41" t="s">
        <v>139</v>
      </c>
      <c r="AB561" s="44"/>
      <c r="AC561" s="45"/>
      <c r="AD561" s="45"/>
      <c r="AE561" s="46"/>
      <c r="AF561" s="45"/>
      <c r="AG561" s="45"/>
      <c r="AH561" s="45"/>
      <c r="AI561" s="3" t="s">
        <v>1583</v>
      </c>
    </row>
    <row r="562" spans="1:35" ht="27">
      <c r="A562" s="144">
        <f t="shared" si="8"/>
        <v>560</v>
      </c>
      <c r="B562" s="148"/>
      <c r="C562" s="148"/>
      <c r="D562" s="148"/>
      <c r="E562" s="148"/>
      <c r="F562" s="148"/>
      <c r="G562" s="148"/>
      <c r="H562" s="148"/>
      <c r="I562" s="148"/>
      <c r="J562" s="98" t="s">
        <v>2104</v>
      </c>
      <c r="K562" s="51" t="str">
        <f>_xlfn.XLOOKUP(L562,'99_マスタ'!$D$5:$D$18,'99_マスタ'!$C$5:$C$18,"")</f>
        <v>02_生販在</v>
      </c>
      <c r="L562" s="102" t="s">
        <v>2302</v>
      </c>
      <c r="M562" s="102" t="s">
        <v>1942</v>
      </c>
      <c r="N562" s="126" t="s">
        <v>1637</v>
      </c>
      <c r="O562" s="40" t="s">
        <v>2105</v>
      </c>
      <c r="P562" s="40"/>
      <c r="Q562" s="41" t="s">
        <v>1637</v>
      </c>
      <c r="R562" s="41" t="s">
        <v>139</v>
      </c>
      <c r="S562" s="41" t="s">
        <v>139</v>
      </c>
      <c r="T562" s="41" t="s">
        <v>1123</v>
      </c>
      <c r="U562" s="41" t="s">
        <v>139</v>
      </c>
      <c r="V562" s="41" t="s">
        <v>139</v>
      </c>
      <c r="W562" s="74" t="s">
        <v>139</v>
      </c>
      <c r="X562" s="41" t="s">
        <v>139</v>
      </c>
      <c r="Y562" s="41" t="s">
        <v>1076</v>
      </c>
      <c r="Z562" s="41" t="s">
        <v>139</v>
      </c>
      <c r="AA562" s="41" t="s">
        <v>139</v>
      </c>
      <c r="AB562" s="44"/>
      <c r="AC562" s="45"/>
      <c r="AD562" s="45"/>
      <c r="AE562" s="46"/>
      <c r="AF562" s="45"/>
      <c r="AG562" s="45"/>
      <c r="AH562" s="45"/>
      <c r="AI562" s="3" t="s">
        <v>1583</v>
      </c>
    </row>
    <row r="563" spans="1:35" ht="27">
      <c r="A563" s="144">
        <f t="shared" si="8"/>
        <v>561</v>
      </c>
      <c r="B563" s="148"/>
      <c r="C563" s="148"/>
      <c r="D563" s="148"/>
      <c r="E563" s="148"/>
      <c r="F563" s="148"/>
      <c r="G563" s="148"/>
      <c r="H563" s="148"/>
      <c r="I563" s="148"/>
      <c r="J563" s="98" t="s">
        <v>2104</v>
      </c>
      <c r="K563" s="102" t="str">
        <f>_xlfn.XLOOKUP(L563,'99_マスタ'!$D$5:$D$18,'99_マスタ'!$C$5:$C$18,"")</f>
        <v>02_生販在</v>
      </c>
      <c r="L563" s="102" t="s">
        <v>2302</v>
      </c>
      <c r="M563" s="102" t="s">
        <v>1935</v>
      </c>
      <c r="N563" s="126" t="s">
        <v>1637</v>
      </c>
      <c r="O563" s="40" t="s">
        <v>1937</v>
      </c>
      <c r="P563" s="40"/>
      <c r="Q563" s="40" t="s">
        <v>139</v>
      </c>
      <c r="R563" s="41" t="s">
        <v>139</v>
      </c>
      <c r="S563" s="41" t="s">
        <v>139</v>
      </c>
      <c r="T563" s="41" t="s">
        <v>1124</v>
      </c>
      <c r="U563" s="41" t="s">
        <v>139</v>
      </c>
      <c r="V563" s="41" t="s">
        <v>139</v>
      </c>
      <c r="W563" s="74" t="s">
        <v>139</v>
      </c>
      <c r="X563" s="41" t="s">
        <v>139</v>
      </c>
      <c r="Y563" s="41" t="s">
        <v>1125</v>
      </c>
      <c r="Z563" s="41" t="s">
        <v>139</v>
      </c>
      <c r="AA563" s="41" t="s">
        <v>139</v>
      </c>
      <c r="AB563" s="44"/>
      <c r="AC563" s="45"/>
      <c r="AD563" s="45"/>
      <c r="AE563" s="46"/>
      <c r="AF563" s="45"/>
      <c r="AG563" s="45"/>
      <c r="AH563" s="45"/>
      <c r="AI563" s="3" t="s">
        <v>1583</v>
      </c>
    </row>
    <row r="564" spans="1:35">
      <c r="A564" s="144">
        <f t="shared" si="8"/>
        <v>562</v>
      </c>
      <c r="B564" s="148"/>
      <c r="C564" s="148"/>
      <c r="D564" s="148"/>
      <c r="E564" s="148"/>
      <c r="F564" s="148"/>
      <c r="G564" s="148"/>
      <c r="H564" s="148"/>
      <c r="I564" s="148"/>
      <c r="J564" s="98" t="s">
        <v>2104</v>
      </c>
      <c r="K564" s="99" t="str">
        <f>_xlfn.XLOOKUP(L564,'99_マスタ'!$D$5:$D$18,'99_マスタ'!$C$5:$C$18,"")</f>
        <v>02_生販在</v>
      </c>
      <c r="L564" s="99" t="s">
        <v>2302</v>
      </c>
      <c r="M564" s="99" t="s">
        <v>2120</v>
      </c>
      <c r="N564" s="126" t="s">
        <v>1637</v>
      </c>
      <c r="O564" s="47" t="s">
        <v>2121</v>
      </c>
      <c r="P564" s="62"/>
      <c r="Q564" s="41" t="s">
        <v>1637</v>
      </c>
      <c r="R564" s="41" t="s">
        <v>139</v>
      </c>
      <c r="S564" s="41" t="s">
        <v>139</v>
      </c>
      <c r="T564" s="41" t="s">
        <v>139</v>
      </c>
      <c r="U564" s="41" t="s">
        <v>2123</v>
      </c>
      <c r="V564" s="41" t="s">
        <v>139</v>
      </c>
      <c r="W564" s="74" t="s">
        <v>139</v>
      </c>
      <c r="X564" s="41" t="s">
        <v>139</v>
      </c>
      <c r="Y564" s="41" t="s">
        <v>139</v>
      </c>
      <c r="Z564" s="41" t="s">
        <v>711</v>
      </c>
      <c r="AA564" s="41" t="s">
        <v>139</v>
      </c>
      <c r="AB564" s="44"/>
      <c r="AC564" s="45"/>
      <c r="AD564" s="45"/>
      <c r="AE564" s="46"/>
      <c r="AF564" s="45"/>
      <c r="AG564" s="45"/>
      <c r="AH564" s="45"/>
      <c r="AI564" s="3" t="s">
        <v>1583</v>
      </c>
    </row>
    <row r="565" spans="1:35" ht="27">
      <c r="A565" s="144">
        <f t="shared" si="8"/>
        <v>563</v>
      </c>
      <c r="B565" s="148"/>
      <c r="C565" s="148"/>
      <c r="D565" s="148"/>
      <c r="E565" s="148"/>
      <c r="F565" s="148"/>
      <c r="G565" s="148"/>
      <c r="H565" s="148"/>
      <c r="I565" s="148"/>
      <c r="J565" s="103" t="s">
        <v>2104</v>
      </c>
      <c r="K565" s="102" t="str">
        <f>_xlfn.XLOOKUP(L565,'99_マスタ'!$D$5:$D$18,'99_マスタ'!$C$5:$C$18,"")</f>
        <v>02_生販在</v>
      </c>
      <c r="L565" s="102" t="s">
        <v>2302</v>
      </c>
      <c r="M565" s="102" t="s">
        <v>1870</v>
      </c>
      <c r="N565" s="127" t="s">
        <v>139</v>
      </c>
      <c r="O565" s="60" t="s">
        <v>1871</v>
      </c>
      <c r="P565" s="60"/>
      <c r="Q565" s="60" t="s">
        <v>139</v>
      </c>
      <c r="R565" s="48" t="s">
        <v>139</v>
      </c>
      <c r="S565" s="48" t="s">
        <v>139</v>
      </c>
      <c r="T565" s="79" t="s">
        <v>1872</v>
      </c>
      <c r="U565" s="48" t="s">
        <v>139</v>
      </c>
      <c r="V565" s="48" t="s">
        <v>139</v>
      </c>
      <c r="W565" s="75" t="s">
        <v>139</v>
      </c>
      <c r="X565" s="48" t="s">
        <v>139</v>
      </c>
      <c r="Y565" s="79" t="s">
        <v>1125</v>
      </c>
      <c r="Z565" s="48" t="s">
        <v>139</v>
      </c>
      <c r="AA565" s="48" t="s">
        <v>139</v>
      </c>
      <c r="AB565" s="44"/>
      <c r="AC565" s="45"/>
      <c r="AD565" s="45"/>
      <c r="AE565" s="46"/>
      <c r="AF565" s="45"/>
      <c r="AG565" s="45"/>
      <c r="AH565" s="45"/>
      <c r="AI565" s="3" t="s">
        <v>1583</v>
      </c>
    </row>
    <row r="566" spans="1:35" ht="81">
      <c r="A566" s="144">
        <f t="shared" si="8"/>
        <v>564</v>
      </c>
      <c r="B566" s="148"/>
      <c r="C566" s="148"/>
      <c r="D566" s="148"/>
      <c r="E566" s="148"/>
      <c r="F566" s="148"/>
      <c r="G566" s="148"/>
      <c r="H566" s="148"/>
      <c r="I566" s="148"/>
      <c r="J566" s="98" t="s">
        <v>2104</v>
      </c>
      <c r="K566" s="99" t="str">
        <f>_xlfn.XLOOKUP(L566,'99_マスタ'!$D$5:$D$18,'99_マスタ'!$C$5:$C$18,"")</f>
        <v>02_生販在</v>
      </c>
      <c r="L566" s="99" t="s">
        <v>2302</v>
      </c>
      <c r="M566" s="99" t="s">
        <v>2066</v>
      </c>
      <c r="N566" s="126" t="s">
        <v>1637</v>
      </c>
      <c r="O566" s="40" t="s">
        <v>2069</v>
      </c>
      <c r="P566" s="40"/>
      <c r="Q566" s="41" t="s">
        <v>1637</v>
      </c>
      <c r="R566" s="41" t="s">
        <v>139</v>
      </c>
      <c r="S566" s="41" t="s">
        <v>139</v>
      </c>
      <c r="T566" s="41" t="s">
        <v>139</v>
      </c>
      <c r="U566" s="41" t="s">
        <v>2071</v>
      </c>
      <c r="V566" s="41" t="s">
        <v>139</v>
      </c>
      <c r="W566" s="74" t="s">
        <v>139</v>
      </c>
      <c r="X566" s="41" t="s">
        <v>139</v>
      </c>
      <c r="Y566" s="41" t="s">
        <v>139</v>
      </c>
      <c r="Z566" s="41" t="s">
        <v>2074</v>
      </c>
      <c r="AA566" s="41" t="s">
        <v>139</v>
      </c>
      <c r="AB566" s="44" t="s">
        <v>2070</v>
      </c>
      <c r="AC566" s="45"/>
      <c r="AD566" s="45"/>
      <c r="AE566" s="46"/>
      <c r="AF566" s="45"/>
      <c r="AG566" s="45"/>
      <c r="AH566" s="45"/>
      <c r="AI566" s="3" t="s">
        <v>1583</v>
      </c>
    </row>
    <row r="567" spans="1:35" ht="40.5">
      <c r="A567" s="144">
        <f t="shared" si="8"/>
        <v>565</v>
      </c>
      <c r="B567" s="148"/>
      <c r="C567" s="148"/>
      <c r="D567" s="148"/>
      <c r="E567" s="148"/>
      <c r="F567" s="148"/>
      <c r="G567" s="148"/>
      <c r="H567" s="148"/>
      <c r="I567" s="148"/>
      <c r="J567" s="103" t="s">
        <v>2104</v>
      </c>
      <c r="K567" s="102" t="str">
        <f>_xlfn.XLOOKUP(L567,'99_マスタ'!$D$5:$D$18,'99_マスタ'!$C$5:$C$18,"")</f>
        <v>02_生販在</v>
      </c>
      <c r="L567" s="102" t="s">
        <v>2302</v>
      </c>
      <c r="M567" s="102" t="s">
        <v>1131</v>
      </c>
      <c r="N567" s="126" t="s">
        <v>139</v>
      </c>
      <c r="O567" s="40" t="s">
        <v>1615</v>
      </c>
      <c r="P567" s="40"/>
      <c r="Q567" s="40" t="s">
        <v>139</v>
      </c>
      <c r="R567" s="41" t="s">
        <v>139</v>
      </c>
      <c r="S567" s="41" t="s">
        <v>139</v>
      </c>
      <c r="T567" s="41" t="s">
        <v>1132</v>
      </c>
      <c r="U567" s="41" t="s">
        <v>139</v>
      </c>
      <c r="V567" s="41" t="s">
        <v>139</v>
      </c>
      <c r="W567" s="74" t="s">
        <v>139</v>
      </c>
      <c r="X567" s="41" t="s">
        <v>139</v>
      </c>
      <c r="Y567" s="41" t="s">
        <v>1125</v>
      </c>
      <c r="Z567" s="41" t="s">
        <v>139</v>
      </c>
      <c r="AA567" s="41" t="s">
        <v>139</v>
      </c>
      <c r="AB567" s="44"/>
      <c r="AC567" s="45"/>
      <c r="AD567" s="45"/>
      <c r="AE567" s="46"/>
      <c r="AF567" s="45"/>
      <c r="AG567" s="45"/>
      <c r="AH567" s="45"/>
      <c r="AI567" s="3" t="s">
        <v>1583</v>
      </c>
    </row>
    <row r="568" spans="1:35" ht="27">
      <c r="A568" s="144">
        <f t="shared" si="8"/>
        <v>566</v>
      </c>
      <c r="B568" s="148"/>
      <c r="C568" s="148"/>
      <c r="D568" s="148"/>
      <c r="E568" s="148"/>
      <c r="F568" s="148"/>
      <c r="G568" s="148"/>
      <c r="H568" s="148"/>
      <c r="I568" s="148"/>
      <c r="J568" s="98" t="s">
        <v>2104</v>
      </c>
      <c r="K568" s="102" t="str">
        <f>_xlfn.XLOOKUP(L568,'99_マスタ'!$D$5:$D$18,'99_マスタ'!$C$5:$C$18,"")</f>
        <v>02_生販在</v>
      </c>
      <c r="L568" s="102" t="s">
        <v>2302</v>
      </c>
      <c r="M568" s="102" t="s">
        <v>1934</v>
      </c>
      <c r="N568" s="126" t="s">
        <v>1637</v>
      </c>
      <c r="O568" s="40" t="s">
        <v>1936</v>
      </c>
      <c r="P568" s="40"/>
      <c r="Q568" s="40" t="s">
        <v>139</v>
      </c>
      <c r="R568" s="41" t="s">
        <v>139</v>
      </c>
      <c r="S568" s="41" t="s">
        <v>139</v>
      </c>
      <c r="T568" s="41" t="s">
        <v>1124</v>
      </c>
      <c r="U568" s="41" t="s">
        <v>139</v>
      </c>
      <c r="V568" s="41" t="s">
        <v>139</v>
      </c>
      <c r="W568" s="74" t="s">
        <v>139</v>
      </c>
      <c r="X568" s="41" t="s">
        <v>139</v>
      </c>
      <c r="Y568" s="41" t="s">
        <v>1125</v>
      </c>
      <c r="Z568" s="41" t="s">
        <v>139</v>
      </c>
      <c r="AA568" s="41" t="s">
        <v>139</v>
      </c>
      <c r="AB568" s="44"/>
      <c r="AC568" s="45"/>
      <c r="AD568" s="45"/>
      <c r="AE568" s="46"/>
      <c r="AF568" s="45"/>
      <c r="AG568" s="45"/>
      <c r="AH568" s="45"/>
      <c r="AI568" s="3" t="s">
        <v>1583</v>
      </c>
    </row>
    <row r="569" spans="1:35" ht="27">
      <c r="A569" s="144">
        <f t="shared" si="8"/>
        <v>567</v>
      </c>
      <c r="B569" s="148"/>
      <c r="C569" s="148"/>
      <c r="D569" s="148"/>
      <c r="E569" s="148"/>
      <c r="F569" s="148"/>
      <c r="G569" s="148"/>
      <c r="H569" s="148"/>
      <c r="I569" s="148"/>
      <c r="J569" s="103" t="s">
        <v>2104</v>
      </c>
      <c r="K569" s="102" t="str">
        <f>_xlfn.XLOOKUP(L569,'99_マスタ'!$D$5:$D$18,'99_マスタ'!$C$5:$C$18,"")</f>
        <v>02_生販在</v>
      </c>
      <c r="L569" s="102" t="s">
        <v>2302</v>
      </c>
      <c r="M569" s="102" t="s">
        <v>1873</v>
      </c>
      <c r="N569" s="127" t="s">
        <v>139</v>
      </c>
      <c r="O569" s="60" t="s">
        <v>1874</v>
      </c>
      <c r="P569" s="60"/>
      <c r="Q569" s="60" t="s">
        <v>139</v>
      </c>
      <c r="R569" s="48" t="s">
        <v>139</v>
      </c>
      <c r="S569" s="48" t="s">
        <v>139</v>
      </c>
      <c r="T569" s="79" t="s">
        <v>1875</v>
      </c>
      <c r="U569" s="48" t="s">
        <v>139</v>
      </c>
      <c r="V569" s="48" t="s">
        <v>139</v>
      </c>
      <c r="W569" s="75" t="s">
        <v>139</v>
      </c>
      <c r="X569" s="48" t="s">
        <v>139</v>
      </c>
      <c r="Y569" s="79" t="s">
        <v>1125</v>
      </c>
      <c r="Z569" s="48" t="s">
        <v>139</v>
      </c>
      <c r="AA569" s="48" t="s">
        <v>139</v>
      </c>
      <c r="AB569" s="44"/>
      <c r="AC569" s="45"/>
      <c r="AD569" s="45"/>
      <c r="AE569" s="46"/>
      <c r="AF569" s="45"/>
      <c r="AG569" s="45"/>
      <c r="AH569" s="45"/>
      <c r="AI569" s="3" t="s">
        <v>1583</v>
      </c>
    </row>
    <row r="570" spans="1:35" ht="27">
      <c r="A570" s="144">
        <f t="shared" si="8"/>
        <v>568</v>
      </c>
      <c r="B570" s="148"/>
      <c r="C570" s="148"/>
      <c r="D570" s="148"/>
      <c r="E570" s="148"/>
      <c r="F570" s="148"/>
      <c r="G570" s="148"/>
      <c r="H570" s="148"/>
      <c r="I570" s="148"/>
      <c r="J570" s="103" t="s">
        <v>2104</v>
      </c>
      <c r="K570" s="102" t="str">
        <f>_xlfn.XLOOKUP(L570,'99_マスタ'!$D$5:$D$18,'99_マスタ'!$C$5:$C$18,"")</f>
        <v>02_生販在</v>
      </c>
      <c r="L570" s="102" t="s">
        <v>2302</v>
      </c>
      <c r="M570" s="102" t="s">
        <v>1876</v>
      </c>
      <c r="N570" s="127" t="s">
        <v>139</v>
      </c>
      <c r="O570" s="60" t="s">
        <v>1877</v>
      </c>
      <c r="P570" s="60"/>
      <c r="Q570" s="60" t="s">
        <v>139</v>
      </c>
      <c r="R570" s="48" t="s">
        <v>139</v>
      </c>
      <c r="S570" s="48" t="s">
        <v>139</v>
      </c>
      <c r="T570" s="79" t="s">
        <v>1878</v>
      </c>
      <c r="U570" s="79" t="s">
        <v>139</v>
      </c>
      <c r="V570" s="48" t="s">
        <v>139</v>
      </c>
      <c r="W570" s="75" t="s">
        <v>139</v>
      </c>
      <c r="X570" s="48" t="s">
        <v>139</v>
      </c>
      <c r="Y570" s="79" t="s">
        <v>1125</v>
      </c>
      <c r="Z570" s="48" t="s">
        <v>139</v>
      </c>
      <c r="AA570" s="48" t="s">
        <v>139</v>
      </c>
      <c r="AB570" s="44"/>
      <c r="AC570" s="45"/>
      <c r="AD570" s="45"/>
      <c r="AE570" s="46"/>
      <c r="AF570" s="45"/>
      <c r="AG570" s="45"/>
      <c r="AH570" s="45"/>
      <c r="AI570" s="3" t="s">
        <v>1583</v>
      </c>
    </row>
    <row r="571" spans="1:35" ht="27">
      <c r="A571" s="144">
        <f t="shared" si="8"/>
        <v>569</v>
      </c>
      <c r="B571" s="148"/>
      <c r="C571" s="148"/>
      <c r="D571" s="148"/>
      <c r="E571" s="148"/>
      <c r="F571" s="148"/>
      <c r="G571" s="148"/>
      <c r="H571" s="148"/>
      <c r="I571" s="148"/>
      <c r="J571" s="103" t="s">
        <v>2104</v>
      </c>
      <c r="K571" s="102" t="str">
        <f>_xlfn.XLOOKUP(L571,'99_マスタ'!$D$5:$D$18,'99_マスタ'!$C$5:$C$18,"")</f>
        <v>02_生販在</v>
      </c>
      <c r="L571" s="102" t="s">
        <v>2302</v>
      </c>
      <c r="M571" s="102" t="s">
        <v>1903</v>
      </c>
      <c r="N571" s="127" t="s">
        <v>139</v>
      </c>
      <c r="O571" s="60" t="s">
        <v>1904</v>
      </c>
      <c r="P571" s="60"/>
      <c r="Q571" s="60" t="s">
        <v>139</v>
      </c>
      <c r="R571" s="48" t="s">
        <v>139</v>
      </c>
      <c r="S571" s="48" t="s">
        <v>139</v>
      </c>
      <c r="T571" s="79" t="s">
        <v>1905</v>
      </c>
      <c r="U571" s="48" t="s">
        <v>139</v>
      </c>
      <c r="V571" s="48" t="s">
        <v>139</v>
      </c>
      <c r="W571" s="75" t="s">
        <v>139</v>
      </c>
      <c r="X571" s="48" t="s">
        <v>139</v>
      </c>
      <c r="Y571" s="79" t="s">
        <v>1125</v>
      </c>
      <c r="Z571" s="48" t="s">
        <v>139</v>
      </c>
      <c r="AA571" s="48" t="s">
        <v>139</v>
      </c>
      <c r="AB571" s="44"/>
      <c r="AC571" s="45"/>
      <c r="AD571" s="45"/>
      <c r="AE571" s="46"/>
      <c r="AF571" s="45"/>
      <c r="AG571" s="45"/>
      <c r="AH571" s="45"/>
      <c r="AI571" s="3" t="s">
        <v>1583</v>
      </c>
    </row>
    <row r="572" spans="1:35">
      <c r="A572" s="144">
        <f t="shared" si="8"/>
        <v>570</v>
      </c>
      <c r="B572" s="148"/>
      <c r="C572" s="148"/>
      <c r="D572" s="148"/>
      <c r="E572" s="148"/>
      <c r="F572" s="148"/>
      <c r="G572" s="148"/>
      <c r="H572" s="148"/>
      <c r="I572" s="148"/>
      <c r="J572" s="98" t="s">
        <v>2104</v>
      </c>
      <c r="K572" s="102" t="str">
        <f>_xlfn.XLOOKUP(L572,'99_マスタ'!$D$5:$D$18,'99_マスタ'!$C$5:$C$18,"")</f>
        <v>02_生販在</v>
      </c>
      <c r="L572" s="102" t="s">
        <v>2302</v>
      </c>
      <c r="M572" s="102" t="s">
        <v>1946</v>
      </c>
      <c r="N572" s="126" t="s">
        <v>1945</v>
      </c>
      <c r="O572" s="40" t="s">
        <v>3071</v>
      </c>
      <c r="P572" s="40"/>
      <c r="Q572" s="40" t="s">
        <v>139</v>
      </c>
      <c r="R572" s="41" t="s">
        <v>139</v>
      </c>
      <c r="S572" s="41" t="s">
        <v>139</v>
      </c>
      <c r="T572" s="41" t="s">
        <v>1126</v>
      </c>
      <c r="U572" s="41" t="s">
        <v>139</v>
      </c>
      <c r="V572" s="41" t="s">
        <v>139</v>
      </c>
      <c r="W572" s="74" t="s">
        <v>139</v>
      </c>
      <c r="X572" s="41" t="s">
        <v>139</v>
      </c>
      <c r="Y572" s="41" t="s">
        <v>1125</v>
      </c>
      <c r="Z572" s="41" t="s">
        <v>139</v>
      </c>
      <c r="AA572" s="41" t="s">
        <v>139</v>
      </c>
      <c r="AB572" s="44"/>
      <c r="AC572" s="45"/>
      <c r="AD572" s="45"/>
      <c r="AE572" s="46"/>
      <c r="AF572" s="45"/>
      <c r="AG572" s="45"/>
      <c r="AH572" s="45"/>
      <c r="AI572" s="3" t="s">
        <v>1583</v>
      </c>
    </row>
    <row r="573" spans="1:35" ht="40.5">
      <c r="A573" s="144">
        <f t="shared" si="8"/>
        <v>571</v>
      </c>
      <c r="B573" s="148"/>
      <c r="C573" s="148"/>
      <c r="D573" s="148"/>
      <c r="E573" s="148"/>
      <c r="F573" s="148"/>
      <c r="G573" s="148"/>
      <c r="H573" s="148"/>
      <c r="I573" s="148"/>
      <c r="J573" s="98" t="s">
        <v>2104</v>
      </c>
      <c r="K573" s="99" t="str">
        <f>_xlfn.XLOOKUP(L573,'99_マスタ'!$D$5:$D$18,'99_マスタ'!$C$5:$C$18,"")</f>
        <v>02_生販在</v>
      </c>
      <c r="L573" s="99" t="s">
        <v>2302</v>
      </c>
      <c r="M573" s="99" t="s">
        <v>3075</v>
      </c>
      <c r="N573" s="126" t="s">
        <v>3076</v>
      </c>
      <c r="O573" s="40" t="s">
        <v>718</v>
      </c>
      <c r="P573" s="40"/>
      <c r="Q573" s="40" t="s">
        <v>719</v>
      </c>
      <c r="R573" s="41" t="s">
        <v>139</v>
      </c>
      <c r="S573" s="41" t="s">
        <v>139</v>
      </c>
      <c r="T573" s="41" t="s">
        <v>720</v>
      </c>
      <c r="U573" s="41" t="s">
        <v>721</v>
      </c>
      <c r="V573" s="41" t="s">
        <v>139</v>
      </c>
      <c r="W573" s="74" t="s">
        <v>139</v>
      </c>
      <c r="X573" s="41" t="s">
        <v>139</v>
      </c>
      <c r="Y573" s="41" t="s">
        <v>722</v>
      </c>
      <c r="Z573" s="41" t="s">
        <v>723</v>
      </c>
      <c r="AA573" s="41" t="s">
        <v>139</v>
      </c>
      <c r="AB573" s="44"/>
      <c r="AC573" s="45"/>
      <c r="AD573" s="45"/>
      <c r="AE573" s="46"/>
      <c r="AF573" s="45"/>
      <c r="AG573" s="45"/>
      <c r="AH573" s="45"/>
      <c r="AI573" s="3" t="s">
        <v>1583</v>
      </c>
    </row>
    <row r="574" spans="1:35" ht="27">
      <c r="A574" s="144">
        <f t="shared" si="8"/>
        <v>572</v>
      </c>
      <c r="B574" s="148"/>
      <c r="C574" s="148"/>
      <c r="D574" s="148"/>
      <c r="E574" s="148"/>
      <c r="F574" s="148"/>
      <c r="G574" s="148"/>
      <c r="H574" s="148"/>
      <c r="I574" s="148"/>
      <c r="J574" s="103" t="s">
        <v>2104</v>
      </c>
      <c r="K574" s="102" t="str">
        <f>_xlfn.XLOOKUP(L574,'99_マスタ'!$D$5:$D$18,'99_マスタ'!$C$5:$C$18,"")</f>
        <v>02_生販在</v>
      </c>
      <c r="L574" s="102" t="s">
        <v>2302</v>
      </c>
      <c r="M574" s="102" t="s">
        <v>1861</v>
      </c>
      <c r="N574" s="127" t="s">
        <v>1862</v>
      </c>
      <c r="O574" s="60" t="s">
        <v>1863</v>
      </c>
      <c r="P574" s="60"/>
      <c r="Q574" s="60" t="s">
        <v>139</v>
      </c>
      <c r="R574" s="48" t="s">
        <v>139</v>
      </c>
      <c r="S574" s="48" t="s">
        <v>139</v>
      </c>
      <c r="T574" s="79" t="s">
        <v>1845</v>
      </c>
      <c r="U574" s="48" t="s">
        <v>139</v>
      </c>
      <c r="V574" s="48" t="s">
        <v>139</v>
      </c>
      <c r="W574" s="50" t="s">
        <v>139</v>
      </c>
      <c r="X574" s="48" t="s">
        <v>139</v>
      </c>
      <c r="Y574" s="79" t="s">
        <v>1125</v>
      </c>
      <c r="Z574" s="48" t="s">
        <v>139</v>
      </c>
      <c r="AA574" s="48" t="s">
        <v>139</v>
      </c>
      <c r="AB574" s="44"/>
      <c r="AC574" s="45"/>
      <c r="AD574" s="45"/>
      <c r="AE574" s="46"/>
      <c r="AF574" s="45"/>
      <c r="AG574" s="45"/>
      <c r="AH574" s="45"/>
      <c r="AI574" s="3" t="s">
        <v>1583</v>
      </c>
    </row>
    <row r="575" spans="1:35" ht="54">
      <c r="A575" s="144">
        <f t="shared" si="8"/>
        <v>573</v>
      </c>
      <c r="B575" s="148"/>
      <c r="C575" s="148"/>
      <c r="D575" s="148"/>
      <c r="E575" s="148"/>
      <c r="F575" s="148"/>
      <c r="G575" s="148"/>
      <c r="H575" s="148"/>
      <c r="I575" s="148"/>
      <c r="J575" s="103" t="s">
        <v>2104</v>
      </c>
      <c r="K575" s="102" t="str">
        <f>_xlfn.XLOOKUP(L575,'99_マスタ'!$D$5:$D$18,'99_マスタ'!$C$5:$C$18,"")</f>
        <v>02_生販在</v>
      </c>
      <c r="L575" s="102" t="s">
        <v>2302</v>
      </c>
      <c r="M575" s="102" t="s">
        <v>1737</v>
      </c>
      <c r="N575" s="127" t="s">
        <v>139</v>
      </c>
      <c r="O575" s="60" t="s">
        <v>1938</v>
      </c>
      <c r="P575" s="60"/>
      <c r="Q575" s="60" t="s">
        <v>139</v>
      </c>
      <c r="R575" s="48" t="s">
        <v>139</v>
      </c>
      <c r="S575" s="48" t="s">
        <v>139</v>
      </c>
      <c r="T575" s="79" t="s">
        <v>1738</v>
      </c>
      <c r="U575" s="48" t="s">
        <v>139</v>
      </c>
      <c r="V575" s="48" t="s">
        <v>139</v>
      </c>
      <c r="W575" s="75" t="s">
        <v>139</v>
      </c>
      <c r="X575" s="48" t="s">
        <v>139</v>
      </c>
      <c r="Y575" s="79" t="s">
        <v>1125</v>
      </c>
      <c r="Z575" s="48" t="s">
        <v>139</v>
      </c>
      <c r="AA575" s="48" t="s">
        <v>139</v>
      </c>
      <c r="AB575" s="44"/>
      <c r="AC575" s="45"/>
      <c r="AD575" s="45"/>
      <c r="AE575" s="46"/>
      <c r="AF575" s="45"/>
      <c r="AG575" s="45"/>
      <c r="AH575" s="45"/>
      <c r="AI575" s="3" t="s">
        <v>1583</v>
      </c>
    </row>
    <row r="576" spans="1:35" ht="27">
      <c r="A576" s="144">
        <f t="shared" si="8"/>
        <v>574</v>
      </c>
      <c r="B576" s="148"/>
      <c r="C576" s="148"/>
      <c r="D576" s="148"/>
      <c r="E576" s="148"/>
      <c r="F576" s="148"/>
      <c r="G576" s="148"/>
      <c r="H576" s="148"/>
      <c r="I576" s="148"/>
      <c r="J576" s="103" t="s">
        <v>2104</v>
      </c>
      <c r="K576" s="102" t="str">
        <f>_xlfn.XLOOKUP(L576,'99_マスタ'!$D$5:$D$18,'99_マスタ'!$C$5:$C$18,"")</f>
        <v>02_生販在</v>
      </c>
      <c r="L576" s="102" t="s">
        <v>2302</v>
      </c>
      <c r="M576" s="102" t="s">
        <v>1842</v>
      </c>
      <c r="N576" s="127" t="s">
        <v>1843</v>
      </c>
      <c r="O576" s="60" t="s">
        <v>1844</v>
      </c>
      <c r="P576" s="60"/>
      <c r="Q576" s="60" t="s">
        <v>139</v>
      </c>
      <c r="R576" s="48" t="s">
        <v>139</v>
      </c>
      <c r="S576" s="48" t="s">
        <v>139</v>
      </c>
      <c r="T576" s="79" t="s">
        <v>1845</v>
      </c>
      <c r="U576" s="48" t="s">
        <v>139</v>
      </c>
      <c r="V576" s="48" t="s">
        <v>139</v>
      </c>
      <c r="W576" s="75" t="s">
        <v>139</v>
      </c>
      <c r="X576" s="48" t="s">
        <v>139</v>
      </c>
      <c r="Y576" s="79" t="s">
        <v>1125</v>
      </c>
      <c r="Z576" s="48" t="s">
        <v>139</v>
      </c>
      <c r="AA576" s="48" t="s">
        <v>139</v>
      </c>
      <c r="AB576" s="44"/>
      <c r="AC576" s="45"/>
      <c r="AD576" s="45"/>
      <c r="AE576" s="46"/>
      <c r="AF576" s="45"/>
      <c r="AG576" s="45"/>
      <c r="AH576" s="45"/>
      <c r="AI576" s="3" t="s">
        <v>1583</v>
      </c>
    </row>
    <row r="577" spans="1:35" ht="54">
      <c r="A577" s="144">
        <f t="shared" si="8"/>
        <v>575</v>
      </c>
      <c r="B577" s="148"/>
      <c r="C577" s="148"/>
      <c r="D577" s="148"/>
      <c r="E577" s="148"/>
      <c r="F577" s="148"/>
      <c r="G577" s="148"/>
      <c r="H577" s="148"/>
      <c r="I577" s="148"/>
      <c r="J577" s="103" t="s">
        <v>2104</v>
      </c>
      <c r="K577" s="102" t="str">
        <f>_xlfn.XLOOKUP(L577,'99_マスタ'!$D$5:$D$18,'99_マスタ'!$C$5:$C$18,"")</f>
        <v>02_生販在</v>
      </c>
      <c r="L577" s="102" t="s">
        <v>2302</v>
      </c>
      <c r="M577" s="102" t="s">
        <v>2034</v>
      </c>
      <c r="N577" s="127" t="s">
        <v>2035</v>
      </c>
      <c r="O577" s="60" t="s">
        <v>1901</v>
      </c>
      <c r="P577" s="60"/>
      <c r="Q577" s="60" t="s">
        <v>139</v>
      </c>
      <c r="R577" s="48" t="s">
        <v>139</v>
      </c>
      <c r="S577" s="48" t="s">
        <v>139</v>
      </c>
      <c r="T577" s="79" t="s">
        <v>1902</v>
      </c>
      <c r="U577" s="48" t="s">
        <v>139</v>
      </c>
      <c r="V577" s="48" t="s">
        <v>139</v>
      </c>
      <c r="W577" s="75" t="s">
        <v>139</v>
      </c>
      <c r="X577" s="48" t="s">
        <v>139</v>
      </c>
      <c r="Y577" s="79" t="s">
        <v>1125</v>
      </c>
      <c r="Z577" s="48" t="s">
        <v>139</v>
      </c>
      <c r="AA577" s="48" t="s">
        <v>139</v>
      </c>
      <c r="AB577" s="44"/>
      <c r="AC577" s="45"/>
      <c r="AD577" s="45"/>
      <c r="AE577" s="46"/>
      <c r="AF577" s="45"/>
      <c r="AG577" s="45"/>
      <c r="AH577" s="45"/>
      <c r="AI577" s="3" t="s">
        <v>1583</v>
      </c>
    </row>
    <row r="578" spans="1:35">
      <c r="A578" s="144">
        <f t="shared" si="8"/>
        <v>576</v>
      </c>
      <c r="B578" s="148"/>
      <c r="C578" s="148"/>
      <c r="D578" s="148"/>
      <c r="E578" s="148"/>
      <c r="F578" s="148"/>
      <c r="G578" s="148"/>
      <c r="H578" s="148"/>
      <c r="I578" s="148"/>
      <c r="J578" s="103" t="s">
        <v>2104</v>
      </c>
      <c r="K578" s="102" t="str">
        <f>_xlfn.XLOOKUP(L578,'99_マスタ'!$D$5:$D$18,'99_マスタ'!$C$5:$C$18,"")</f>
        <v>02_生販在</v>
      </c>
      <c r="L578" s="102" t="s">
        <v>2302</v>
      </c>
      <c r="M578" s="102" t="s">
        <v>1811</v>
      </c>
      <c r="N578" s="127" t="s">
        <v>139</v>
      </c>
      <c r="O578" s="60" t="s">
        <v>1812</v>
      </c>
      <c r="P578" s="60"/>
      <c r="Q578" s="60" t="s">
        <v>139</v>
      </c>
      <c r="R578" s="48" t="s">
        <v>139</v>
      </c>
      <c r="S578" s="48" t="s">
        <v>139</v>
      </c>
      <c r="T578" s="79" t="s">
        <v>1810</v>
      </c>
      <c r="U578" s="48" t="s">
        <v>139</v>
      </c>
      <c r="V578" s="48" t="s">
        <v>139</v>
      </c>
      <c r="W578" s="75" t="s">
        <v>139</v>
      </c>
      <c r="X578" s="48" t="s">
        <v>139</v>
      </c>
      <c r="Y578" s="79" t="s">
        <v>1125</v>
      </c>
      <c r="Z578" s="48" t="s">
        <v>139</v>
      </c>
      <c r="AA578" s="48" t="s">
        <v>139</v>
      </c>
      <c r="AB578" s="44"/>
      <c r="AC578" s="45"/>
      <c r="AD578" s="45"/>
      <c r="AE578" s="46"/>
      <c r="AF578" s="45"/>
      <c r="AG578" s="45"/>
      <c r="AH578" s="45"/>
      <c r="AI578" s="3" t="s">
        <v>1583</v>
      </c>
    </row>
    <row r="579" spans="1:35" ht="54">
      <c r="A579" s="144">
        <f t="shared" ref="A579:A642" si="9">ROW()-2</f>
        <v>577</v>
      </c>
      <c r="B579" s="148"/>
      <c r="C579" s="148"/>
      <c r="D579" s="148"/>
      <c r="E579" s="148"/>
      <c r="F579" s="148"/>
      <c r="G579" s="148"/>
      <c r="H579" s="148"/>
      <c r="I579" s="148"/>
      <c r="J579" s="100" t="s">
        <v>2104</v>
      </c>
      <c r="K579" s="99" t="str">
        <f>_xlfn.XLOOKUP(L579,'99_マスタ'!$D$5:$D$18,'99_マスタ'!$C$5:$C$18,"")</f>
        <v>02_生販在</v>
      </c>
      <c r="L579" s="99" t="s">
        <v>2302</v>
      </c>
      <c r="M579" s="99" t="s">
        <v>2321</v>
      </c>
      <c r="N579" s="126" t="s">
        <v>3110</v>
      </c>
      <c r="O579" s="40" t="s">
        <v>697</v>
      </c>
      <c r="P579" s="40"/>
      <c r="Q579" s="40" t="s">
        <v>284</v>
      </c>
      <c r="R579" s="41" t="s">
        <v>139</v>
      </c>
      <c r="S579" s="41" t="s">
        <v>139</v>
      </c>
      <c r="T579" s="41" t="s">
        <v>698</v>
      </c>
      <c r="U579" s="41" t="s">
        <v>699</v>
      </c>
      <c r="V579" s="41" t="s">
        <v>139</v>
      </c>
      <c r="W579" s="74" t="s">
        <v>139</v>
      </c>
      <c r="X579" s="41" t="s">
        <v>139</v>
      </c>
      <c r="Y579" s="41" t="s">
        <v>700</v>
      </c>
      <c r="Z579" s="41" t="s">
        <v>701</v>
      </c>
      <c r="AA579" s="41" t="s">
        <v>139</v>
      </c>
      <c r="AB579" s="44"/>
      <c r="AC579" s="45"/>
      <c r="AD579" s="45"/>
      <c r="AE579" s="46"/>
      <c r="AF579" s="45"/>
      <c r="AG579" s="45"/>
      <c r="AH579" s="45"/>
      <c r="AI579" s="3" t="s">
        <v>1583</v>
      </c>
    </row>
    <row r="580" spans="1:35" ht="27">
      <c r="A580" s="144">
        <f t="shared" si="9"/>
        <v>578</v>
      </c>
      <c r="B580" s="148"/>
      <c r="C580" s="148"/>
      <c r="D580" s="148"/>
      <c r="E580" s="148"/>
      <c r="F580" s="148"/>
      <c r="G580" s="148"/>
      <c r="H580" s="148"/>
      <c r="I580" s="148"/>
      <c r="J580" s="103" t="s">
        <v>2104</v>
      </c>
      <c r="K580" s="102" t="str">
        <f>_xlfn.XLOOKUP(L580,'99_マスタ'!$D$5:$D$18,'99_マスタ'!$C$5:$C$18,"")</f>
        <v>02_生販在</v>
      </c>
      <c r="L580" s="99" t="s">
        <v>2302</v>
      </c>
      <c r="M580" s="102" t="s">
        <v>1765</v>
      </c>
      <c r="N580" s="127" t="s">
        <v>139</v>
      </c>
      <c r="O580" s="60" t="s">
        <v>1766</v>
      </c>
      <c r="P580" s="60"/>
      <c r="Q580" s="60" t="s">
        <v>139</v>
      </c>
      <c r="R580" s="48" t="s">
        <v>139</v>
      </c>
      <c r="S580" s="48" t="s">
        <v>139</v>
      </c>
      <c r="T580" s="79" t="s">
        <v>1753</v>
      </c>
      <c r="U580" s="48" t="s">
        <v>139</v>
      </c>
      <c r="V580" s="48" t="s">
        <v>139</v>
      </c>
      <c r="W580" s="75" t="s">
        <v>139</v>
      </c>
      <c r="X580" s="48" t="s">
        <v>139</v>
      </c>
      <c r="Y580" s="79" t="s">
        <v>1125</v>
      </c>
      <c r="Z580" s="48" t="s">
        <v>139</v>
      </c>
      <c r="AA580" s="48" t="s">
        <v>139</v>
      </c>
      <c r="AB580" s="44"/>
      <c r="AC580" s="45"/>
      <c r="AD580" s="45"/>
      <c r="AE580" s="46"/>
      <c r="AF580" s="45"/>
      <c r="AG580" s="45"/>
      <c r="AH580" s="45"/>
      <c r="AI580" s="3" t="s">
        <v>1583</v>
      </c>
    </row>
    <row r="581" spans="1:35" ht="27">
      <c r="A581" s="144">
        <f t="shared" si="9"/>
        <v>579</v>
      </c>
      <c r="B581" s="148"/>
      <c r="C581" s="148"/>
      <c r="D581" s="148"/>
      <c r="E581" s="148"/>
      <c r="F581" s="148"/>
      <c r="G581" s="148"/>
      <c r="H581" s="148"/>
      <c r="I581" s="148"/>
      <c r="J581" s="103" t="s">
        <v>2104</v>
      </c>
      <c r="K581" s="102" t="str">
        <f>_xlfn.XLOOKUP(L581,'99_マスタ'!$D$5:$D$18,'99_マスタ'!$C$5:$C$18,"")</f>
        <v>02_生販在</v>
      </c>
      <c r="L581" s="99" t="s">
        <v>2302</v>
      </c>
      <c r="M581" s="102" t="s">
        <v>1864</v>
      </c>
      <c r="N581" s="127" t="s">
        <v>139</v>
      </c>
      <c r="O581" s="60" t="s">
        <v>1865</v>
      </c>
      <c r="P581" s="60"/>
      <c r="Q581" s="60" t="s">
        <v>139</v>
      </c>
      <c r="R581" s="48" t="s">
        <v>139</v>
      </c>
      <c r="S581" s="48" t="s">
        <v>139</v>
      </c>
      <c r="T581" s="79" t="s">
        <v>1866</v>
      </c>
      <c r="U581" s="48" t="s">
        <v>139</v>
      </c>
      <c r="V581" s="48" t="s">
        <v>139</v>
      </c>
      <c r="W581" s="75" t="s">
        <v>139</v>
      </c>
      <c r="X581" s="48" t="s">
        <v>139</v>
      </c>
      <c r="Y581" s="79" t="s">
        <v>1125</v>
      </c>
      <c r="Z581" s="48" t="s">
        <v>139</v>
      </c>
      <c r="AA581" s="48" t="s">
        <v>139</v>
      </c>
      <c r="AB581" s="44"/>
      <c r="AC581" s="45"/>
      <c r="AD581" s="45"/>
      <c r="AE581" s="46"/>
      <c r="AF581" s="45"/>
      <c r="AG581" s="45"/>
      <c r="AH581" s="45"/>
      <c r="AI581" s="3" t="s">
        <v>1583</v>
      </c>
    </row>
    <row r="582" spans="1:35">
      <c r="A582" s="144">
        <f t="shared" si="9"/>
        <v>580</v>
      </c>
      <c r="B582" s="148"/>
      <c r="C582" s="148"/>
      <c r="D582" s="148"/>
      <c r="E582" s="148"/>
      <c r="F582" s="148"/>
      <c r="G582" s="148"/>
      <c r="H582" s="148"/>
      <c r="I582" s="148"/>
      <c r="J582" s="98" t="s">
        <v>2104</v>
      </c>
      <c r="K582" s="102" t="str">
        <f>_xlfn.XLOOKUP(L582,'99_マスタ'!$D$5:$D$18,'99_マスタ'!$C$5:$C$18,"")</f>
        <v>02_生販在</v>
      </c>
      <c r="L582" s="102" t="s">
        <v>2302</v>
      </c>
      <c r="M582" s="102" t="s">
        <v>1944</v>
      </c>
      <c r="N582" s="126" t="s">
        <v>1948</v>
      </c>
      <c r="O582" s="40" t="s">
        <v>1950</v>
      </c>
      <c r="P582" s="40"/>
      <c r="Q582" s="40" t="s">
        <v>139</v>
      </c>
      <c r="R582" s="41" t="s">
        <v>139</v>
      </c>
      <c r="S582" s="41" t="s">
        <v>139</v>
      </c>
      <c r="T582" s="41" t="s">
        <v>1126</v>
      </c>
      <c r="U582" s="41" t="s">
        <v>139</v>
      </c>
      <c r="V582" s="41" t="s">
        <v>139</v>
      </c>
      <c r="W582" s="74" t="s">
        <v>139</v>
      </c>
      <c r="X582" s="41" t="s">
        <v>139</v>
      </c>
      <c r="Y582" s="41" t="s">
        <v>1125</v>
      </c>
      <c r="Z582" s="41" t="s">
        <v>139</v>
      </c>
      <c r="AA582" s="41" t="s">
        <v>139</v>
      </c>
      <c r="AB582" s="44"/>
      <c r="AC582" s="45"/>
      <c r="AD582" s="45"/>
      <c r="AE582" s="46"/>
      <c r="AF582" s="45"/>
      <c r="AG582" s="45"/>
      <c r="AH582" s="45"/>
      <c r="AI582" s="3" t="s">
        <v>1583</v>
      </c>
    </row>
    <row r="583" spans="1:35" ht="81">
      <c r="A583" s="144">
        <f t="shared" si="9"/>
        <v>581</v>
      </c>
      <c r="B583" s="148"/>
      <c r="C583" s="148"/>
      <c r="D583" s="148"/>
      <c r="E583" s="148"/>
      <c r="F583" s="148"/>
      <c r="G583" s="148"/>
      <c r="H583" s="148"/>
      <c r="I583" s="148"/>
      <c r="J583" s="103" t="s">
        <v>2104</v>
      </c>
      <c r="K583" s="102" t="str">
        <f>_xlfn.XLOOKUP(L583,'99_マスタ'!$D$5:$D$18,'99_マスタ'!$C$5:$C$18,"")</f>
        <v>02_生販在</v>
      </c>
      <c r="L583" s="102" t="s">
        <v>2302</v>
      </c>
      <c r="M583" s="102" t="s">
        <v>1797</v>
      </c>
      <c r="N583" s="129" t="s">
        <v>1637</v>
      </c>
      <c r="O583" s="60" t="s">
        <v>1960</v>
      </c>
      <c r="P583" s="60"/>
      <c r="Q583" s="60" t="s">
        <v>139</v>
      </c>
      <c r="R583" s="48" t="s">
        <v>139</v>
      </c>
      <c r="S583" s="48" t="s">
        <v>139</v>
      </c>
      <c r="T583" s="79" t="s">
        <v>1798</v>
      </c>
      <c r="U583" s="48" t="s">
        <v>139</v>
      </c>
      <c r="V583" s="48" t="s">
        <v>139</v>
      </c>
      <c r="W583" s="75" t="s">
        <v>139</v>
      </c>
      <c r="X583" s="48" t="s">
        <v>139</v>
      </c>
      <c r="Y583" s="79" t="s">
        <v>1125</v>
      </c>
      <c r="Z583" s="48" t="s">
        <v>139</v>
      </c>
      <c r="AA583" s="48" t="s">
        <v>139</v>
      </c>
      <c r="AB583" s="44"/>
      <c r="AC583" s="45"/>
      <c r="AD583" s="45"/>
      <c r="AE583" s="46"/>
      <c r="AF583" s="45"/>
      <c r="AG583" s="45"/>
      <c r="AH583" s="45"/>
      <c r="AI583" s="3" t="s">
        <v>1583</v>
      </c>
    </row>
    <row r="584" spans="1:35" ht="27">
      <c r="A584" s="144">
        <f t="shared" si="9"/>
        <v>582</v>
      </c>
      <c r="B584" s="148"/>
      <c r="C584" s="148"/>
      <c r="D584" s="148"/>
      <c r="E584" s="148"/>
      <c r="F584" s="148"/>
      <c r="G584" s="148"/>
      <c r="H584" s="148"/>
      <c r="I584" s="148"/>
      <c r="J584" s="103" t="s">
        <v>2104</v>
      </c>
      <c r="K584" s="102" t="str">
        <f>_xlfn.XLOOKUP(L584,'99_マスタ'!$D$5:$D$18,'99_マスタ'!$C$5:$C$18,"")</f>
        <v>02_生販在</v>
      </c>
      <c r="L584" s="102" t="s">
        <v>2302</v>
      </c>
      <c r="M584" s="102" t="s">
        <v>1767</v>
      </c>
      <c r="N584" s="127" t="s">
        <v>139</v>
      </c>
      <c r="O584" s="60" t="s">
        <v>1959</v>
      </c>
      <c r="P584" s="60"/>
      <c r="Q584" s="60" t="s">
        <v>139</v>
      </c>
      <c r="R584" s="48" t="s">
        <v>139</v>
      </c>
      <c r="S584" s="48" t="s">
        <v>139</v>
      </c>
      <c r="T584" s="79" t="s">
        <v>1768</v>
      </c>
      <c r="U584" s="48" t="s">
        <v>139</v>
      </c>
      <c r="V584" s="48" t="s">
        <v>139</v>
      </c>
      <c r="W584" s="75" t="s">
        <v>139</v>
      </c>
      <c r="X584" s="48" t="s">
        <v>139</v>
      </c>
      <c r="Y584" s="79" t="s">
        <v>1125</v>
      </c>
      <c r="Z584" s="48" t="s">
        <v>139</v>
      </c>
      <c r="AA584" s="48" t="s">
        <v>139</v>
      </c>
      <c r="AB584" s="44"/>
      <c r="AC584" s="45"/>
      <c r="AD584" s="45"/>
      <c r="AE584" s="46"/>
      <c r="AF584" s="45"/>
      <c r="AG584" s="45"/>
      <c r="AH584" s="45"/>
      <c r="AI584" s="3" t="s">
        <v>1583</v>
      </c>
    </row>
    <row r="585" spans="1:35" ht="27">
      <c r="A585" s="144">
        <f t="shared" si="9"/>
        <v>583</v>
      </c>
      <c r="B585" s="148"/>
      <c r="C585" s="148"/>
      <c r="D585" s="148"/>
      <c r="E585" s="148"/>
      <c r="F585" s="148"/>
      <c r="G585" s="148"/>
      <c r="H585" s="148"/>
      <c r="I585" s="148"/>
      <c r="J585" s="103" t="s">
        <v>2104</v>
      </c>
      <c r="K585" s="102" t="str">
        <f>_xlfn.XLOOKUP(L585,'99_マスタ'!$D$5:$D$18,'99_マスタ'!$C$5:$C$18,"")</f>
        <v>02_生販在</v>
      </c>
      <c r="L585" s="102" t="s">
        <v>2302</v>
      </c>
      <c r="M585" s="102" t="s">
        <v>1852</v>
      </c>
      <c r="N585" s="127" t="s">
        <v>1853</v>
      </c>
      <c r="O585" s="60" t="s">
        <v>1854</v>
      </c>
      <c r="P585" s="60"/>
      <c r="Q585" s="60" t="s">
        <v>139</v>
      </c>
      <c r="R585" s="48" t="s">
        <v>139</v>
      </c>
      <c r="S585" s="48" t="s">
        <v>139</v>
      </c>
      <c r="T585" s="79" t="s">
        <v>1845</v>
      </c>
      <c r="U585" s="48" t="s">
        <v>139</v>
      </c>
      <c r="V585" s="48" t="s">
        <v>139</v>
      </c>
      <c r="W585" s="75" t="s">
        <v>139</v>
      </c>
      <c r="X585" s="48" t="s">
        <v>139</v>
      </c>
      <c r="Y585" s="79" t="s">
        <v>1125</v>
      </c>
      <c r="Z585" s="48" t="s">
        <v>139</v>
      </c>
      <c r="AA585" s="48" t="s">
        <v>139</v>
      </c>
      <c r="AB585" s="44"/>
      <c r="AC585" s="45"/>
      <c r="AD585" s="45"/>
      <c r="AE585" s="46"/>
      <c r="AF585" s="45"/>
      <c r="AG585" s="45"/>
      <c r="AH585" s="45"/>
      <c r="AI585" s="3" t="s">
        <v>1583</v>
      </c>
    </row>
    <row r="586" spans="1:35" ht="27">
      <c r="A586" s="144">
        <f t="shared" si="9"/>
        <v>584</v>
      </c>
      <c r="B586" s="148"/>
      <c r="C586" s="148"/>
      <c r="D586" s="148"/>
      <c r="E586" s="148"/>
      <c r="F586" s="148"/>
      <c r="G586" s="148"/>
      <c r="H586" s="148"/>
      <c r="I586" s="148"/>
      <c r="J586" s="103" t="s">
        <v>2104</v>
      </c>
      <c r="K586" s="102" t="str">
        <f>_xlfn.XLOOKUP(L586,'99_マスタ'!$D$5:$D$18,'99_マスタ'!$C$5:$C$18,"")</f>
        <v>02_生販在</v>
      </c>
      <c r="L586" s="102" t="s">
        <v>2302</v>
      </c>
      <c r="M586" s="102" t="s">
        <v>1802</v>
      </c>
      <c r="N586" s="127" t="s">
        <v>139</v>
      </c>
      <c r="O586" s="60" t="s">
        <v>1803</v>
      </c>
      <c r="P586" s="60"/>
      <c r="Q586" s="60" t="s">
        <v>139</v>
      </c>
      <c r="R586" s="48" t="s">
        <v>139</v>
      </c>
      <c r="S586" s="48" t="s">
        <v>139</v>
      </c>
      <c r="T586" s="79" t="s">
        <v>1804</v>
      </c>
      <c r="U586" s="48" t="s">
        <v>139</v>
      </c>
      <c r="V586" s="48" t="s">
        <v>139</v>
      </c>
      <c r="W586" s="75" t="s">
        <v>139</v>
      </c>
      <c r="X586" s="48" t="s">
        <v>139</v>
      </c>
      <c r="Y586" s="79" t="s">
        <v>1125</v>
      </c>
      <c r="Z586" s="48" t="s">
        <v>139</v>
      </c>
      <c r="AA586" s="48" t="s">
        <v>139</v>
      </c>
      <c r="AB586" s="44"/>
      <c r="AC586" s="45"/>
      <c r="AD586" s="45"/>
      <c r="AE586" s="46"/>
      <c r="AF586" s="45"/>
      <c r="AG586" s="45"/>
      <c r="AH586" s="45"/>
      <c r="AI586" s="3" t="s">
        <v>1583</v>
      </c>
    </row>
    <row r="587" spans="1:35">
      <c r="A587" s="144">
        <f t="shared" si="9"/>
        <v>585</v>
      </c>
      <c r="B587" s="148"/>
      <c r="C587" s="148"/>
      <c r="D587" s="148"/>
      <c r="E587" s="148"/>
      <c r="F587" s="148"/>
      <c r="G587" s="148"/>
      <c r="H587" s="148"/>
      <c r="I587" s="148"/>
      <c r="J587" s="103" t="s">
        <v>2104</v>
      </c>
      <c r="K587" s="102" t="str">
        <f>_xlfn.XLOOKUP(L587,'99_マスタ'!$D$5:$D$18,'99_マスタ'!$C$5:$C$18,"")</f>
        <v>02_生販在</v>
      </c>
      <c r="L587" s="102" t="s">
        <v>2302</v>
      </c>
      <c r="M587" s="102" t="s">
        <v>1805</v>
      </c>
      <c r="N587" s="127" t="s">
        <v>139</v>
      </c>
      <c r="O587" s="60" t="s">
        <v>1806</v>
      </c>
      <c r="P587" s="60"/>
      <c r="Q587" s="60" t="s">
        <v>139</v>
      </c>
      <c r="R587" s="48" t="s">
        <v>139</v>
      </c>
      <c r="S587" s="48" t="s">
        <v>139</v>
      </c>
      <c r="T587" s="79" t="s">
        <v>1807</v>
      </c>
      <c r="U587" s="48" t="s">
        <v>139</v>
      </c>
      <c r="V587" s="48" t="s">
        <v>139</v>
      </c>
      <c r="W587" s="75" t="s">
        <v>139</v>
      </c>
      <c r="X587" s="48" t="s">
        <v>139</v>
      </c>
      <c r="Y587" s="79" t="s">
        <v>1125</v>
      </c>
      <c r="Z587" s="48" t="s">
        <v>139</v>
      </c>
      <c r="AA587" s="48" t="s">
        <v>139</v>
      </c>
      <c r="AB587" s="44"/>
      <c r="AC587" s="45"/>
      <c r="AD587" s="45"/>
      <c r="AE587" s="46"/>
      <c r="AF587" s="45"/>
      <c r="AG587" s="45"/>
      <c r="AH587" s="45"/>
      <c r="AI587" s="3" t="s">
        <v>1583</v>
      </c>
    </row>
    <row r="588" spans="1:35" ht="27">
      <c r="A588" s="144">
        <f t="shared" si="9"/>
        <v>586</v>
      </c>
      <c r="B588" s="148"/>
      <c r="C588" s="148"/>
      <c r="D588" s="148"/>
      <c r="E588" s="148"/>
      <c r="F588" s="148"/>
      <c r="G588" s="148"/>
      <c r="H588" s="148"/>
      <c r="I588" s="148"/>
      <c r="J588" s="103" t="s">
        <v>2104</v>
      </c>
      <c r="K588" s="102" t="str">
        <f>_xlfn.XLOOKUP(L588,'99_マスタ'!$D$5:$D$18,'99_マスタ'!$C$5:$C$18,"")</f>
        <v>02_生販在</v>
      </c>
      <c r="L588" s="102" t="s">
        <v>2302</v>
      </c>
      <c r="M588" s="102" t="s">
        <v>1769</v>
      </c>
      <c r="N588" s="127" t="s">
        <v>139</v>
      </c>
      <c r="O588" s="60" t="s">
        <v>1770</v>
      </c>
      <c r="P588" s="60"/>
      <c r="Q588" s="60" t="s">
        <v>139</v>
      </c>
      <c r="R588" s="48" t="s">
        <v>139</v>
      </c>
      <c r="S588" s="48" t="s">
        <v>139</v>
      </c>
      <c r="T588" s="79" t="s">
        <v>1771</v>
      </c>
      <c r="U588" s="48" t="s">
        <v>139</v>
      </c>
      <c r="V588" s="48" t="s">
        <v>139</v>
      </c>
      <c r="W588" s="75" t="s">
        <v>139</v>
      </c>
      <c r="X588" s="48" t="s">
        <v>139</v>
      </c>
      <c r="Y588" s="79" t="s">
        <v>1125</v>
      </c>
      <c r="Z588" s="48" t="s">
        <v>139</v>
      </c>
      <c r="AA588" s="48" t="s">
        <v>139</v>
      </c>
      <c r="AB588" s="44"/>
      <c r="AC588" s="45"/>
      <c r="AD588" s="45"/>
      <c r="AE588" s="46"/>
      <c r="AF588" s="45"/>
      <c r="AG588" s="45"/>
      <c r="AH588" s="45"/>
      <c r="AI588" s="3" t="s">
        <v>1583</v>
      </c>
    </row>
    <row r="589" spans="1:35" ht="27">
      <c r="A589" s="144">
        <f t="shared" si="9"/>
        <v>587</v>
      </c>
      <c r="B589" s="148"/>
      <c r="C589" s="148"/>
      <c r="D589" s="148"/>
      <c r="E589" s="148"/>
      <c r="F589" s="148"/>
      <c r="G589" s="148"/>
      <c r="H589" s="148"/>
      <c r="I589" s="148"/>
      <c r="J589" s="103" t="s">
        <v>2104</v>
      </c>
      <c r="K589" s="102" t="str">
        <f>_xlfn.XLOOKUP(L589,'99_マスタ'!$D$5:$D$18,'99_マスタ'!$C$5:$C$18,"")</f>
        <v>02_生販在</v>
      </c>
      <c r="L589" s="102" t="s">
        <v>2302</v>
      </c>
      <c r="M589" s="102" t="s">
        <v>1727</v>
      </c>
      <c r="N589" s="127" t="s">
        <v>139</v>
      </c>
      <c r="O589" s="60" t="s">
        <v>1728</v>
      </c>
      <c r="P589" s="60"/>
      <c r="Q589" s="60" t="s">
        <v>139</v>
      </c>
      <c r="R589" s="48" t="s">
        <v>139</v>
      </c>
      <c r="S589" s="48" t="s">
        <v>139</v>
      </c>
      <c r="T589" s="79" t="s">
        <v>1729</v>
      </c>
      <c r="U589" s="48" t="s">
        <v>139</v>
      </c>
      <c r="V589" s="48" t="s">
        <v>139</v>
      </c>
      <c r="W589" s="75" t="s">
        <v>139</v>
      </c>
      <c r="X589" s="48" t="s">
        <v>139</v>
      </c>
      <c r="Y589" s="79" t="s">
        <v>1125</v>
      </c>
      <c r="Z589" s="48" t="s">
        <v>139</v>
      </c>
      <c r="AA589" s="48" t="s">
        <v>139</v>
      </c>
      <c r="AB589" s="44"/>
      <c r="AC589" s="45"/>
      <c r="AD589" s="45"/>
      <c r="AE589" s="46"/>
      <c r="AF589" s="45"/>
      <c r="AG589" s="45"/>
      <c r="AH589" s="45"/>
      <c r="AI589" s="3" t="s">
        <v>1583</v>
      </c>
    </row>
    <row r="590" spans="1:35" ht="40.5">
      <c r="A590" s="144">
        <f t="shared" si="9"/>
        <v>588</v>
      </c>
      <c r="B590" s="148"/>
      <c r="C590" s="148"/>
      <c r="D590" s="148"/>
      <c r="E590" s="148"/>
      <c r="F590" s="148"/>
      <c r="G590" s="148"/>
      <c r="H590" s="148"/>
      <c r="I590" s="148"/>
      <c r="J590" s="98" t="s">
        <v>2104</v>
      </c>
      <c r="K590" s="99" t="str">
        <f>_xlfn.XLOOKUP(L590,'99_マスタ'!$D$5:$D$18,'99_マスタ'!$C$5:$C$18,"")</f>
        <v>02_生販在</v>
      </c>
      <c r="L590" s="102" t="s">
        <v>2302</v>
      </c>
      <c r="M590" s="99" t="s">
        <v>3273</v>
      </c>
      <c r="N590" s="126" t="s">
        <v>3274</v>
      </c>
      <c r="O590" s="40" t="s">
        <v>712</v>
      </c>
      <c r="P590" s="40"/>
      <c r="Q590" s="40" t="s">
        <v>139</v>
      </c>
      <c r="R590" s="41" t="s">
        <v>139</v>
      </c>
      <c r="S590" s="41" t="s">
        <v>139</v>
      </c>
      <c r="T590" s="41" t="s">
        <v>713</v>
      </c>
      <c r="U590" s="41" t="s">
        <v>714</v>
      </c>
      <c r="V590" s="41" t="s">
        <v>139</v>
      </c>
      <c r="W590" s="74" t="s">
        <v>139</v>
      </c>
      <c r="X590" s="41" t="s">
        <v>139</v>
      </c>
      <c r="Y590" s="41" t="s">
        <v>715</v>
      </c>
      <c r="Z590" s="41" t="s">
        <v>716</v>
      </c>
      <c r="AA590" s="41" t="s">
        <v>139</v>
      </c>
      <c r="AB590" s="44"/>
      <c r="AC590" s="45"/>
      <c r="AD590" s="45"/>
      <c r="AE590" s="46"/>
      <c r="AF590" s="45"/>
      <c r="AG590" s="45"/>
      <c r="AH590" s="45"/>
      <c r="AI590" s="3" t="s">
        <v>1583</v>
      </c>
    </row>
    <row r="591" spans="1:35" ht="40.5">
      <c r="A591" s="144">
        <f t="shared" si="9"/>
        <v>589</v>
      </c>
      <c r="B591" s="148"/>
      <c r="C591" s="148"/>
      <c r="D591" s="148"/>
      <c r="E591" s="148"/>
      <c r="F591" s="148"/>
      <c r="G591" s="148"/>
      <c r="H591" s="148"/>
      <c r="I591" s="148"/>
      <c r="J591" s="103" t="s">
        <v>2104</v>
      </c>
      <c r="K591" s="102" t="str">
        <f>_xlfn.XLOOKUP(L591,'99_マスタ'!$D$5:$D$18,'99_マスタ'!$C$5:$C$18,"")</f>
        <v>02_生販在</v>
      </c>
      <c r="L591" s="102" t="s">
        <v>2302</v>
      </c>
      <c r="M591" s="102" t="s">
        <v>1855</v>
      </c>
      <c r="N591" s="127" t="s">
        <v>1856</v>
      </c>
      <c r="O591" s="60" t="s">
        <v>1857</v>
      </c>
      <c r="P591" s="60"/>
      <c r="Q591" s="60" t="s">
        <v>139</v>
      </c>
      <c r="R591" s="48" t="s">
        <v>139</v>
      </c>
      <c r="S591" s="48" t="s">
        <v>139</v>
      </c>
      <c r="T591" s="79" t="s">
        <v>1845</v>
      </c>
      <c r="U591" s="79" t="s">
        <v>139</v>
      </c>
      <c r="V591" s="48" t="s">
        <v>139</v>
      </c>
      <c r="W591" s="75" t="s">
        <v>139</v>
      </c>
      <c r="X591" s="48" t="s">
        <v>139</v>
      </c>
      <c r="Y591" s="79" t="s">
        <v>1125</v>
      </c>
      <c r="Z591" s="48" t="s">
        <v>139</v>
      </c>
      <c r="AA591" s="48" t="s">
        <v>139</v>
      </c>
      <c r="AB591" s="44"/>
      <c r="AC591" s="45"/>
      <c r="AD591" s="45"/>
      <c r="AE591" s="46"/>
      <c r="AF591" s="45"/>
      <c r="AG591" s="45"/>
      <c r="AH591" s="45"/>
      <c r="AI591" s="3" t="s">
        <v>1583</v>
      </c>
    </row>
    <row r="592" spans="1:35">
      <c r="A592" s="144">
        <f t="shared" si="9"/>
        <v>590</v>
      </c>
      <c r="B592" s="148"/>
      <c r="C592" s="148"/>
      <c r="D592" s="148"/>
      <c r="E592" s="148"/>
      <c r="F592" s="148"/>
      <c r="G592" s="148"/>
      <c r="H592" s="148"/>
      <c r="I592" s="148"/>
      <c r="J592" s="103" t="s">
        <v>2104</v>
      </c>
      <c r="K592" s="102" t="str">
        <f>_xlfn.XLOOKUP(L592,'99_マスタ'!$D$5:$D$18,'99_マスタ'!$C$5:$C$18,"")</f>
        <v>02_生販在</v>
      </c>
      <c r="L592" s="102" t="s">
        <v>2302</v>
      </c>
      <c r="M592" s="102" t="s">
        <v>1776</v>
      </c>
      <c r="N592" s="127" t="s">
        <v>139</v>
      </c>
      <c r="O592" s="60" t="s">
        <v>1777</v>
      </c>
      <c r="P592" s="60"/>
      <c r="Q592" s="60" t="s">
        <v>139</v>
      </c>
      <c r="R592" s="48" t="s">
        <v>139</v>
      </c>
      <c r="S592" s="48" t="s">
        <v>139</v>
      </c>
      <c r="T592" s="79" t="s">
        <v>1778</v>
      </c>
      <c r="U592" s="48" t="s">
        <v>139</v>
      </c>
      <c r="V592" s="48" t="s">
        <v>139</v>
      </c>
      <c r="W592" s="75" t="s">
        <v>139</v>
      </c>
      <c r="X592" s="48" t="s">
        <v>139</v>
      </c>
      <c r="Y592" s="79" t="s">
        <v>1125</v>
      </c>
      <c r="Z592" s="48" t="s">
        <v>139</v>
      </c>
      <c r="AA592" s="48" t="s">
        <v>139</v>
      </c>
      <c r="AB592" s="44"/>
      <c r="AC592" s="45"/>
      <c r="AD592" s="45"/>
      <c r="AE592" s="46"/>
      <c r="AF592" s="45"/>
      <c r="AG592" s="45"/>
      <c r="AH592" s="45"/>
      <c r="AI592" s="3" t="s">
        <v>1583</v>
      </c>
    </row>
    <row r="593" spans="1:35" ht="27">
      <c r="A593" s="144">
        <f t="shared" si="9"/>
        <v>591</v>
      </c>
      <c r="B593" s="148"/>
      <c r="C593" s="148"/>
      <c r="D593" s="148"/>
      <c r="E593" s="148"/>
      <c r="F593" s="148"/>
      <c r="G593" s="148"/>
      <c r="H593" s="148"/>
      <c r="I593" s="148"/>
      <c r="J593" s="103" t="s">
        <v>2104</v>
      </c>
      <c r="K593" s="102" t="str">
        <f>_xlfn.XLOOKUP(L593,'99_マスタ'!$D$5:$D$18,'99_マスタ'!$C$5:$C$18,"")</f>
        <v>02_生販在</v>
      </c>
      <c r="L593" s="102" t="s">
        <v>2302</v>
      </c>
      <c r="M593" s="102" t="s">
        <v>1858</v>
      </c>
      <c r="N593" s="127" t="s">
        <v>1859</v>
      </c>
      <c r="O593" s="60" t="s">
        <v>1860</v>
      </c>
      <c r="P593" s="60"/>
      <c r="Q593" s="60" t="s">
        <v>139</v>
      </c>
      <c r="R593" s="48" t="s">
        <v>139</v>
      </c>
      <c r="S593" s="48" t="s">
        <v>139</v>
      </c>
      <c r="T593" s="79" t="s">
        <v>1845</v>
      </c>
      <c r="U593" s="48" t="s">
        <v>139</v>
      </c>
      <c r="V593" s="48" t="s">
        <v>139</v>
      </c>
      <c r="W593" s="75" t="s">
        <v>139</v>
      </c>
      <c r="X593" s="48" t="s">
        <v>139</v>
      </c>
      <c r="Y593" s="79" t="s">
        <v>1125</v>
      </c>
      <c r="Z593" s="48" t="s">
        <v>139</v>
      </c>
      <c r="AA593" s="48" t="s">
        <v>139</v>
      </c>
      <c r="AB593" s="44"/>
      <c r="AC593" s="45"/>
      <c r="AD593" s="45"/>
      <c r="AE593" s="46"/>
      <c r="AF593" s="45"/>
      <c r="AG593" s="45"/>
      <c r="AH593" s="45"/>
      <c r="AI593" s="3" t="s">
        <v>1583</v>
      </c>
    </row>
    <row r="594" spans="1:35" ht="27">
      <c r="A594" s="144">
        <f t="shared" si="9"/>
        <v>592</v>
      </c>
      <c r="B594" s="148"/>
      <c r="C594" s="148"/>
      <c r="D594" s="148"/>
      <c r="E594" s="148"/>
      <c r="F594" s="148"/>
      <c r="G594" s="148"/>
      <c r="H594" s="148"/>
      <c r="I594" s="148"/>
      <c r="J594" s="103" t="s">
        <v>2104</v>
      </c>
      <c r="K594" s="102" t="str">
        <f>_xlfn.XLOOKUP(L594,'99_マスタ'!$D$5:$D$18,'99_マスタ'!$C$5:$C$18,"")</f>
        <v>02_生販在</v>
      </c>
      <c r="L594" s="102" t="s">
        <v>2302</v>
      </c>
      <c r="M594" s="102" t="s">
        <v>1867</v>
      </c>
      <c r="N594" s="127" t="s">
        <v>139</v>
      </c>
      <c r="O594" s="60" t="s">
        <v>1868</v>
      </c>
      <c r="P594" s="60"/>
      <c r="Q594" s="60" t="s">
        <v>139</v>
      </c>
      <c r="R594" s="48" t="s">
        <v>139</v>
      </c>
      <c r="S594" s="48" t="s">
        <v>139</v>
      </c>
      <c r="T594" s="79" t="s">
        <v>1869</v>
      </c>
      <c r="U594" s="48" t="s">
        <v>139</v>
      </c>
      <c r="V594" s="48" t="s">
        <v>139</v>
      </c>
      <c r="W594" s="75" t="s">
        <v>139</v>
      </c>
      <c r="X594" s="48" t="s">
        <v>139</v>
      </c>
      <c r="Y594" s="79" t="s">
        <v>1125</v>
      </c>
      <c r="Z594" s="48" t="s">
        <v>139</v>
      </c>
      <c r="AA594" s="48" t="s">
        <v>139</v>
      </c>
      <c r="AB594" s="44"/>
      <c r="AC594" s="45"/>
      <c r="AD594" s="45"/>
      <c r="AE594" s="46"/>
      <c r="AF594" s="45"/>
      <c r="AG594" s="45"/>
      <c r="AH594" s="45"/>
      <c r="AI594" s="3" t="s">
        <v>1583</v>
      </c>
    </row>
    <row r="595" spans="1:35" ht="27">
      <c r="A595" s="144">
        <f t="shared" si="9"/>
        <v>593</v>
      </c>
      <c r="B595" s="148"/>
      <c r="C595" s="148"/>
      <c r="D595" s="148"/>
      <c r="E595" s="148"/>
      <c r="F595" s="148"/>
      <c r="G595" s="148"/>
      <c r="H595" s="148"/>
      <c r="I595" s="148"/>
      <c r="J595" s="103" t="s">
        <v>2104</v>
      </c>
      <c r="K595" s="102" t="str">
        <f>_xlfn.XLOOKUP(L595,'99_マスタ'!$D$5:$D$18,'99_マスタ'!$C$5:$C$18,"")</f>
        <v>02_生販在</v>
      </c>
      <c r="L595" s="102" t="s">
        <v>2302</v>
      </c>
      <c r="M595" s="102" t="s">
        <v>1808</v>
      </c>
      <c r="N595" s="127" t="s">
        <v>139</v>
      </c>
      <c r="O595" s="60" t="s">
        <v>1809</v>
      </c>
      <c r="P595" s="60"/>
      <c r="Q595" s="60" t="s">
        <v>139</v>
      </c>
      <c r="R595" s="48" t="s">
        <v>139</v>
      </c>
      <c r="S595" s="48" t="s">
        <v>139</v>
      </c>
      <c r="T595" s="79" t="s">
        <v>1810</v>
      </c>
      <c r="U595" s="48" t="s">
        <v>139</v>
      </c>
      <c r="V595" s="48" t="s">
        <v>139</v>
      </c>
      <c r="W595" s="75" t="s">
        <v>139</v>
      </c>
      <c r="X595" s="48" t="s">
        <v>139</v>
      </c>
      <c r="Y595" s="79" t="s">
        <v>1125</v>
      </c>
      <c r="Z595" s="48" t="s">
        <v>139</v>
      </c>
      <c r="AA595" s="48" t="s">
        <v>139</v>
      </c>
      <c r="AB595" s="44"/>
      <c r="AC595" s="45"/>
      <c r="AD595" s="45"/>
      <c r="AE595" s="46"/>
      <c r="AF595" s="45"/>
      <c r="AG595" s="45"/>
      <c r="AH595" s="45"/>
      <c r="AI595" s="3" t="s">
        <v>1583</v>
      </c>
    </row>
    <row r="596" spans="1:35">
      <c r="A596" s="144">
        <f t="shared" si="9"/>
        <v>594</v>
      </c>
      <c r="B596" s="148"/>
      <c r="C596" s="148"/>
      <c r="D596" s="148"/>
      <c r="E596" s="148"/>
      <c r="F596" s="148"/>
      <c r="G596" s="148"/>
      <c r="H596" s="148"/>
      <c r="I596" s="148"/>
      <c r="J596" s="103" t="s">
        <v>2104</v>
      </c>
      <c r="K596" s="102" t="str">
        <f>_xlfn.XLOOKUP(L596,'99_マスタ'!$D$5:$D$18,'99_マスタ'!$C$5:$C$18,"")</f>
        <v>02_生販在</v>
      </c>
      <c r="L596" s="102" t="s">
        <v>2302</v>
      </c>
      <c r="M596" s="102" t="s">
        <v>1792</v>
      </c>
      <c r="N596" s="127" t="s">
        <v>139</v>
      </c>
      <c r="O596" s="60" t="s">
        <v>1793</v>
      </c>
      <c r="P596" s="60"/>
      <c r="Q596" s="60" t="s">
        <v>139</v>
      </c>
      <c r="R596" s="48" t="s">
        <v>139</v>
      </c>
      <c r="S596" s="48" t="s">
        <v>139</v>
      </c>
      <c r="T596" s="79" t="s">
        <v>1778</v>
      </c>
      <c r="U596" s="48" t="s">
        <v>139</v>
      </c>
      <c r="V596" s="48" t="s">
        <v>139</v>
      </c>
      <c r="W596" s="75" t="s">
        <v>139</v>
      </c>
      <c r="X596" s="48" t="s">
        <v>139</v>
      </c>
      <c r="Y596" s="79" t="s">
        <v>1125</v>
      </c>
      <c r="Z596" s="48" t="s">
        <v>139</v>
      </c>
      <c r="AA596" s="48" t="s">
        <v>139</v>
      </c>
      <c r="AB596" s="44"/>
      <c r="AC596" s="45"/>
      <c r="AD596" s="45"/>
      <c r="AE596" s="46"/>
      <c r="AF596" s="45"/>
      <c r="AG596" s="45"/>
      <c r="AH596" s="45"/>
      <c r="AI596" s="3" t="s">
        <v>1583</v>
      </c>
    </row>
    <row r="597" spans="1:35" ht="40.5">
      <c r="A597" s="144">
        <f t="shared" si="9"/>
        <v>595</v>
      </c>
      <c r="B597" s="148"/>
      <c r="C597" s="148"/>
      <c r="D597" s="148"/>
      <c r="E597" s="148"/>
      <c r="F597" s="148"/>
      <c r="G597" s="148"/>
      <c r="H597" s="148"/>
      <c r="I597" s="148"/>
      <c r="J597" s="103" t="s">
        <v>2104</v>
      </c>
      <c r="K597" s="102" t="str">
        <f>_xlfn.XLOOKUP(L597,'99_マスタ'!$D$5:$D$18,'99_マスタ'!$C$5:$C$18,"")</f>
        <v>02_生販在</v>
      </c>
      <c r="L597" s="102" t="s">
        <v>2302</v>
      </c>
      <c r="M597" s="102" t="s">
        <v>1849</v>
      </c>
      <c r="N597" s="127" t="s">
        <v>1850</v>
      </c>
      <c r="O597" s="60" t="s">
        <v>1851</v>
      </c>
      <c r="P597" s="60"/>
      <c r="Q597" s="60" t="s">
        <v>139</v>
      </c>
      <c r="R597" s="48" t="s">
        <v>139</v>
      </c>
      <c r="S597" s="48" t="s">
        <v>139</v>
      </c>
      <c r="T597" s="79" t="s">
        <v>1845</v>
      </c>
      <c r="U597" s="48" t="s">
        <v>139</v>
      </c>
      <c r="V597" s="48" t="s">
        <v>139</v>
      </c>
      <c r="W597" s="75" t="s">
        <v>139</v>
      </c>
      <c r="X597" s="48" t="s">
        <v>139</v>
      </c>
      <c r="Y597" s="79" t="s">
        <v>1125</v>
      </c>
      <c r="Z597" s="48" t="s">
        <v>139</v>
      </c>
      <c r="AA597" s="48" t="s">
        <v>139</v>
      </c>
      <c r="AB597" s="44"/>
      <c r="AC597" s="45"/>
      <c r="AD597" s="45"/>
      <c r="AE597" s="46"/>
      <c r="AF597" s="45"/>
      <c r="AG597" s="45"/>
      <c r="AH597" s="45"/>
      <c r="AI597" s="3" t="s">
        <v>1583</v>
      </c>
    </row>
    <row r="598" spans="1:35" ht="27">
      <c r="A598" s="144">
        <f t="shared" si="9"/>
        <v>596</v>
      </c>
      <c r="B598" s="148"/>
      <c r="C598" s="148"/>
      <c r="D598" s="148"/>
      <c r="E598" s="148"/>
      <c r="F598" s="148"/>
      <c r="G598" s="148"/>
      <c r="H598" s="148"/>
      <c r="I598" s="148"/>
      <c r="J598" s="103" t="s">
        <v>2104</v>
      </c>
      <c r="K598" s="102" t="str">
        <f>_xlfn.XLOOKUP(L598,'99_マスタ'!$D$5:$D$18,'99_マスタ'!$C$5:$C$18,"")</f>
        <v>02_生販在</v>
      </c>
      <c r="L598" s="102" t="s">
        <v>2302</v>
      </c>
      <c r="M598" s="102" t="s">
        <v>1772</v>
      </c>
      <c r="N598" s="127" t="s">
        <v>139</v>
      </c>
      <c r="O598" s="60" t="s">
        <v>1773</v>
      </c>
      <c r="P598" s="60"/>
      <c r="Q598" s="60" t="s">
        <v>139</v>
      </c>
      <c r="R598" s="48" t="s">
        <v>139</v>
      </c>
      <c r="S598" s="48" t="s">
        <v>139</v>
      </c>
      <c r="T598" s="79" t="s">
        <v>1768</v>
      </c>
      <c r="U598" s="48" t="s">
        <v>139</v>
      </c>
      <c r="V598" s="48" t="s">
        <v>139</v>
      </c>
      <c r="W598" s="75" t="s">
        <v>139</v>
      </c>
      <c r="X598" s="48" t="s">
        <v>139</v>
      </c>
      <c r="Y598" s="79" t="s">
        <v>1125</v>
      </c>
      <c r="Z598" s="48" t="s">
        <v>139</v>
      </c>
      <c r="AA598" s="48" t="s">
        <v>139</v>
      </c>
      <c r="AB598" s="44"/>
      <c r="AC598" s="45"/>
      <c r="AD598" s="45"/>
      <c r="AE598" s="46"/>
      <c r="AF598" s="45"/>
      <c r="AG598" s="45"/>
      <c r="AH598" s="45"/>
      <c r="AI598" s="3" t="s">
        <v>1583</v>
      </c>
    </row>
    <row r="599" spans="1:35" ht="27">
      <c r="A599" s="144">
        <f t="shared" si="9"/>
        <v>597</v>
      </c>
      <c r="B599" s="148"/>
      <c r="C599" s="148"/>
      <c r="D599" s="148"/>
      <c r="E599" s="148"/>
      <c r="F599" s="148"/>
      <c r="G599" s="148"/>
      <c r="H599" s="148"/>
      <c r="I599" s="148"/>
      <c r="J599" s="103" t="s">
        <v>2104</v>
      </c>
      <c r="K599" s="102" t="str">
        <f>_xlfn.XLOOKUP(L599,'99_マスタ'!$D$5:$D$18,'99_マスタ'!$C$5:$C$18,"")</f>
        <v>02_生販在</v>
      </c>
      <c r="L599" s="102" t="s">
        <v>2302</v>
      </c>
      <c r="M599" s="102" t="s">
        <v>1774</v>
      </c>
      <c r="N599" s="127" t="s">
        <v>139</v>
      </c>
      <c r="O599" s="60" t="s">
        <v>1775</v>
      </c>
      <c r="P599" s="60"/>
      <c r="Q599" s="60" t="s">
        <v>139</v>
      </c>
      <c r="R599" s="48" t="s">
        <v>139</v>
      </c>
      <c r="S599" s="48" t="s">
        <v>139</v>
      </c>
      <c r="T599" s="79" t="s">
        <v>1768</v>
      </c>
      <c r="U599" s="48" t="s">
        <v>139</v>
      </c>
      <c r="V599" s="48" t="s">
        <v>139</v>
      </c>
      <c r="W599" s="75" t="s">
        <v>139</v>
      </c>
      <c r="X599" s="48" t="s">
        <v>139</v>
      </c>
      <c r="Y599" s="79" t="s">
        <v>1125</v>
      </c>
      <c r="Z599" s="48" t="s">
        <v>139</v>
      </c>
      <c r="AA599" s="48" t="s">
        <v>139</v>
      </c>
      <c r="AB599" s="44"/>
      <c r="AC599" s="45"/>
      <c r="AD599" s="45"/>
      <c r="AE599" s="46"/>
      <c r="AF599" s="45"/>
      <c r="AG599" s="45"/>
      <c r="AH599" s="45"/>
      <c r="AI599" s="3" t="s">
        <v>1583</v>
      </c>
    </row>
    <row r="600" spans="1:35" ht="27">
      <c r="A600" s="144">
        <f t="shared" si="9"/>
        <v>598</v>
      </c>
      <c r="B600" s="148"/>
      <c r="C600" s="148"/>
      <c r="D600" s="148"/>
      <c r="E600" s="148"/>
      <c r="F600" s="148"/>
      <c r="G600" s="148"/>
      <c r="H600" s="148"/>
      <c r="I600" s="148"/>
      <c r="J600" s="103" t="s">
        <v>2104</v>
      </c>
      <c r="K600" s="102" t="str">
        <f>_xlfn.XLOOKUP(L600,'99_マスタ'!$D$5:$D$18,'99_マスタ'!$C$5:$C$18,"")</f>
        <v>02_生販在</v>
      </c>
      <c r="L600" s="102" t="s">
        <v>2302</v>
      </c>
      <c r="M600" s="102" t="s">
        <v>1794</v>
      </c>
      <c r="N600" s="127" t="s">
        <v>139</v>
      </c>
      <c r="O600" s="60" t="s">
        <v>1795</v>
      </c>
      <c r="P600" s="60"/>
      <c r="Q600" s="60" t="s">
        <v>139</v>
      </c>
      <c r="R600" s="48" t="s">
        <v>139</v>
      </c>
      <c r="S600" s="48" t="s">
        <v>139</v>
      </c>
      <c r="T600" s="79" t="s">
        <v>1796</v>
      </c>
      <c r="U600" s="48" t="s">
        <v>139</v>
      </c>
      <c r="V600" s="48" t="s">
        <v>139</v>
      </c>
      <c r="W600" s="75" t="s">
        <v>139</v>
      </c>
      <c r="X600" s="48" t="s">
        <v>139</v>
      </c>
      <c r="Y600" s="79" t="s">
        <v>1125</v>
      </c>
      <c r="Z600" s="48" t="s">
        <v>139</v>
      </c>
      <c r="AA600" s="48" t="s">
        <v>139</v>
      </c>
      <c r="AB600" s="44"/>
      <c r="AC600" s="45"/>
      <c r="AD600" s="45"/>
      <c r="AE600" s="46"/>
      <c r="AF600" s="45"/>
      <c r="AG600" s="45"/>
      <c r="AH600" s="45"/>
      <c r="AI600" s="3" t="s">
        <v>1583</v>
      </c>
    </row>
    <row r="601" spans="1:35" ht="27">
      <c r="A601" s="144">
        <f t="shared" si="9"/>
        <v>599</v>
      </c>
      <c r="B601" s="148"/>
      <c r="C601" s="148"/>
      <c r="D601" s="148"/>
      <c r="E601" s="148"/>
      <c r="F601" s="148"/>
      <c r="G601" s="148"/>
      <c r="H601" s="148"/>
      <c r="I601" s="148"/>
      <c r="J601" s="103" t="s">
        <v>2104</v>
      </c>
      <c r="K601" s="102" t="str">
        <f>_xlfn.XLOOKUP(L601,'99_マスタ'!$D$5:$D$18,'99_マスタ'!$C$5:$C$18,"")</f>
        <v>02_生販在</v>
      </c>
      <c r="L601" s="102" t="s">
        <v>2302</v>
      </c>
      <c r="M601" s="102" t="s">
        <v>1724</v>
      </c>
      <c r="N601" s="127" t="s">
        <v>139</v>
      </c>
      <c r="O601" s="60" t="s">
        <v>1725</v>
      </c>
      <c r="P601" s="60"/>
      <c r="Q601" s="60" t="s">
        <v>139</v>
      </c>
      <c r="R601" s="48" t="s">
        <v>139</v>
      </c>
      <c r="S601" s="48" t="s">
        <v>139</v>
      </c>
      <c r="T601" s="79" t="s">
        <v>1726</v>
      </c>
      <c r="U601" s="48" t="s">
        <v>139</v>
      </c>
      <c r="V601" s="48" t="s">
        <v>139</v>
      </c>
      <c r="W601" s="75" t="s">
        <v>139</v>
      </c>
      <c r="X601" s="48" t="s">
        <v>139</v>
      </c>
      <c r="Y601" s="79" t="s">
        <v>1125</v>
      </c>
      <c r="Z601" s="48" t="s">
        <v>139</v>
      </c>
      <c r="AA601" s="48" t="s">
        <v>139</v>
      </c>
      <c r="AB601" s="44"/>
      <c r="AC601" s="45"/>
      <c r="AD601" s="45"/>
      <c r="AE601" s="46"/>
      <c r="AF601" s="45"/>
      <c r="AG601" s="45"/>
      <c r="AH601" s="45"/>
      <c r="AI601" s="3" t="s">
        <v>1583</v>
      </c>
    </row>
    <row r="602" spans="1:35">
      <c r="A602" s="144">
        <f t="shared" si="9"/>
        <v>600</v>
      </c>
      <c r="B602" s="148"/>
      <c r="C602" s="148"/>
      <c r="D602" s="148"/>
      <c r="E602" s="148"/>
      <c r="F602" s="148"/>
      <c r="G602" s="148"/>
      <c r="H602" s="148"/>
      <c r="I602" s="148"/>
      <c r="J602" s="103" t="s">
        <v>2104</v>
      </c>
      <c r="K602" s="102" t="str">
        <f>_xlfn.XLOOKUP(L602,'99_マスタ'!$D$5:$D$18,'99_マスタ'!$C$5:$C$18,"")</f>
        <v>02_生販在</v>
      </c>
      <c r="L602" s="99" t="s">
        <v>2302</v>
      </c>
      <c r="M602" s="102" t="s">
        <v>1779</v>
      </c>
      <c r="N602" s="127" t="s">
        <v>139</v>
      </c>
      <c r="O602" s="60" t="s">
        <v>1780</v>
      </c>
      <c r="P602" s="60"/>
      <c r="Q602" s="60" t="s">
        <v>139</v>
      </c>
      <c r="R602" s="48" t="s">
        <v>139</v>
      </c>
      <c r="S602" s="48" t="s">
        <v>139</v>
      </c>
      <c r="T602" s="79" t="s">
        <v>1778</v>
      </c>
      <c r="U602" s="48" t="s">
        <v>139</v>
      </c>
      <c r="V602" s="48" t="s">
        <v>139</v>
      </c>
      <c r="W602" s="75" t="s">
        <v>139</v>
      </c>
      <c r="X602" s="48" t="s">
        <v>139</v>
      </c>
      <c r="Y602" s="79" t="s">
        <v>1125</v>
      </c>
      <c r="Z602" s="48" t="s">
        <v>139</v>
      </c>
      <c r="AA602" s="48" t="s">
        <v>139</v>
      </c>
      <c r="AB602" s="44"/>
      <c r="AC602" s="45"/>
      <c r="AD602" s="45"/>
      <c r="AE602" s="46"/>
      <c r="AF602" s="45"/>
      <c r="AG602" s="45"/>
      <c r="AH602" s="45"/>
      <c r="AI602" s="3" t="s">
        <v>1583</v>
      </c>
    </row>
    <row r="603" spans="1:35" ht="27">
      <c r="A603" s="144">
        <f t="shared" si="9"/>
        <v>601</v>
      </c>
      <c r="B603" s="148"/>
      <c r="C603" s="148"/>
      <c r="D603" s="148"/>
      <c r="E603" s="148"/>
      <c r="F603" s="148"/>
      <c r="G603" s="148"/>
      <c r="H603" s="148"/>
      <c r="I603" s="148"/>
      <c r="J603" s="103" t="s">
        <v>2104</v>
      </c>
      <c r="K603" s="102" t="str">
        <f>_xlfn.XLOOKUP(L603,'99_マスタ'!$D$5:$D$18,'99_マスタ'!$C$5:$C$18,"")</f>
        <v>02_生販在</v>
      </c>
      <c r="L603" s="99" t="s">
        <v>2302</v>
      </c>
      <c r="M603" s="102" t="s">
        <v>1781</v>
      </c>
      <c r="N603" s="127" t="s">
        <v>139</v>
      </c>
      <c r="O603" s="60" t="s">
        <v>1782</v>
      </c>
      <c r="P603" s="60"/>
      <c r="Q603" s="60" t="s">
        <v>139</v>
      </c>
      <c r="R603" s="48" t="s">
        <v>139</v>
      </c>
      <c r="S603" s="48" t="s">
        <v>139</v>
      </c>
      <c r="T603" s="79" t="s">
        <v>1783</v>
      </c>
      <c r="U603" s="48" t="s">
        <v>139</v>
      </c>
      <c r="V603" s="48" t="s">
        <v>139</v>
      </c>
      <c r="W603" s="75" t="s">
        <v>139</v>
      </c>
      <c r="X603" s="48" t="s">
        <v>139</v>
      </c>
      <c r="Y603" s="79" t="s">
        <v>1125</v>
      </c>
      <c r="Z603" s="48" t="s">
        <v>139</v>
      </c>
      <c r="AA603" s="48" t="s">
        <v>139</v>
      </c>
      <c r="AB603" s="44"/>
      <c r="AC603" s="45"/>
      <c r="AD603" s="45"/>
      <c r="AE603" s="46"/>
      <c r="AF603" s="45"/>
      <c r="AG603" s="45"/>
      <c r="AH603" s="45"/>
      <c r="AI603" s="3" t="s">
        <v>1583</v>
      </c>
    </row>
    <row r="604" spans="1:35" ht="27">
      <c r="A604" s="144">
        <f t="shared" si="9"/>
        <v>602</v>
      </c>
      <c r="B604" s="148"/>
      <c r="C604" s="148"/>
      <c r="D604" s="148"/>
      <c r="E604" s="148"/>
      <c r="F604" s="148"/>
      <c r="G604" s="148"/>
      <c r="H604" s="148"/>
      <c r="I604" s="148"/>
      <c r="J604" s="98" t="s">
        <v>2104</v>
      </c>
      <c r="K604" s="99" t="str">
        <f>_xlfn.XLOOKUP(L604,'99_マスタ'!$D$5:$D$18,'99_マスタ'!$C$5:$C$18,"")</f>
        <v>02_生販在</v>
      </c>
      <c r="L604" s="99" t="s">
        <v>2303</v>
      </c>
      <c r="M604" s="99" t="s">
        <v>852</v>
      </c>
      <c r="N604" s="126" t="s">
        <v>139</v>
      </c>
      <c r="O604" s="40" t="s">
        <v>853</v>
      </c>
      <c r="P604" s="40"/>
      <c r="Q604" s="40" t="s">
        <v>139</v>
      </c>
      <c r="R604" s="41" t="s">
        <v>139</v>
      </c>
      <c r="S604" s="41" t="s">
        <v>139</v>
      </c>
      <c r="T604" s="41" t="s">
        <v>139</v>
      </c>
      <c r="U604" s="41" t="s">
        <v>842</v>
      </c>
      <c r="V604" s="41" t="s">
        <v>139</v>
      </c>
      <c r="W604" s="74" t="s">
        <v>139</v>
      </c>
      <c r="X604" s="41" t="s">
        <v>139</v>
      </c>
      <c r="Y604" s="41" t="s">
        <v>139</v>
      </c>
      <c r="Z604" s="41" t="s">
        <v>854</v>
      </c>
      <c r="AA604" s="41" t="s">
        <v>139</v>
      </c>
      <c r="AB604" s="44"/>
      <c r="AC604" s="45"/>
      <c r="AD604" s="45"/>
      <c r="AE604" s="46"/>
      <c r="AF604" s="45"/>
      <c r="AG604" s="45"/>
      <c r="AH604" s="45"/>
      <c r="AI604" s="3" t="s">
        <v>1583</v>
      </c>
    </row>
    <row r="605" spans="1:35" ht="40.5">
      <c r="A605" s="144">
        <f t="shared" si="9"/>
        <v>603</v>
      </c>
      <c r="B605" s="148"/>
      <c r="C605" s="148"/>
      <c r="D605" s="148"/>
      <c r="E605" s="148"/>
      <c r="F605" s="148"/>
      <c r="G605" s="148"/>
      <c r="H605" s="148"/>
      <c r="I605" s="148"/>
      <c r="J605" s="98" t="s">
        <v>2104</v>
      </c>
      <c r="K605" s="99" t="str">
        <f>_xlfn.XLOOKUP(L605,'99_マスタ'!$D$5:$D$18,'99_マスタ'!$C$5:$C$18,"")</f>
        <v>02_生販在</v>
      </c>
      <c r="L605" s="99" t="s">
        <v>2303</v>
      </c>
      <c r="M605" s="99" t="s">
        <v>850</v>
      </c>
      <c r="N605" s="126" t="s">
        <v>139</v>
      </c>
      <c r="O605" s="40" t="s">
        <v>3129</v>
      </c>
      <c r="P605" s="40"/>
      <c r="Q605" s="40" t="s">
        <v>139</v>
      </c>
      <c r="R605" s="41" t="s">
        <v>139</v>
      </c>
      <c r="S605" s="41" t="s">
        <v>139</v>
      </c>
      <c r="T605" s="41" t="s">
        <v>139</v>
      </c>
      <c r="U605" s="41" t="s">
        <v>842</v>
      </c>
      <c r="V605" s="41" t="s">
        <v>139</v>
      </c>
      <c r="W605" s="74" t="s">
        <v>139</v>
      </c>
      <c r="X605" s="41" t="s">
        <v>139</v>
      </c>
      <c r="Y605" s="41" t="s">
        <v>139</v>
      </c>
      <c r="Z605" s="41" t="s">
        <v>2714</v>
      </c>
      <c r="AA605" s="41" t="s">
        <v>139</v>
      </c>
      <c r="AB605" s="44"/>
      <c r="AC605" s="45"/>
      <c r="AD605" s="45"/>
      <c r="AE605" s="46"/>
      <c r="AF605" s="45"/>
      <c r="AG605" s="45"/>
      <c r="AH605" s="45"/>
      <c r="AI605" s="3" t="s">
        <v>1583</v>
      </c>
    </row>
    <row r="606" spans="1:35">
      <c r="A606" s="144">
        <f t="shared" si="9"/>
        <v>604</v>
      </c>
      <c r="B606" s="148"/>
      <c r="C606" s="148"/>
      <c r="D606" s="148"/>
      <c r="E606" s="148"/>
      <c r="F606" s="148"/>
      <c r="G606" s="148"/>
      <c r="H606" s="148"/>
      <c r="I606" s="148"/>
      <c r="J606" s="108" t="s">
        <v>2104</v>
      </c>
      <c r="K606" s="51" t="str">
        <f>_xlfn.XLOOKUP(L606,'99_マスタ'!$D$5:$D$18,'99_マスタ'!$C$5:$C$18,"")</f>
        <v>02_生販在</v>
      </c>
      <c r="L606" s="66" t="s">
        <v>2303</v>
      </c>
      <c r="M606" s="66" t="s">
        <v>3280</v>
      </c>
      <c r="N606" s="54" t="s">
        <v>3279</v>
      </c>
      <c r="O606" s="41" t="s">
        <v>497</v>
      </c>
      <c r="P606" s="41"/>
      <c r="Q606" s="41" t="s">
        <v>139</v>
      </c>
      <c r="R606" s="41" t="s">
        <v>498</v>
      </c>
      <c r="S606" s="41" t="s">
        <v>139</v>
      </c>
      <c r="T606" s="41" t="s">
        <v>139</v>
      </c>
      <c r="U606" s="41" t="s">
        <v>139</v>
      </c>
      <c r="V606" s="41" t="s">
        <v>139</v>
      </c>
      <c r="W606" s="73" t="s">
        <v>218</v>
      </c>
      <c r="X606" s="54" t="s">
        <v>139</v>
      </c>
      <c r="Y606" s="54" t="s">
        <v>139</v>
      </c>
      <c r="Z606" s="54" t="s">
        <v>139</v>
      </c>
      <c r="AA606" s="54" t="s">
        <v>139</v>
      </c>
      <c r="AB606" s="55"/>
      <c r="AC606" s="56"/>
      <c r="AD606" s="56"/>
      <c r="AE606" s="57"/>
      <c r="AF606" s="56"/>
      <c r="AG606" s="56"/>
      <c r="AH606" s="56"/>
      <c r="AI606" s="3" t="s">
        <v>1583</v>
      </c>
    </row>
    <row r="607" spans="1:35" ht="40.5">
      <c r="A607" s="144">
        <f t="shared" si="9"/>
        <v>605</v>
      </c>
      <c r="B607" s="148"/>
      <c r="C607" s="148"/>
      <c r="D607" s="148"/>
      <c r="E607" s="148"/>
      <c r="F607" s="148"/>
      <c r="G607" s="148"/>
      <c r="H607" s="148"/>
      <c r="I607" s="148"/>
      <c r="J607" s="98" t="s">
        <v>2104</v>
      </c>
      <c r="K607" s="51" t="str">
        <f>_xlfn.XLOOKUP(L607,'99_マスタ'!$D$5:$D$18,'99_マスタ'!$C$5:$C$18,"")</f>
        <v>02_生販在</v>
      </c>
      <c r="L607" s="66" t="s">
        <v>2303</v>
      </c>
      <c r="M607" s="109" t="s">
        <v>1307</v>
      </c>
      <c r="N607" s="126" t="s">
        <v>1308</v>
      </c>
      <c r="O607" s="40" t="s">
        <v>1309</v>
      </c>
      <c r="P607" s="40"/>
      <c r="Q607" s="40" t="s">
        <v>139</v>
      </c>
      <c r="R607" s="41" t="s">
        <v>1310</v>
      </c>
      <c r="S607" s="41" t="s">
        <v>139</v>
      </c>
      <c r="T607" s="41" t="s">
        <v>139</v>
      </c>
      <c r="U607" s="41" t="s">
        <v>139</v>
      </c>
      <c r="V607" s="41" t="s">
        <v>139</v>
      </c>
      <c r="W607" s="74" t="s">
        <v>117</v>
      </c>
      <c r="X607" s="41" t="s">
        <v>139</v>
      </c>
      <c r="Y607" s="41" t="s">
        <v>139</v>
      </c>
      <c r="Z607" s="41" t="s">
        <v>139</v>
      </c>
      <c r="AA607" s="41" t="s">
        <v>139</v>
      </c>
      <c r="AB607" s="44"/>
      <c r="AC607" s="45"/>
      <c r="AD607" s="45"/>
      <c r="AE607" s="46"/>
      <c r="AF607" s="45"/>
      <c r="AG607" s="45"/>
      <c r="AH607" s="45"/>
      <c r="AI607" s="3" t="s">
        <v>1583</v>
      </c>
    </row>
    <row r="608" spans="1:35">
      <c r="A608" s="144">
        <f t="shared" si="9"/>
        <v>606</v>
      </c>
      <c r="B608" s="148"/>
      <c r="C608" s="148"/>
      <c r="D608" s="148"/>
      <c r="E608" s="148"/>
      <c r="F608" s="148"/>
      <c r="G608" s="148"/>
      <c r="H608" s="148"/>
      <c r="I608" s="148"/>
      <c r="J608" s="98" t="s">
        <v>2104</v>
      </c>
      <c r="K608" s="51" t="str">
        <f>_xlfn.XLOOKUP(L608,'99_マスタ'!$D$5:$D$18,'99_マスタ'!$C$5:$C$18,"")</f>
        <v>02_生販在</v>
      </c>
      <c r="L608" s="66" t="s">
        <v>2303</v>
      </c>
      <c r="M608" s="66" t="s">
        <v>3246</v>
      </c>
      <c r="N608" s="54" t="s">
        <v>3247</v>
      </c>
      <c r="O608" s="41" t="s">
        <v>495</v>
      </c>
      <c r="P608" s="41"/>
      <c r="Q608" s="41" t="s">
        <v>139</v>
      </c>
      <c r="R608" s="41" t="s">
        <v>496</v>
      </c>
      <c r="S608" s="41" t="s">
        <v>139</v>
      </c>
      <c r="T608" s="41" t="s">
        <v>139</v>
      </c>
      <c r="U608" s="41" t="s">
        <v>139</v>
      </c>
      <c r="V608" s="41" t="s">
        <v>139</v>
      </c>
      <c r="W608" s="73" t="s">
        <v>213</v>
      </c>
      <c r="X608" s="54" t="s">
        <v>139</v>
      </c>
      <c r="Y608" s="54" t="s">
        <v>139</v>
      </c>
      <c r="Z608" s="54" t="s">
        <v>139</v>
      </c>
      <c r="AA608" s="54" t="s">
        <v>139</v>
      </c>
      <c r="AB608" s="55"/>
      <c r="AC608" s="56"/>
      <c r="AD608" s="56"/>
      <c r="AE608" s="57"/>
      <c r="AF608" s="56"/>
      <c r="AG608" s="56"/>
      <c r="AH608" s="56"/>
      <c r="AI608" s="3" t="s">
        <v>1583</v>
      </c>
    </row>
    <row r="609" spans="1:35" ht="40.5">
      <c r="A609" s="144">
        <f t="shared" si="9"/>
        <v>607</v>
      </c>
      <c r="B609" s="148"/>
      <c r="C609" s="148"/>
      <c r="D609" s="148"/>
      <c r="E609" s="148"/>
      <c r="F609" s="148"/>
      <c r="G609" s="148"/>
      <c r="H609" s="148"/>
      <c r="I609" s="148"/>
      <c r="J609" s="98" t="s">
        <v>2104</v>
      </c>
      <c r="K609" s="51" t="str">
        <f>_xlfn.XLOOKUP(L609,'99_マスタ'!$D$5:$D$18,'99_マスタ'!$C$5:$C$18,"")</f>
        <v>02_生販在</v>
      </c>
      <c r="L609" s="66" t="s">
        <v>2303</v>
      </c>
      <c r="M609" s="109" t="s">
        <v>1325</v>
      </c>
      <c r="N609" s="126" t="s">
        <v>1326</v>
      </c>
      <c r="O609" s="40" t="s">
        <v>1327</v>
      </c>
      <c r="P609" s="40"/>
      <c r="Q609" s="40" t="s">
        <v>139</v>
      </c>
      <c r="R609" s="41" t="s">
        <v>1328</v>
      </c>
      <c r="S609" s="41" t="s">
        <v>139</v>
      </c>
      <c r="T609" s="41" t="s">
        <v>139</v>
      </c>
      <c r="U609" s="41" t="s">
        <v>139</v>
      </c>
      <c r="V609" s="41" t="s">
        <v>139</v>
      </c>
      <c r="W609" s="74" t="s">
        <v>117</v>
      </c>
      <c r="X609" s="41" t="s">
        <v>139</v>
      </c>
      <c r="Y609" s="41" t="s">
        <v>139</v>
      </c>
      <c r="Z609" s="41" t="s">
        <v>139</v>
      </c>
      <c r="AA609" s="41" t="s">
        <v>139</v>
      </c>
      <c r="AB609" s="44"/>
      <c r="AC609" s="45"/>
      <c r="AD609" s="45"/>
      <c r="AE609" s="46"/>
      <c r="AF609" s="45"/>
      <c r="AG609" s="45"/>
      <c r="AH609" s="45"/>
      <c r="AI609" s="3" t="s">
        <v>1583</v>
      </c>
    </row>
    <row r="610" spans="1:35">
      <c r="A610" s="144">
        <f t="shared" si="9"/>
        <v>608</v>
      </c>
      <c r="B610" s="148"/>
      <c r="C610" s="148"/>
      <c r="D610" s="148"/>
      <c r="E610" s="148"/>
      <c r="F610" s="148"/>
      <c r="G610" s="148"/>
      <c r="H610" s="148"/>
      <c r="I610" s="148"/>
      <c r="J610" s="98" t="s">
        <v>2104</v>
      </c>
      <c r="K610" s="51" t="str">
        <f>_xlfn.XLOOKUP(L610,'99_マスタ'!$D$5:$D$18,'99_マスタ'!$C$5:$C$18,"")</f>
        <v>02_生販在</v>
      </c>
      <c r="L610" s="67" t="s">
        <v>2303</v>
      </c>
      <c r="M610" s="67" t="s">
        <v>3248</v>
      </c>
      <c r="N610" s="54" t="s">
        <v>3249</v>
      </c>
      <c r="O610" s="41" t="s">
        <v>436</v>
      </c>
      <c r="P610" s="41"/>
      <c r="Q610" s="41" t="s">
        <v>139</v>
      </c>
      <c r="R610" s="41" t="s">
        <v>437</v>
      </c>
      <c r="S610" s="41" t="s">
        <v>139</v>
      </c>
      <c r="T610" s="41" t="s">
        <v>139</v>
      </c>
      <c r="U610" s="41" t="s">
        <v>139</v>
      </c>
      <c r="V610" s="41" t="s">
        <v>139</v>
      </c>
      <c r="W610" s="73" t="s">
        <v>438</v>
      </c>
      <c r="X610" s="54" t="s">
        <v>139</v>
      </c>
      <c r="Y610" s="54" t="s">
        <v>139</v>
      </c>
      <c r="Z610" s="54" t="s">
        <v>139</v>
      </c>
      <c r="AA610" s="54" t="s">
        <v>139</v>
      </c>
      <c r="AB610" s="55"/>
      <c r="AC610" s="56"/>
      <c r="AD610" s="56"/>
      <c r="AE610" s="57"/>
      <c r="AF610" s="56"/>
      <c r="AG610" s="56"/>
      <c r="AH610" s="56"/>
      <c r="AI610" s="3" t="s">
        <v>1583</v>
      </c>
    </row>
    <row r="611" spans="1:35" ht="27">
      <c r="A611" s="144">
        <f t="shared" si="9"/>
        <v>609</v>
      </c>
      <c r="B611" s="148"/>
      <c r="C611" s="148"/>
      <c r="D611" s="148"/>
      <c r="E611" s="148"/>
      <c r="F611" s="148"/>
      <c r="G611" s="148"/>
      <c r="H611" s="148"/>
      <c r="I611" s="148"/>
      <c r="J611" s="98" t="s">
        <v>2104</v>
      </c>
      <c r="K611" s="51" t="str">
        <f>_xlfn.XLOOKUP(L611,'99_マスタ'!$D$5:$D$18,'99_マスタ'!$C$5:$C$18,"")</f>
        <v>02_生販在</v>
      </c>
      <c r="L611" s="52" t="s">
        <v>2303</v>
      </c>
      <c r="M611" s="52" t="s">
        <v>2775</v>
      </c>
      <c r="N611" s="54" t="s">
        <v>139</v>
      </c>
      <c r="O611" s="41" t="s">
        <v>2777</v>
      </c>
      <c r="P611" s="41"/>
      <c r="Q611" s="41" t="s">
        <v>139</v>
      </c>
      <c r="R611" s="41" t="s">
        <v>464</v>
      </c>
      <c r="S611" s="41" t="s">
        <v>139</v>
      </c>
      <c r="T611" s="41" t="s">
        <v>139</v>
      </c>
      <c r="U611" s="41" t="s">
        <v>2779</v>
      </c>
      <c r="V611" s="41" t="s">
        <v>139</v>
      </c>
      <c r="W611" s="73" t="s">
        <v>163</v>
      </c>
      <c r="X611" s="54" t="s">
        <v>139</v>
      </c>
      <c r="Y611" s="54" t="s">
        <v>139</v>
      </c>
      <c r="Z611" s="54" t="s">
        <v>2780</v>
      </c>
      <c r="AA611" s="54" t="s">
        <v>139</v>
      </c>
      <c r="AB611" s="55"/>
      <c r="AC611" s="56"/>
      <c r="AD611" s="56"/>
      <c r="AE611" s="57"/>
      <c r="AF611" s="56"/>
      <c r="AG611" s="56"/>
      <c r="AH611" s="56"/>
      <c r="AI611" s="3" t="s">
        <v>1583</v>
      </c>
    </row>
    <row r="612" spans="1:35" ht="27">
      <c r="A612" s="144">
        <f t="shared" si="9"/>
        <v>610</v>
      </c>
      <c r="B612" s="148"/>
      <c r="C612" s="148"/>
      <c r="D612" s="148"/>
      <c r="E612" s="148"/>
      <c r="F612" s="148"/>
      <c r="G612" s="148"/>
      <c r="H612" s="148"/>
      <c r="I612" s="148"/>
      <c r="J612" s="98" t="s">
        <v>2104</v>
      </c>
      <c r="K612" s="51" t="str">
        <f>_xlfn.XLOOKUP(L612,'99_マスタ'!$D$5:$D$18,'99_マスタ'!$C$5:$C$18,"")</f>
        <v>02_生販在</v>
      </c>
      <c r="L612" s="52" t="s">
        <v>2303</v>
      </c>
      <c r="M612" s="52" t="s">
        <v>2776</v>
      </c>
      <c r="N612" s="54" t="s">
        <v>139</v>
      </c>
      <c r="O612" s="41" t="s">
        <v>2778</v>
      </c>
      <c r="P612" s="41"/>
      <c r="Q612" s="41" t="s">
        <v>139</v>
      </c>
      <c r="R612" s="41" t="s">
        <v>464</v>
      </c>
      <c r="S612" s="41" t="s">
        <v>139</v>
      </c>
      <c r="T612" s="41" t="s">
        <v>139</v>
      </c>
      <c r="U612" s="41" t="s">
        <v>2779</v>
      </c>
      <c r="V612" s="41" t="s">
        <v>139</v>
      </c>
      <c r="W612" s="73" t="s">
        <v>163</v>
      </c>
      <c r="X612" s="54" t="s">
        <v>139</v>
      </c>
      <c r="Y612" s="54" t="s">
        <v>139</v>
      </c>
      <c r="Z612" s="54" t="s">
        <v>2780</v>
      </c>
      <c r="AA612" s="54" t="s">
        <v>139</v>
      </c>
      <c r="AB612" s="55"/>
      <c r="AC612" s="56"/>
      <c r="AD612" s="56"/>
      <c r="AE612" s="57"/>
      <c r="AF612" s="56"/>
      <c r="AG612" s="56"/>
      <c r="AH612" s="56"/>
      <c r="AI612" s="3" t="s">
        <v>1583</v>
      </c>
    </row>
    <row r="613" spans="1:35" ht="27">
      <c r="A613" s="144">
        <f t="shared" si="9"/>
        <v>611</v>
      </c>
      <c r="B613" s="148"/>
      <c r="C613" s="148"/>
      <c r="D613" s="148"/>
      <c r="E613" s="148"/>
      <c r="F613" s="148"/>
      <c r="G613" s="148"/>
      <c r="H613" s="148"/>
      <c r="I613" s="148"/>
      <c r="J613" s="98" t="s">
        <v>2104</v>
      </c>
      <c r="K613" s="51" t="str">
        <f>_xlfn.XLOOKUP(L613,'99_マスタ'!$D$5:$D$18,'99_マスタ'!$C$5:$C$18,"")</f>
        <v>02_生販在</v>
      </c>
      <c r="L613" s="67" t="s">
        <v>2303</v>
      </c>
      <c r="M613" s="67" t="s">
        <v>3283</v>
      </c>
      <c r="N613" s="54" t="s">
        <v>3284</v>
      </c>
      <c r="O613" s="41" t="s">
        <v>398</v>
      </c>
      <c r="P613" s="41" t="s">
        <v>399</v>
      </c>
      <c r="Q613" s="41" t="s">
        <v>139</v>
      </c>
      <c r="R613" s="41" t="s">
        <v>400</v>
      </c>
      <c r="S613" s="41" t="s">
        <v>139</v>
      </c>
      <c r="T613" s="41" t="s">
        <v>139</v>
      </c>
      <c r="U613" s="41" t="s">
        <v>139</v>
      </c>
      <c r="V613" s="41" t="s">
        <v>139</v>
      </c>
      <c r="W613" s="73" t="s">
        <v>401</v>
      </c>
      <c r="X613" s="54" t="s">
        <v>139</v>
      </c>
      <c r="Y613" s="54" t="s">
        <v>139</v>
      </c>
      <c r="Z613" s="54" t="s">
        <v>139</v>
      </c>
      <c r="AA613" s="54" t="s">
        <v>139</v>
      </c>
      <c r="AB613" s="55"/>
      <c r="AC613" s="56"/>
      <c r="AD613" s="56"/>
      <c r="AE613" s="57"/>
      <c r="AF613" s="56"/>
      <c r="AG613" s="56"/>
      <c r="AH613" s="56"/>
      <c r="AI613" s="3" t="s">
        <v>1583</v>
      </c>
    </row>
    <row r="614" spans="1:35" ht="27">
      <c r="A614" s="144">
        <f t="shared" si="9"/>
        <v>612</v>
      </c>
      <c r="B614" s="148"/>
      <c r="C614" s="148"/>
      <c r="D614" s="148"/>
      <c r="E614" s="148"/>
      <c r="F614" s="148"/>
      <c r="G614" s="148"/>
      <c r="H614" s="148"/>
      <c r="I614" s="148"/>
      <c r="J614" s="98" t="s">
        <v>2104</v>
      </c>
      <c r="K614" s="51" t="str">
        <f>_xlfn.XLOOKUP(L614,'99_マスタ'!$D$5:$D$18,'99_マスタ'!$C$5:$C$18,"")</f>
        <v>02_生販在</v>
      </c>
      <c r="L614" s="52" t="s">
        <v>2303</v>
      </c>
      <c r="M614" s="52" t="s">
        <v>2879</v>
      </c>
      <c r="N614" s="54" t="s">
        <v>1637</v>
      </c>
      <c r="O614" s="41" t="s">
        <v>2884</v>
      </c>
      <c r="P614" s="41"/>
      <c r="Q614" s="41"/>
      <c r="R614" s="41" t="s">
        <v>2887</v>
      </c>
      <c r="S614" s="41" t="s">
        <v>139</v>
      </c>
      <c r="T614" s="41" t="s">
        <v>139</v>
      </c>
      <c r="U614" s="41" t="s">
        <v>139</v>
      </c>
      <c r="V614" s="41" t="s">
        <v>139</v>
      </c>
      <c r="W614" s="73" t="s">
        <v>235</v>
      </c>
      <c r="X614" s="54" t="s">
        <v>139</v>
      </c>
      <c r="Y614" s="54" t="s">
        <v>139</v>
      </c>
      <c r="Z614" s="54" t="s">
        <v>139</v>
      </c>
      <c r="AA614" s="54" t="s">
        <v>139</v>
      </c>
      <c r="AB614" s="55"/>
      <c r="AC614" s="56"/>
      <c r="AD614" s="56"/>
      <c r="AE614" s="57"/>
      <c r="AF614" s="56"/>
      <c r="AG614" s="56"/>
      <c r="AH614" s="56"/>
      <c r="AI614" s="3" t="s">
        <v>1583</v>
      </c>
    </row>
    <row r="615" spans="1:35" ht="27">
      <c r="A615" s="144">
        <f t="shared" si="9"/>
        <v>613</v>
      </c>
      <c r="B615" s="148"/>
      <c r="C615" s="148"/>
      <c r="D615" s="148"/>
      <c r="E615" s="148"/>
      <c r="F615" s="148"/>
      <c r="G615" s="148"/>
      <c r="H615" s="148"/>
      <c r="I615" s="148"/>
      <c r="J615" s="98" t="s">
        <v>2104</v>
      </c>
      <c r="K615" s="51" t="str">
        <f>_xlfn.XLOOKUP(L615,'99_マスタ'!$D$5:$D$18,'99_マスタ'!$C$5:$C$18,"")</f>
        <v>02_生販在</v>
      </c>
      <c r="L615" s="52" t="s">
        <v>2303</v>
      </c>
      <c r="M615" s="52" t="s">
        <v>2880</v>
      </c>
      <c r="N615" s="54" t="s">
        <v>1637</v>
      </c>
      <c r="O615" s="41" t="s">
        <v>2885</v>
      </c>
      <c r="P615" s="41"/>
      <c r="Q615" s="41"/>
      <c r="R615" s="41" t="s">
        <v>2887</v>
      </c>
      <c r="S615" s="41" t="s">
        <v>139</v>
      </c>
      <c r="T615" s="41" t="s">
        <v>139</v>
      </c>
      <c r="U615" s="41" t="s">
        <v>139</v>
      </c>
      <c r="V615" s="41" t="s">
        <v>139</v>
      </c>
      <c r="W615" s="73" t="s">
        <v>235</v>
      </c>
      <c r="X615" s="54" t="s">
        <v>139</v>
      </c>
      <c r="Y615" s="54" t="s">
        <v>139</v>
      </c>
      <c r="Z615" s="54" t="s">
        <v>139</v>
      </c>
      <c r="AA615" s="54" t="s">
        <v>139</v>
      </c>
      <c r="AB615" s="55"/>
      <c r="AC615" s="56"/>
      <c r="AD615" s="56"/>
      <c r="AE615" s="57"/>
      <c r="AF615" s="56"/>
      <c r="AG615" s="56"/>
      <c r="AH615" s="56"/>
      <c r="AI615" s="3" t="s">
        <v>1583</v>
      </c>
    </row>
    <row r="616" spans="1:35" ht="40.5">
      <c r="A616" s="144">
        <f t="shared" si="9"/>
        <v>614</v>
      </c>
      <c r="B616" s="148"/>
      <c r="C616" s="148"/>
      <c r="D616" s="148"/>
      <c r="E616" s="148"/>
      <c r="F616" s="148"/>
      <c r="G616" s="148"/>
      <c r="H616" s="148"/>
      <c r="I616" s="148"/>
      <c r="J616" s="98" t="s">
        <v>2104</v>
      </c>
      <c r="K616" s="101" t="str">
        <f>_xlfn.XLOOKUP(L616,'99_マスタ'!$D$5:$D$18,'99_マスタ'!$C$5:$C$18,"")</f>
        <v>02_生販在</v>
      </c>
      <c r="L616" s="113" t="s">
        <v>2303</v>
      </c>
      <c r="M616" s="113" t="s">
        <v>3287</v>
      </c>
      <c r="N616" s="126" t="s">
        <v>3288</v>
      </c>
      <c r="O616" s="40" t="s">
        <v>1149</v>
      </c>
      <c r="P616" s="40"/>
      <c r="Q616" s="40" t="s">
        <v>139</v>
      </c>
      <c r="R616" s="41" t="s">
        <v>1150</v>
      </c>
      <c r="S616" s="41" t="s">
        <v>139</v>
      </c>
      <c r="T616" s="41" t="s">
        <v>139</v>
      </c>
      <c r="U616" s="41" t="s">
        <v>139</v>
      </c>
      <c r="V616" s="41" t="s">
        <v>139</v>
      </c>
      <c r="W616" s="74" t="s">
        <v>235</v>
      </c>
      <c r="X616" s="41" t="s">
        <v>139</v>
      </c>
      <c r="Y616" s="41" t="s">
        <v>139</v>
      </c>
      <c r="Z616" s="41" t="s">
        <v>139</v>
      </c>
      <c r="AA616" s="41" t="s">
        <v>139</v>
      </c>
      <c r="AB616" s="44"/>
      <c r="AC616" s="45"/>
      <c r="AD616" s="45"/>
      <c r="AE616" s="46"/>
      <c r="AF616" s="45"/>
      <c r="AG616" s="45"/>
      <c r="AH616" s="45"/>
      <c r="AI616" s="3" t="s">
        <v>1583</v>
      </c>
    </row>
    <row r="617" spans="1:35">
      <c r="A617" s="144">
        <f t="shared" si="9"/>
        <v>615</v>
      </c>
      <c r="B617" s="148"/>
      <c r="C617" s="148"/>
      <c r="D617" s="148"/>
      <c r="E617" s="148"/>
      <c r="F617" s="148"/>
      <c r="G617" s="148"/>
      <c r="H617" s="148"/>
      <c r="I617" s="148"/>
      <c r="J617" s="103" t="s">
        <v>2104</v>
      </c>
      <c r="K617" s="105" t="str">
        <f>_xlfn.XLOOKUP(L617,'99_マスタ'!$D$5:$D$18,'99_マスタ'!$C$5:$C$18,"")</f>
        <v>02_生販在</v>
      </c>
      <c r="L617" s="100" t="s">
        <v>2303</v>
      </c>
      <c r="M617" s="100" t="s">
        <v>2064</v>
      </c>
      <c r="N617" s="126" t="s">
        <v>1637</v>
      </c>
      <c r="O617" s="40" t="s">
        <v>2065</v>
      </c>
      <c r="P617" s="40"/>
      <c r="Q617" s="40" t="s">
        <v>1637</v>
      </c>
      <c r="R617" s="41" t="s">
        <v>139</v>
      </c>
      <c r="S617" s="41" t="s">
        <v>139</v>
      </c>
      <c r="T617" s="41" t="s">
        <v>139</v>
      </c>
      <c r="U617" s="41" t="s">
        <v>139</v>
      </c>
      <c r="V617" s="41" t="s">
        <v>1891</v>
      </c>
      <c r="W617" s="74" t="s">
        <v>139</v>
      </c>
      <c r="X617" s="41" t="s">
        <v>139</v>
      </c>
      <c r="Y617" s="41" t="s">
        <v>139</v>
      </c>
      <c r="Z617" s="41" t="s">
        <v>139</v>
      </c>
      <c r="AA617" s="41" t="s">
        <v>1892</v>
      </c>
      <c r="AB617" s="44"/>
      <c r="AC617" s="45"/>
      <c r="AD617" s="45"/>
      <c r="AE617" s="46"/>
      <c r="AF617" s="45"/>
      <c r="AG617" s="45"/>
      <c r="AH617" s="45"/>
      <c r="AI617" s="3" t="s">
        <v>1583</v>
      </c>
    </row>
    <row r="618" spans="1:35" ht="40.5">
      <c r="A618" s="144">
        <f t="shared" si="9"/>
        <v>616</v>
      </c>
      <c r="B618" s="148"/>
      <c r="C618" s="148"/>
      <c r="D618" s="148"/>
      <c r="E618" s="148"/>
      <c r="F618" s="148"/>
      <c r="G618" s="148"/>
      <c r="H618" s="148"/>
      <c r="I618" s="148"/>
      <c r="J618" s="98" t="s">
        <v>2104</v>
      </c>
      <c r="K618" s="51" t="str">
        <f>_xlfn.XLOOKUP(L618,'99_マスタ'!$D$5:$D$18,'99_マスタ'!$C$5:$C$18,"")</f>
        <v>02_生販在</v>
      </c>
      <c r="L618" s="114" t="s">
        <v>2303</v>
      </c>
      <c r="M618" s="109" t="s">
        <v>1329</v>
      </c>
      <c r="N618" s="126" t="s">
        <v>1330</v>
      </c>
      <c r="O618" s="40" t="s">
        <v>1331</v>
      </c>
      <c r="P618" s="40"/>
      <c r="Q618" s="40" t="s">
        <v>139</v>
      </c>
      <c r="R618" s="41" t="s">
        <v>1332</v>
      </c>
      <c r="S618" s="41" t="s">
        <v>139</v>
      </c>
      <c r="T618" s="41" t="s">
        <v>139</v>
      </c>
      <c r="U618" s="41" t="s">
        <v>139</v>
      </c>
      <c r="V618" s="41" t="s">
        <v>139</v>
      </c>
      <c r="W618" s="74" t="s">
        <v>1277</v>
      </c>
      <c r="X618" s="41" t="s">
        <v>139</v>
      </c>
      <c r="Y618" s="41" t="s">
        <v>139</v>
      </c>
      <c r="Z618" s="41" t="s">
        <v>139</v>
      </c>
      <c r="AA618" s="41" t="s">
        <v>139</v>
      </c>
      <c r="AB618" s="44"/>
      <c r="AC618" s="45"/>
      <c r="AD618" s="45"/>
      <c r="AE618" s="46"/>
      <c r="AF618" s="45"/>
      <c r="AG618" s="45"/>
      <c r="AH618" s="45"/>
      <c r="AI618" s="3" t="s">
        <v>1583</v>
      </c>
    </row>
    <row r="619" spans="1:35" ht="40.5">
      <c r="A619" s="144">
        <f t="shared" si="9"/>
        <v>617</v>
      </c>
      <c r="B619" s="148"/>
      <c r="C619" s="148"/>
      <c r="D619" s="148"/>
      <c r="E619" s="148"/>
      <c r="F619" s="148"/>
      <c r="G619" s="148"/>
      <c r="H619" s="148"/>
      <c r="I619" s="148"/>
      <c r="J619" s="98" t="s">
        <v>2104</v>
      </c>
      <c r="K619" s="51" t="str">
        <f>_xlfn.XLOOKUP(L619,'99_マスタ'!$D$5:$D$18,'99_マスタ'!$C$5:$C$18,"")</f>
        <v>02_生販在</v>
      </c>
      <c r="L619" s="114" t="s">
        <v>2303</v>
      </c>
      <c r="M619" s="109" t="s">
        <v>1226</v>
      </c>
      <c r="N619" s="126" t="s">
        <v>1227</v>
      </c>
      <c r="O619" s="40" t="s">
        <v>1228</v>
      </c>
      <c r="P619" s="40"/>
      <c r="Q619" s="40" t="s">
        <v>139</v>
      </c>
      <c r="R619" s="41" t="s">
        <v>1229</v>
      </c>
      <c r="S619" s="41" t="s">
        <v>139</v>
      </c>
      <c r="T619" s="41" t="s">
        <v>139</v>
      </c>
      <c r="U619" s="41" t="s">
        <v>139</v>
      </c>
      <c r="V619" s="41" t="s">
        <v>139</v>
      </c>
      <c r="W619" s="74" t="s">
        <v>163</v>
      </c>
      <c r="X619" s="41" t="s">
        <v>139</v>
      </c>
      <c r="Y619" s="41" t="s">
        <v>139</v>
      </c>
      <c r="Z619" s="41" t="s">
        <v>139</v>
      </c>
      <c r="AA619" s="41" t="s">
        <v>139</v>
      </c>
      <c r="AB619" s="44"/>
      <c r="AC619" s="45"/>
      <c r="AD619" s="45"/>
      <c r="AE619" s="46"/>
      <c r="AF619" s="45"/>
      <c r="AG619" s="45"/>
      <c r="AH619" s="45"/>
      <c r="AI619" s="3" t="s">
        <v>1583</v>
      </c>
    </row>
    <row r="620" spans="1:35" ht="67.5">
      <c r="A620" s="144">
        <f t="shared" si="9"/>
        <v>618</v>
      </c>
      <c r="B620" s="148"/>
      <c r="C620" s="148"/>
      <c r="D620" s="148"/>
      <c r="E620" s="148"/>
      <c r="F620" s="148"/>
      <c r="G620" s="148"/>
      <c r="H620" s="148"/>
      <c r="I620" s="148"/>
      <c r="J620" s="98" t="s">
        <v>2104</v>
      </c>
      <c r="K620" s="51" t="str">
        <f>_xlfn.XLOOKUP(L620,'99_マスタ'!$D$5:$D$18,'99_マスタ'!$C$5:$C$18,"")</f>
        <v>02_生販在</v>
      </c>
      <c r="L620" s="114" t="s">
        <v>2303</v>
      </c>
      <c r="M620" s="109" t="s">
        <v>1177</v>
      </c>
      <c r="N620" s="126" t="s">
        <v>1178</v>
      </c>
      <c r="O620" s="40" t="s">
        <v>1179</v>
      </c>
      <c r="P620" s="40"/>
      <c r="Q620" s="40" t="s">
        <v>192</v>
      </c>
      <c r="R620" s="41" t="s">
        <v>1180</v>
      </c>
      <c r="S620" s="41" t="s">
        <v>139</v>
      </c>
      <c r="T620" s="41" t="s">
        <v>139</v>
      </c>
      <c r="U620" s="41" t="s">
        <v>139</v>
      </c>
      <c r="V620" s="41" t="s">
        <v>139</v>
      </c>
      <c r="W620" s="74" t="s">
        <v>361</v>
      </c>
      <c r="X620" s="41" t="s">
        <v>139</v>
      </c>
      <c r="Y620" s="41" t="s">
        <v>139</v>
      </c>
      <c r="Z620" s="41" t="s">
        <v>139</v>
      </c>
      <c r="AA620" s="41" t="s">
        <v>139</v>
      </c>
      <c r="AB620" s="44"/>
      <c r="AC620" s="45"/>
      <c r="AD620" s="45"/>
      <c r="AE620" s="46"/>
      <c r="AF620" s="45"/>
      <c r="AG620" s="45"/>
      <c r="AH620" s="45"/>
      <c r="AI620" s="3" t="s">
        <v>1583</v>
      </c>
    </row>
    <row r="621" spans="1:35" ht="40.5">
      <c r="A621" s="144">
        <f t="shared" si="9"/>
        <v>619</v>
      </c>
      <c r="B621" s="148"/>
      <c r="C621" s="148"/>
      <c r="D621" s="148"/>
      <c r="E621" s="148"/>
      <c r="F621" s="148"/>
      <c r="G621" s="148"/>
      <c r="H621" s="148"/>
      <c r="I621" s="148"/>
      <c r="J621" s="115" t="s">
        <v>2104</v>
      </c>
      <c r="K621" s="51" t="str">
        <f>_xlfn.XLOOKUP(L621,'99_マスタ'!$D$5:$D$18,'99_マスタ'!$C$5:$C$18,"")</f>
        <v>02_生販在</v>
      </c>
      <c r="L621" s="114" t="s">
        <v>2303</v>
      </c>
      <c r="M621" s="109" t="s">
        <v>1181</v>
      </c>
      <c r="N621" s="126" t="s">
        <v>1182</v>
      </c>
      <c r="O621" s="40" t="s">
        <v>1183</v>
      </c>
      <c r="P621" s="40"/>
      <c r="Q621" s="40" t="s">
        <v>139</v>
      </c>
      <c r="R621" s="41" t="s">
        <v>1184</v>
      </c>
      <c r="S621" s="41" t="s">
        <v>139</v>
      </c>
      <c r="T621" s="41" t="s">
        <v>139</v>
      </c>
      <c r="U621" s="41" t="s">
        <v>139</v>
      </c>
      <c r="V621" s="41" t="s">
        <v>139</v>
      </c>
      <c r="W621" s="74" t="s">
        <v>163</v>
      </c>
      <c r="X621" s="41" t="s">
        <v>139</v>
      </c>
      <c r="Y621" s="41" t="s">
        <v>139</v>
      </c>
      <c r="Z621" s="41" t="s">
        <v>139</v>
      </c>
      <c r="AA621" s="41" t="s">
        <v>139</v>
      </c>
      <c r="AB621" s="44"/>
      <c r="AC621" s="45"/>
      <c r="AD621" s="45"/>
      <c r="AE621" s="46"/>
      <c r="AF621" s="45"/>
      <c r="AG621" s="45"/>
      <c r="AH621" s="45"/>
      <c r="AI621" s="3" t="s">
        <v>1583</v>
      </c>
    </row>
    <row r="622" spans="1:35" ht="27">
      <c r="A622" s="144">
        <f t="shared" si="9"/>
        <v>620</v>
      </c>
      <c r="B622" s="148"/>
      <c r="C622" s="148"/>
      <c r="D622" s="148"/>
      <c r="E622" s="148"/>
      <c r="F622" s="148"/>
      <c r="G622" s="148"/>
      <c r="H622" s="148"/>
      <c r="I622" s="148"/>
      <c r="J622" s="98" t="s">
        <v>2104</v>
      </c>
      <c r="K622" s="99" t="str">
        <f>_xlfn.XLOOKUP(L622,'99_マスタ'!$D$5:$D$18,'99_マスタ'!$C$5:$C$18,"")</f>
        <v>02_生販在</v>
      </c>
      <c r="L622" s="114" t="s">
        <v>2303</v>
      </c>
      <c r="M622" s="99" t="s">
        <v>3259</v>
      </c>
      <c r="N622" s="126" t="s">
        <v>3260</v>
      </c>
      <c r="O622" s="40" t="s">
        <v>866</v>
      </c>
      <c r="P622" s="40"/>
      <c r="Q622" s="40" t="s">
        <v>139</v>
      </c>
      <c r="R622" s="41" t="s">
        <v>139</v>
      </c>
      <c r="S622" s="41" t="s">
        <v>139</v>
      </c>
      <c r="T622" s="41" t="s">
        <v>139</v>
      </c>
      <c r="U622" s="41" t="s">
        <v>867</v>
      </c>
      <c r="V622" s="41" t="s">
        <v>139</v>
      </c>
      <c r="W622" s="74" t="s">
        <v>139</v>
      </c>
      <c r="X622" s="41" t="s">
        <v>139</v>
      </c>
      <c r="Y622" s="41" t="s">
        <v>139</v>
      </c>
      <c r="Z622" s="41" t="s">
        <v>2705</v>
      </c>
      <c r="AA622" s="41" t="s">
        <v>139</v>
      </c>
      <c r="AB622" s="44"/>
      <c r="AC622" s="45"/>
      <c r="AD622" s="45"/>
      <c r="AE622" s="46"/>
      <c r="AF622" s="45"/>
      <c r="AG622" s="45"/>
      <c r="AH622" s="45"/>
      <c r="AI622" s="3" t="s">
        <v>1583</v>
      </c>
    </row>
    <row r="623" spans="1:35" ht="40.5">
      <c r="A623" s="144">
        <f t="shared" si="9"/>
        <v>621</v>
      </c>
      <c r="B623" s="148"/>
      <c r="C623" s="148"/>
      <c r="D623" s="148"/>
      <c r="E623" s="148"/>
      <c r="F623" s="148"/>
      <c r="G623" s="148"/>
      <c r="H623" s="148"/>
      <c r="I623" s="148"/>
      <c r="J623" s="98" t="s">
        <v>2104</v>
      </c>
      <c r="K623" s="51" t="str">
        <f>_xlfn.XLOOKUP(L623,'99_マスタ'!$D$5:$D$18,'99_マスタ'!$C$5:$C$18,"")</f>
        <v>02_生販在</v>
      </c>
      <c r="L623" s="114" t="s">
        <v>2303</v>
      </c>
      <c r="M623" s="109" t="s">
        <v>3261</v>
      </c>
      <c r="N623" s="126" t="s">
        <v>3262</v>
      </c>
      <c r="O623" s="40" t="s">
        <v>1230</v>
      </c>
      <c r="P623" s="40"/>
      <c r="Q623" s="40" t="s">
        <v>192</v>
      </c>
      <c r="R623" s="41" t="s">
        <v>1231</v>
      </c>
      <c r="S623" s="41" t="s">
        <v>139</v>
      </c>
      <c r="T623" s="41" t="s">
        <v>139</v>
      </c>
      <c r="U623" s="41" t="s">
        <v>139</v>
      </c>
      <c r="V623" s="41" t="s">
        <v>139</v>
      </c>
      <c r="W623" s="74" t="s">
        <v>163</v>
      </c>
      <c r="X623" s="41" t="s">
        <v>139</v>
      </c>
      <c r="Y623" s="41" t="s">
        <v>139</v>
      </c>
      <c r="Z623" s="41" t="s">
        <v>139</v>
      </c>
      <c r="AA623" s="41" t="s">
        <v>139</v>
      </c>
      <c r="AB623" s="44"/>
      <c r="AC623" s="45"/>
      <c r="AD623" s="45"/>
      <c r="AE623" s="46"/>
      <c r="AF623" s="45"/>
      <c r="AG623" s="45"/>
      <c r="AH623" s="45"/>
      <c r="AI623" s="3" t="s">
        <v>1583</v>
      </c>
    </row>
    <row r="624" spans="1:35">
      <c r="A624" s="144">
        <f t="shared" si="9"/>
        <v>622</v>
      </c>
      <c r="B624" s="148"/>
      <c r="C624" s="148"/>
      <c r="D624" s="148"/>
      <c r="E624" s="148"/>
      <c r="F624" s="148"/>
      <c r="G624" s="148"/>
      <c r="H624" s="148"/>
      <c r="I624" s="148"/>
      <c r="J624" s="98" t="s">
        <v>2104</v>
      </c>
      <c r="K624" s="51" t="str">
        <f>_xlfn.XLOOKUP(L624,'99_マスタ'!$D$5:$D$18,'99_マスタ'!$C$5:$C$18,"")</f>
        <v>02_生販在</v>
      </c>
      <c r="L624" s="114" t="s">
        <v>2303</v>
      </c>
      <c r="M624" s="66" t="s">
        <v>3289</v>
      </c>
      <c r="N624" s="54" t="s">
        <v>3290</v>
      </c>
      <c r="O624" s="41" t="s">
        <v>481</v>
      </c>
      <c r="P624" s="41"/>
      <c r="Q624" s="41" t="s">
        <v>139</v>
      </c>
      <c r="R624" s="41" t="s">
        <v>482</v>
      </c>
      <c r="S624" s="41" t="s">
        <v>139</v>
      </c>
      <c r="T624" s="41" t="s">
        <v>139</v>
      </c>
      <c r="U624" s="41" t="s">
        <v>139</v>
      </c>
      <c r="V624" s="41" t="s">
        <v>139</v>
      </c>
      <c r="W624" s="73" t="s">
        <v>483</v>
      </c>
      <c r="X624" s="54" t="s">
        <v>139</v>
      </c>
      <c r="Y624" s="54" t="s">
        <v>139</v>
      </c>
      <c r="Z624" s="54" t="s">
        <v>139</v>
      </c>
      <c r="AA624" s="54" t="s">
        <v>139</v>
      </c>
      <c r="AB624" s="55"/>
      <c r="AC624" s="56"/>
      <c r="AD624" s="56"/>
      <c r="AE624" s="57"/>
      <c r="AF624" s="56"/>
      <c r="AG624" s="56"/>
      <c r="AH624" s="56"/>
      <c r="AI624" s="3" t="s">
        <v>1583</v>
      </c>
    </row>
    <row r="625" spans="1:35">
      <c r="A625" s="144">
        <f t="shared" si="9"/>
        <v>623</v>
      </c>
      <c r="B625" s="148"/>
      <c r="C625" s="148"/>
      <c r="D625" s="148"/>
      <c r="E625" s="148"/>
      <c r="F625" s="148"/>
      <c r="G625" s="148"/>
      <c r="H625" s="148"/>
      <c r="I625" s="148"/>
      <c r="J625" s="98" t="s">
        <v>2104</v>
      </c>
      <c r="K625" s="51" t="str">
        <f>_xlfn.XLOOKUP(L625,'99_マスタ'!$D$5:$D$18,'99_マスタ'!$C$5:$C$18,"")</f>
        <v>02_生販在</v>
      </c>
      <c r="L625" s="114" t="s">
        <v>2303</v>
      </c>
      <c r="M625" s="66" t="s">
        <v>3291</v>
      </c>
      <c r="N625" s="54" t="s">
        <v>3292</v>
      </c>
      <c r="O625" s="41" t="s">
        <v>484</v>
      </c>
      <c r="P625" s="41"/>
      <c r="Q625" s="41" t="s">
        <v>139</v>
      </c>
      <c r="R625" s="41" t="s">
        <v>485</v>
      </c>
      <c r="S625" s="41" t="s">
        <v>139</v>
      </c>
      <c r="T625" s="41" t="s">
        <v>139</v>
      </c>
      <c r="U625" s="41" t="s">
        <v>139</v>
      </c>
      <c r="V625" s="41" t="s">
        <v>139</v>
      </c>
      <c r="W625" s="73" t="s">
        <v>218</v>
      </c>
      <c r="X625" s="54" t="s">
        <v>139</v>
      </c>
      <c r="Y625" s="54" t="s">
        <v>139</v>
      </c>
      <c r="Z625" s="54" t="s">
        <v>139</v>
      </c>
      <c r="AA625" s="54" t="s">
        <v>139</v>
      </c>
      <c r="AB625" s="55"/>
      <c r="AC625" s="56"/>
      <c r="AD625" s="56"/>
      <c r="AE625" s="57"/>
      <c r="AF625" s="56"/>
      <c r="AG625" s="56"/>
      <c r="AH625" s="56"/>
      <c r="AI625" s="3" t="s">
        <v>1583</v>
      </c>
    </row>
    <row r="626" spans="1:35">
      <c r="A626" s="144">
        <f t="shared" si="9"/>
        <v>624</v>
      </c>
      <c r="B626" s="148"/>
      <c r="C626" s="148"/>
      <c r="D626" s="148"/>
      <c r="E626" s="148"/>
      <c r="F626" s="148"/>
      <c r="G626" s="148"/>
      <c r="H626" s="148"/>
      <c r="I626" s="148"/>
      <c r="J626" s="100" t="s">
        <v>2104</v>
      </c>
      <c r="K626" s="51" t="str">
        <f>_xlfn.XLOOKUP(L626,'99_マスタ'!$D$5:$D$18,'99_マスタ'!$C$5:$C$18,"")</f>
        <v>02_生販在</v>
      </c>
      <c r="L626" s="114" t="s">
        <v>2303</v>
      </c>
      <c r="M626" s="66" t="s">
        <v>486</v>
      </c>
      <c r="N626" s="54" t="s">
        <v>139</v>
      </c>
      <c r="O626" s="41" t="s">
        <v>487</v>
      </c>
      <c r="P626" s="41"/>
      <c r="Q626" s="41" t="s">
        <v>139</v>
      </c>
      <c r="R626" s="41" t="s">
        <v>442</v>
      </c>
      <c r="S626" s="41" t="s">
        <v>139</v>
      </c>
      <c r="T626" s="41" t="s">
        <v>139</v>
      </c>
      <c r="U626" s="41" t="s">
        <v>139</v>
      </c>
      <c r="V626" s="41" t="s">
        <v>139</v>
      </c>
      <c r="W626" s="53" t="s">
        <v>218</v>
      </c>
      <c r="X626" s="54" t="s">
        <v>139</v>
      </c>
      <c r="Y626" s="54" t="s">
        <v>139</v>
      </c>
      <c r="Z626" s="54" t="s">
        <v>139</v>
      </c>
      <c r="AA626" s="54" t="s">
        <v>139</v>
      </c>
      <c r="AB626" s="55"/>
      <c r="AC626" s="56"/>
      <c r="AD626" s="56"/>
      <c r="AE626" s="57"/>
      <c r="AF626" s="56"/>
      <c r="AG626" s="56"/>
      <c r="AH626" s="56"/>
      <c r="AI626" s="3" t="s">
        <v>1583</v>
      </c>
    </row>
    <row r="627" spans="1:35">
      <c r="A627" s="144">
        <f t="shared" si="9"/>
        <v>625</v>
      </c>
      <c r="B627" s="148"/>
      <c r="C627" s="148"/>
      <c r="D627" s="148"/>
      <c r="E627" s="148"/>
      <c r="F627" s="148"/>
      <c r="G627" s="148"/>
      <c r="H627" s="148"/>
      <c r="I627" s="148"/>
      <c r="J627" s="98" t="s">
        <v>2104</v>
      </c>
      <c r="K627" s="51" t="str">
        <f>_xlfn.XLOOKUP(L627,'99_マスタ'!$D$5:$D$18,'99_マスタ'!$C$5:$C$18,"")</f>
        <v>02_生販在</v>
      </c>
      <c r="L627" s="114" t="s">
        <v>2303</v>
      </c>
      <c r="M627" s="66" t="s">
        <v>3294</v>
      </c>
      <c r="N627" s="54" t="s">
        <v>3293</v>
      </c>
      <c r="O627" s="41" t="s">
        <v>488</v>
      </c>
      <c r="P627" s="41"/>
      <c r="Q627" s="41" t="s">
        <v>139</v>
      </c>
      <c r="R627" s="41" t="s">
        <v>442</v>
      </c>
      <c r="S627" s="41" t="s">
        <v>139</v>
      </c>
      <c r="T627" s="41" t="s">
        <v>139</v>
      </c>
      <c r="U627" s="41" t="s">
        <v>139</v>
      </c>
      <c r="V627" s="41" t="s">
        <v>139</v>
      </c>
      <c r="W627" s="53" t="s">
        <v>218</v>
      </c>
      <c r="X627" s="54" t="s">
        <v>139</v>
      </c>
      <c r="Y627" s="54" t="s">
        <v>139</v>
      </c>
      <c r="Z627" s="54" t="s">
        <v>139</v>
      </c>
      <c r="AA627" s="54" t="s">
        <v>139</v>
      </c>
      <c r="AB627" s="55"/>
      <c r="AC627" s="56"/>
      <c r="AD627" s="56"/>
      <c r="AE627" s="57"/>
      <c r="AF627" s="56"/>
      <c r="AG627" s="56"/>
      <c r="AH627" s="56"/>
      <c r="AI627" s="3" t="s">
        <v>1583</v>
      </c>
    </row>
    <row r="628" spans="1:35" ht="27">
      <c r="A628" s="144">
        <f t="shared" si="9"/>
        <v>626</v>
      </c>
      <c r="B628" s="148"/>
      <c r="C628" s="148"/>
      <c r="D628" s="148"/>
      <c r="E628" s="148"/>
      <c r="F628" s="148"/>
      <c r="G628" s="148"/>
      <c r="H628" s="148"/>
      <c r="I628" s="148"/>
      <c r="J628" s="98" t="s">
        <v>2104</v>
      </c>
      <c r="K628" s="51" t="str">
        <f>_xlfn.XLOOKUP(L628,'99_マスタ'!$D$5:$D$18,'99_マスタ'!$C$5:$C$18,"")</f>
        <v>02_生販在</v>
      </c>
      <c r="L628" s="114" t="s">
        <v>2303</v>
      </c>
      <c r="M628" s="66" t="s">
        <v>437</v>
      </c>
      <c r="N628" s="54" t="s">
        <v>139</v>
      </c>
      <c r="O628" s="41" t="s">
        <v>499</v>
      </c>
      <c r="P628" s="41"/>
      <c r="Q628" s="41" t="s">
        <v>139</v>
      </c>
      <c r="R628" s="41" t="s">
        <v>500</v>
      </c>
      <c r="S628" s="41" t="s">
        <v>139</v>
      </c>
      <c r="T628" s="41" t="s">
        <v>139</v>
      </c>
      <c r="U628" s="41" t="s">
        <v>139</v>
      </c>
      <c r="V628" s="41" t="s">
        <v>139</v>
      </c>
      <c r="W628" s="53" t="s">
        <v>438</v>
      </c>
      <c r="X628" s="54" t="s">
        <v>139</v>
      </c>
      <c r="Y628" s="54" t="s">
        <v>139</v>
      </c>
      <c r="Z628" s="54" t="s">
        <v>139</v>
      </c>
      <c r="AA628" s="54" t="s">
        <v>139</v>
      </c>
      <c r="AB628" s="55"/>
      <c r="AC628" s="56"/>
      <c r="AD628" s="56"/>
      <c r="AE628" s="57"/>
      <c r="AF628" s="56"/>
      <c r="AG628" s="56"/>
      <c r="AH628" s="56"/>
      <c r="AI628" s="3" t="s">
        <v>1583</v>
      </c>
    </row>
    <row r="629" spans="1:35" ht="40.5">
      <c r="A629" s="144">
        <f t="shared" si="9"/>
        <v>627</v>
      </c>
      <c r="B629" s="148"/>
      <c r="C629" s="148"/>
      <c r="D629" s="148"/>
      <c r="E629" s="148"/>
      <c r="F629" s="148"/>
      <c r="G629" s="148"/>
      <c r="H629" s="148"/>
      <c r="I629" s="148"/>
      <c r="J629" s="98" t="s">
        <v>2104</v>
      </c>
      <c r="K629" s="51" t="str">
        <f>_xlfn.XLOOKUP(L629,'99_マスタ'!$D$5:$D$18,'99_マスタ'!$C$5:$C$18,"")</f>
        <v>02_生販在</v>
      </c>
      <c r="L629" s="114" t="s">
        <v>2303</v>
      </c>
      <c r="M629" s="109" t="s">
        <v>3032</v>
      </c>
      <c r="N629" s="126" t="s">
        <v>3031</v>
      </c>
      <c r="O629" s="40" t="s">
        <v>1297</v>
      </c>
      <c r="P629" s="40"/>
      <c r="Q629" s="40" t="s">
        <v>139</v>
      </c>
      <c r="R629" s="41" t="s">
        <v>1298</v>
      </c>
      <c r="S629" s="41" t="s">
        <v>139</v>
      </c>
      <c r="T629" s="41" t="s">
        <v>139</v>
      </c>
      <c r="U629" s="41" t="s">
        <v>139</v>
      </c>
      <c r="V629" s="41" t="s">
        <v>139</v>
      </c>
      <c r="W629" s="43" t="s">
        <v>1277</v>
      </c>
      <c r="X629" s="41" t="s">
        <v>139</v>
      </c>
      <c r="Y629" s="41" t="s">
        <v>139</v>
      </c>
      <c r="Z629" s="41" t="s">
        <v>139</v>
      </c>
      <c r="AA629" s="41" t="s">
        <v>139</v>
      </c>
      <c r="AB629" s="44"/>
      <c r="AC629" s="45"/>
      <c r="AD629" s="45"/>
      <c r="AE629" s="46"/>
      <c r="AF629" s="45"/>
      <c r="AG629" s="45"/>
      <c r="AH629" s="45"/>
      <c r="AI629" s="3" t="s">
        <v>1583</v>
      </c>
    </row>
    <row r="630" spans="1:35" ht="40.5">
      <c r="A630" s="144">
        <f t="shared" si="9"/>
        <v>628</v>
      </c>
      <c r="B630" s="148"/>
      <c r="C630" s="148"/>
      <c r="D630" s="148"/>
      <c r="E630" s="148"/>
      <c r="F630" s="148"/>
      <c r="G630" s="148"/>
      <c r="H630" s="148"/>
      <c r="I630" s="148"/>
      <c r="J630" s="98" t="s">
        <v>2104</v>
      </c>
      <c r="K630" s="51" t="str">
        <f>_xlfn.XLOOKUP(L630,'99_マスタ'!$D$5:$D$18,'99_マスタ'!$C$5:$C$18,"")</f>
        <v>02_生販在</v>
      </c>
      <c r="L630" s="114" t="s">
        <v>2303</v>
      </c>
      <c r="M630" s="109" t="s">
        <v>3034</v>
      </c>
      <c r="N630" s="126" t="s">
        <v>3033</v>
      </c>
      <c r="O630" s="40" t="s">
        <v>3035</v>
      </c>
      <c r="P630" s="40"/>
      <c r="Q630" s="40" t="s">
        <v>139</v>
      </c>
      <c r="R630" s="41" t="s">
        <v>139</v>
      </c>
      <c r="S630" s="41" t="s">
        <v>766</v>
      </c>
      <c r="T630" s="41" t="s">
        <v>139</v>
      </c>
      <c r="U630" s="41" t="s">
        <v>139</v>
      </c>
      <c r="V630" s="41" t="s">
        <v>139</v>
      </c>
      <c r="W630" s="43" t="s">
        <v>139</v>
      </c>
      <c r="X630" s="41" t="s">
        <v>767</v>
      </c>
      <c r="Y630" s="41" t="s">
        <v>139</v>
      </c>
      <c r="Z630" s="41" t="s">
        <v>139</v>
      </c>
      <c r="AA630" s="41" t="s">
        <v>139</v>
      </c>
      <c r="AB630" s="44"/>
      <c r="AC630" s="45"/>
      <c r="AD630" s="45"/>
      <c r="AE630" s="46"/>
      <c r="AF630" s="45"/>
      <c r="AG630" s="45"/>
      <c r="AH630" s="45"/>
      <c r="AI630" s="3" t="s">
        <v>1583</v>
      </c>
    </row>
    <row r="631" spans="1:35">
      <c r="A631" s="144">
        <f t="shared" si="9"/>
        <v>629</v>
      </c>
      <c r="B631" s="148"/>
      <c r="C631" s="148"/>
      <c r="D631" s="148"/>
      <c r="E631" s="148"/>
      <c r="F631" s="148"/>
      <c r="G631" s="148"/>
      <c r="H631" s="148"/>
      <c r="I631" s="148"/>
      <c r="J631" s="98" t="s">
        <v>2104</v>
      </c>
      <c r="K631" s="51" t="str">
        <f>_xlfn.XLOOKUP(L631,'99_マスタ'!$D$5:$D$18,'99_マスタ'!$C$5:$C$18,"")</f>
        <v>02_生販在</v>
      </c>
      <c r="L631" s="67" t="s">
        <v>2303</v>
      </c>
      <c r="M631" s="67" t="s">
        <v>432</v>
      </c>
      <c r="N631" s="54" t="s">
        <v>139</v>
      </c>
      <c r="O631" s="41" t="s">
        <v>433</v>
      </c>
      <c r="P631" s="41"/>
      <c r="Q631" s="41" t="s">
        <v>139</v>
      </c>
      <c r="R631" s="41" t="s">
        <v>434</v>
      </c>
      <c r="S631" s="41" t="s">
        <v>139</v>
      </c>
      <c r="T631" s="41" t="s">
        <v>139</v>
      </c>
      <c r="U631" s="41" t="s">
        <v>139</v>
      </c>
      <c r="V631" s="41" t="s">
        <v>139</v>
      </c>
      <c r="W631" s="53" t="s">
        <v>435</v>
      </c>
      <c r="X631" s="54" t="s">
        <v>139</v>
      </c>
      <c r="Y631" s="54" t="s">
        <v>139</v>
      </c>
      <c r="Z631" s="54" t="s">
        <v>139</v>
      </c>
      <c r="AA631" s="54" t="s">
        <v>139</v>
      </c>
      <c r="AB631" s="55"/>
      <c r="AC631" s="56"/>
      <c r="AD631" s="56"/>
      <c r="AE631" s="57"/>
      <c r="AF631" s="56"/>
      <c r="AG631" s="56"/>
      <c r="AH631" s="56"/>
      <c r="AI631" s="3" t="s">
        <v>1583</v>
      </c>
    </row>
    <row r="632" spans="1:35">
      <c r="A632" s="144">
        <f t="shared" si="9"/>
        <v>630</v>
      </c>
      <c r="B632" s="148"/>
      <c r="C632" s="148"/>
      <c r="D632" s="148"/>
      <c r="E632" s="148"/>
      <c r="F632" s="148"/>
      <c r="G632" s="148"/>
      <c r="H632" s="148"/>
      <c r="I632" s="148"/>
      <c r="J632" s="98" t="s">
        <v>2104</v>
      </c>
      <c r="K632" s="51" t="str">
        <f>_xlfn.XLOOKUP(L632,'99_マスタ'!$D$5:$D$18,'99_マスタ'!$C$5:$C$18,"")</f>
        <v>02_生販在</v>
      </c>
      <c r="L632" s="67" t="s">
        <v>2303</v>
      </c>
      <c r="M632" s="66" t="s">
        <v>501</v>
      </c>
      <c r="N632" s="54" t="s">
        <v>139</v>
      </c>
      <c r="O632" s="41" t="s">
        <v>502</v>
      </c>
      <c r="P632" s="41"/>
      <c r="Q632" s="41" t="s">
        <v>139</v>
      </c>
      <c r="R632" s="41" t="s">
        <v>503</v>
      </c>
      <c r="S632" s="41" t="s">
        <v>139</v>
      </c>
      <c r="T632" s="41" t="s">
        <v>139</v>
      </c>
      <c r="U632" s="41" t="s">
        <v>139</v>
      </c>
      <c r="V632" s="41" t="s">
        <v>139</v>
      </c>
      <c r="W632" s="53" t="s">
        <v>438</v>
      </c>
      <c r="X632" s="54" t="s">
        <v>139</v>
      </c>
      <c r="Y632" s="54" t="s">
        <v>139</v>
      </c>
      <c r="Z632" s="54" t="s">
        <v>139</v>
      </c>
      <c r="AA632" s="54" t="s">
        <v>139</v>
      </c>
      <c r="AB632" s="55"/>
      <c r="AC632" s="56"/>
      <c r="AD632" s="56"/>
      <c r="AE632" s="57"/>
      <c r="AF632" s="56"/>
      <c r="AG632" s="56"/>
      <c r="AH632" s="56"/>
      <c r="AI632" s="3" t="s">
        <v>1583</v>
      </c>
    </row>
    <row r="633" spans="1:35" ht="27">
      <c r="A633" s="144">
        <f t="shared" si="9"/>
        <v>631</v>
      </c>
      <c r="B633" s="148"/>
      <c r="C633" s="148"/>
      <c r="D633" s="148"/>
      <c r="E633" s="148"/>
      <c r="F633" s="148"/>
      <c r="G633" s="148"/>
      <c r="H633" s="148"/>
      <c r="I633" s="148"/>
      <c r="J633" s="98" t="s">
        <v>2104</v>
      </c>
      <c r="K633" s="51" t="str">
        <f>_xlfn.XLOOKUP(L633,'99_マスタ'!$D$5:$D$18,'99_マスタ'!$C$5:$C$18,"")</f>
        <v>02_生販在</v>
      </c>
      <c r="L633" s="114" t="s">
        <v>2303</v>
      </c>
      <c r="M633" s="109" t="s">
        <v>3061</v>
      </c>
      <c r="N633" s="126" t="s">
        <v>1304</v>
      </c>
      <c r="O633" s="40" t="s">
        <v>1305</v>
      </c>
      <c r="P633" s="40"/>
      <c r="Q633" s="40" t="s">
        <v>139</v>
      </c>
      <c r="R633" s="41" t="s">
        <v>1306</v>
      </c>
      <c r="S633" s="41" t="s">
        <v>139</v>
      </c>
      <c r="T633" s="41" t="s">
        <v>139</v>
      </c>
      <c r="U633" s="41" t="s">
        <v>139</v>
      </c>
      <c r="V633" s="41" t="s">
        <v>139</v>
      </c>
      <c r="W633" s="43" t="s">
        <v>117</v>
      </c>
      <c r="X633" s="41" t="s">
        <v>139</v>
      </c>
      <c r="Y633" s="41" t="s">
        <v>139</v>
      </c>
      <c r="Z633" s="41" t="s">
        <v>139</v>
      </c>
      <c r="AA633" s="41" t="s">
        <v>139</v>
      </c>
      <c r="AB633" s="44"/>
      <c r="AC633" s="45"/>
      <c r="AD633" s="45"/>
      <c r="AE633" s="46"/>
      <c r="AF633" s="45"/>
      <c r="AG633" s="45"/>
      <c r="AH633" s="45"/>
      <c r="AI633" s="3" t="s">
        <v>1583</v>
      </c>
    </row>
    <row r="634" spans="1:35" ht="40.5">
      <c r="A634" s="144">
        <f t="shared" si="9"/>
        <v>632</v>
      </c>
      <c r="B634" s="148"/>
      <c r="C634" s="148"/>
      <c r="D634" s="148"/>
      <c r="E634" s="148"/>
      <c r="F634" s="148"/>
      <c r="G634" s="148"/>
      <c r="H634" s="148"/>
      <c r="I634" s="148"/>
      <c r="J634" s="98" t="s">
        <v>2104</v>
      </c>
      <c r="K634" s="51" t="str">
        <f>_xlfn.XLOOKUP(L634,'99_マスタ'!$D$5:$D$18,'99_マスタ'!$C$5:$C$18,"")</f>
        <v>02_生販在</v>
      </c>
      <c r="L634" s="114" t="s">
        <v>2303</v>
      </c>
      <c r="M634" s="109" t="s">
        <v>758</v>
      </c>
      <c r="N634" s="126" t="s">
        <v>759</v>
      </c>
      <c r="O634" s="40" t="s">
        <v>760</v>
      </c>
      <c r="P634" s="40"/>
      <c r="Q634" s="40" t="s">
        <v>3065</v>
      </c>
      <c r="R634" s="41" t="s">
        <v>139</v>
      </c>
      <c r="S634" s="41" t="s">
        <v>761</v>
      </c>
      <c r="T634" s="41" t="s">
        <v>139</v>
      </c>
      <c r="U634" s="41" t="s">
        <v>139</v>
      </c>
      <c r="V634" s="41" t="s">
        <v>139</v>
      </c>
      <c r="W634" s="43" t="s">
        <v>139</v>
      </c>
      <c r="X634" s="41" t="s">
        <v>758</v>
      </c>
      <c r="Y634" s="41" t="s">
        <v>139</v>
      </c>
      <c r="Z634" s="41" t="s">
        <v>139</v>
      </c>
      <c r="AA634" s="41" t="s">
        <v>139</v>
      </c>
      <c r="AB634" s="44"/>
      <c r="AC634" s="45"/>
      <c r="AD634" s="45"/>
      <c r="AE634" s="46"/>
      <c r="AF634" s="45"/>
      <c r="AG634" s="45"/>
      <c r="AH634" s="45"/>
      <c r="AI634" s="3" t="s">
        <v>1583</v>
      </c>
    </row>
    <row r="635" spans="1:35">
      <c r="A635" s="144">
        <f t="shared" si="9"/>
        <v>633</v>
      </c>
      <c r="B635" s="148"/>
      <c r="C635" s="148"/>
      <c r="D635" s="148"/>
      <c r="E635" s="148"/>
      <c r="F635" s="148"/>
      <c r="G635" s="148"/>
      <c r="H635" s="148"/>
      <c r="I635" s="148"/>
      <c r="J635" s="98" t="s">
        <v>2104</v>
      </c>
      <c r="K635" s="101" t="str">
        <f>_xlfn.XLOOKUP(L635,'99_マスタ'!$D$5:$D$18,'99_マスタ'!$C$5:$C$18,"")</f>
        <v>02_生販在</v>
      </c>
      <c r="L635" s="64" t="s">
        <v>2303</v>
      </c>
      <c r="M635" s="64" t="s">
        <v>278</v>
      </c>
      <c r="N635" s="54" t="s">
        <v>1637</v>
      </c>
      <c r="O635" s="41" t="s">
        <v>279</v>
      </c>
      <c r="P635" s="41"/>
      <c r="Q635" s="41" t="s">
        <v>139</v>
      </c>
      <c r="R635" s="41" t="s">
        <v>280</v>
      </c>
      <c r="S635" s="41" t="s">
        <v>139</v>
      </c>
      <c r="T635" s="41" t="s">
        <v>139</v>
      </c>
      <c r="U635" s="41" t="s">
        <v>139</v>
      </c>
      <c r="V635" s="41" t="s">
        <v>139</v>
      </c>
      <c r="W635" s="53" t="s">
        <v>218</v>
      </c>
      <c r="X635" s="54" t="s">
        <v>139</v>
      </c>
      <c r="Y635" s="54" t="s">
        <v>139</v>
      </c>
      <c r="Z635" s="54" t="s">
        <v>139</v>
      </c>
      <c r="AA635" s="54" t="s">
        <v>139</v>
      </c>
      <c r="AB635" s="55"/>
      <c r="AC635" s="56"/>
      <c r="AD635" s="56"/>
      <c r="AE635" s="57"/>
      <c r="AF635" s="56"/>
      <c r="AG635" s="56"/>
      <c r="AH635" s="56"/>
      <c r="AI635" s="3" t="s">
        <v>1583</v>
      </c>
    </row>
    <row r="636" spans="1:35" ht="27">
      <c r="A636" s="144">
        <f t="shared" si="9"/>
        <v>634</v>
      </c>
      <c r="B636" s="148"/>
      <c r="C636" s="148"/>
      <c r="D636" s="148"/>
      <c r="E636" s="148"/>
      <c r="F636" s="148"/>
      <c r="G636" s="148"/>
      <c r="H636" s="148"/>
      <c r="I636" s="148"/>
      <c r="J636" s="98" t="s">
        <v>2104</v>
      </c>
      <c r="K636" s="82" t="str">
        <f>_xlfn.XLOOKUP(L636,'99_マスタ'!$D$5:$D$18,'99_マスタ'!$C$5:$C$18,"")</f>
        <v>02_生販在</v>
      </c>
      <c r="L636" s="82" t="s">
        <v>2303</v>
      </c>
      <c r="M636" s="82" t="s">
        <v>586</v>
      </c>
      <c r="N636" s="54" t="s">
        <v>587</v>
      </c>
      <c r="O636" s="41" t="s">
        <v>588</v>
      </c>
      <c r="P636" s="41"/>
      <c r="Q636" s="41" t="s">
        <v>139</v>
      </c>
      <c r="R636" s="41" t="s">
        <v>589</v>
      </c>
      <c r="S636" s="41" t="s">
        <v>139</v>
      </c>
      <c r="T636" s="41" t="s">
        <v>139</v>
      </c>
      <c r="U636" s="41" t="s">
        <v>139</v>
      </c>
      <c r="V636" s="41" t="s">
        <v>139</v>
      </c>
      <c r="W636" s="53" t="s">
        <v>163</v>
      </c>
      <c r="X636" s="54" t="s">
        <v>139</v>
      </c>
      <c r="Y636" s="54" t="s">
        <v>139</v>
      </c>
      <c r="Z636" s="54" t="s">
        <v>139</v>
      </c>
      <c r="AA636" s="54" t="s">
        <v>139</v>
      </c>
      <c r="AB636" s="55"/>
      <c r="AC636" s="56"/>
      <c r="AD636" s="56"/>
      <c r="AE636" s="57"/>
      <c r="AF636" s="56"/>
      <c r="AG636" s="56"/>
      <c r="AH636" s="56"/>
      <c r="AI636" s="3" t="s">
        <v>1583</v>
      </c>
    </row>
    <row r="637" spans="1:35" ht="40.5">
      <c r="A637" s="144">
        <f t="shared" si="9"/>
        <v>635</v>
      </c>
      <c r="B637" s="148"/>
      <c r="C637" s="148"/>
      <c r="D637" s="148"/>
      <c r="E637" s="148"/>
      <c r="F637" s="148"/>
      <c r="G637" s="148"/>
      <c r="H637" s="148"/>
      <c r="I637" s="148"/>
      <c r="J637" s="98" t="s">
        <v>2104</v>
      </c>
      <c r="K637" s="51" t="str">
        <f>_xlfn.XLOOKUP(L637,'99_マスタ'!$D$5:$D$18,'99_マスタ'!$C$5:$C$18,"")</f>
        <v>02_生販在</v>
      </c>
      <c r="L637" s="114" t="s">
        <v>2303</v>
      </c>
      <c r="M637" s="109" t="s">
        <v>2100</v>
      </c>
      <c r="N637" s="126" t="s">
        <v>1205</v>
      </c>
      <c r="O637" s="40" t="s">
        <v>1206</v>
      </c>
      <c r="P637" s="40"/>
      <c r="Q637" s="40" t="s">
        <v>139</v>
      </c>
      <c r="R637" s="41" t="s">
        <v>1207</v>
      </c>
      <c r="S637" s="41" t="s">
        <v>139</v>
      </c>
      <c r="T637" s="41" t="s">
        <v>139</v>
      </c>
      <c r="U637" s="41" t="s">
        <v>139</v>
      </c>
      <c r="V637" s="41" t="s">
        <v>139</v>
      </c>
      <c r="W637" s="43" t="s">
        <v>163</v>
      </c>
      <c r="X637" s="41" t="s">
        <v>139</v>
      </c>
      <c r="Y637" s="41" t="s">
        <v>139</v>
      </c>
      <c r="Z637" s="41" t="s">
        <v>139</v>
      </c>
      <c r="AA637" s="41" t="s">
        <v>139</v>
      </c>
      <c r="AB637" s="44"/>
      <c r="AC637" s="45"/>
      <c r="AD637" s="45"/>
      <c r="AE637" s="46"/>
      <c r="AF637" s="45"/>
      <c r="AG637" s="45"/>
      <c r="AH637" s="45"/>
      <c r="AI637" s="3" t="s">
        <v>1583</v>
      </c>
    </row>
    <row r="638" spans="1:35" ht="27">
      <c r="A638" s="144">
        <f t="shared" si="9"/>
        <v>636</v>
      </c>
      <c r="B638" s="148"/>
      <c r="C638" s="148"/>
      <c r="D638" s="148"/>
      <c r="E638" s="148"/>
      <c r="F638" s="148"/>
      <c r="G638" s="148"/>
      <c r="H638" s="148"/>
      <c r="I638" s="148"/>
      <c r="J638" s="98" t="s">
        <v>2104</v>
      </c>
      <c r="K638" s="51" t="str">
        <f>_xlfn.XLOOKUP(L638,'99_マスタ'!$D$5:$D$18,'99_マスタ'!$C$5:$C$18,"")</f>
        <v>02_生販在</v>
      </c>
      <c r="L638" s="51" t="s">
        <v>2303</v>
      </c>
      <c r="M638" s="51" t="s">
        <v>390</v>
      </c>
      <c r="N638" s="54" t="s">
        <v>139</v>
      </c>
      <c r="O638" s="41" t="s">
        <v>391</v>
      </c>
      <c r="P638" s="41" t="s">
        <v>392</v>
      </c>
      <c r="Q638" s="41" t="s">
        <v>139</v>
      </c>
      <c r="R638" s="41" t="s">
        <v>374</v>
      </c>
      <c r="S638" s="41" t="s">
        <v>139</v>
      </c>
      <c r="T638" s="41" t="s">
        <v>139</v>
      </c>
      <c r="U638" s="41" t="s">
        <v>139</v>
      </c>
      <c r="V638" s="41" t="s">
        <v>139</v>
      </c>
      <c r="W638" s="53" t="s">
        <v>163</v>
      </c>
      <c r="X638" s="54" t="s">
        <v>139</v>
      </c>
      <c r="Y638" s="54" t="s">
        <v>139</v>
      </c>
      <c r="Z638" s="54" t="s">
        <v>139</v>
      </c>
      <c r="AA638" s="54" t="s">
        <v>139</v>
      </c>
      <c r="AB638" s="55"/>
      <c r="AC638" s="56"/>
      <c r="AD638" s="56"/>
      <c r="AE638" s="57"/>
      <c r="AF638" s="56"/>
      <c r="AG638" s="56"/>
      <c r="AH638" s="56"/>
      <c r="AI638" s="3" t="s">
        <v>1583</v>
      </c>
    </row>
    <row r="639" spans="1:35" ht="27">
      <c r="A639" s="144">
        <f t="shared" si="9"/>
        <v>637</v>
      </c>
      <c r="B639" s="148"/>
      <c r="C639" s="148"/>
      <c r="D639" s="148"/>
      <c r="E639" s="148"/>
      <c r="F639" s="148"/>
      <c r="G639" s="148"/>
      <c r="H639" s="148"/>
      <c r="I639" s="148"/>
      <c r="J639" s="98" t="s">
        <v>2104</v>
      </c>
      <c r="K639" s="51" t="str">
        <f>_xlfn.XLOOKUP(L639,'99_マスタ'!$D$5:$D$18,'99_マスタ'!$C$5:$C$18,"")</f>
        <v>02_生販在</v>
      </c>
      <c r="L639" s="67" t="s">
        <v>2303</v>
      </c>
      <c r="M639" s="67" t="s">
        <v>2909</v>
      </c>
      <c r="N639" s="54" t="s">
        <v>1637</v>
      </c>
      <c r="O639" s="41" t="s">
        <v>2914</v>
      </c>
      <c r="P639" s="41"/>
      <c r="Q639" s="41" t="s">
        <v>1637</v>
      </c>
      <c r="R639" s="41" t="s">
        <v>429</v>
      </c>
      <c r="S639" s="41" t="s">
        <v>139</v>
      </c>
      <c r="T639" s="41" t="s">
        <v>139</v>
      </c>
      <c r="U639" s="41" t="s">
        <v>139</v>
      </c>
      <c r="V639" s="41" t="s">
        <v>139</v>
      </c>
      <c r="W639" s="53" t="s">
        <v>218</v>
      </c>
      <c r="X639" s="54" t="s">
        <v>139</v>
      </c>
      <c r="Y639" s="54" t="s">
        <v>139</v>
      </c>
      <c r="Z639" s="54" t="s">
        <v>139</v>
      </c>
      <c r="AA639" s="54" t="s">
        <v>139</v>
      </c>
      <c r="AB639" s="55"/>
      <c r="AC639" s="56"/>
      <c r="AD639" s="56"/>
      <c r="AE639" s="57"/>
      <c r="AF639" s="56"/>
      <c r="AG639" s="56"/>
      <c r="AH639" s="56"/>
      <c r="AI639" s="3" t="s">
        <v>1583</v>
      </c>
    </row>
    <row r="640" spans="1:35" ht="40.5">
      <c r="A640" s="144">
        <f t="shared" si="9"/>
        <v>638</v>
      </c>
      <c r="B640" s="148"/>
      <c r="C640" s="148"/>
      <c r="D640" s="148"/>
      <c r="E640" s="148"/>
      <c r="F640" s="148"/>
      <c r="G640" s="148"/>
      <c r="H640" s="148"/>
      <c r="I640" s="148"/>
      <c r="J640" s="98" t="s">
        <v>2104</v>
      </c>
      <c r="K640" s="51" t="str">
        <f>_xlfn.XLOOKUP(L640,'99_マスタ'!$D$5:$D$18,'99_マスタ'!$C$5:$C$18,"")</f>
        <v>02_生販在</v>
      </c>
      <c r="L640" s="114" t="s">
        <v>2303</v>
      </c>
      <c r="M640" s="109" t="s">
        <v>1266</v>
      </c>
      <c r="N640" s="126" t="s">
        <v>1267</v>
      </c>
      <c r="O640" s="40" t="s">
        <v>3073</v>
      </c>
      <c r="P640" s="40" t="s">
        <v>1268</v>
      </c>
      <c r="Q640" s="40" t="s">
        <v>1269</v>
      </c>
      <c r="R640" s="41" t="s">
        <v>1270</v>
      </c>
      <c r="S640" s="41" t="s">
        <v>139</v>
      </c>
      <c r="T640" s="41" t="s">
        <v>139</v>
      </c>
      <c r="U640" s="41" t="s">
        <v>139</v>
      </c>
      <c r="V640" s="41" t="s">
        <v>139</v>
      </c>
      <c r="W640" s="43" t="s">
        <v>1271</v>
      </c>
      <c r="X640" s="41" t="s">
        <v>139</v>
      </c>
      <c r="Y640" s="41" t="s">
        <v>139</v>
      </c>
      <c r="Z640" s="41" t="s">
        <v>139</v>
      </c>
      <c r="AA640" s="41" t="s">
        <v>139</v>
      </c>
      <c r="AB640" s="44"/>
      <c r="AC640" s="45"/>
      <c r="AD640" s="45"/>
      <c r="AE640" s="46"/>
      <c r="AF640" s="45"/>
      <c r="AG640" s="45"/>
      <c r="AH640" s="45"/>
      <c r="AI640" s="3" t="s">
        <v>1583</v>
      </c>
    </row>
    <row r="641" spans="1:35">
      <c r="A641" s="144">
        <f t="shared" si="9"/>
        <v>639</v>
      </c>
      <c r="B641" s="148"/>
      <c r="C641" s="148"/>
      <c r="D641" s="148"/>
      <c r="E641" s="148"/>
      <c r="F641" s="148"/>
      <c r="G641" s="148"/>
      <c r="H641" s="148"/>
      <c r="I641" s="148"/>
      <c r="J641" s="98" t="s">
        <v>2104</v>
      </c>
      <c r="K641" s="51" t="str">
        <f>_xlfn.XLOOKUP(L641,'99_マスタ'!$D$5:$D$18,'99_マスタ'!$C$5:$C$18,"")</f>
        <v>02_生販在</v>
      </c>
      <c r="L641" s="114" t="s">
        <v>2303</v>
      </c>
      <c r="M641" s="66" t="s">
        <v>504</v>
      </c>
      <c r="N641" s="54" t="s">
        <v>139</v>
      </c>
      <c r="O641" s="41" t="s">
        <v>505</v>
      </c>
      <c r="P641" s="41"/>
      <c r="Q641" s="41" t="s">
        <v>139</v>
      </c>
      <c r="R641" s="41" t="s">
        <v>506</v>
      </c>
      <c r="S641" s="41" t="s">
        <v>139</v>
      </c>
      <c r="T641" s="41" t="s">
        <v>139</v>
      </c>
      <c r="U641" s="41" t="s">
        <v>139</v>
      </c>
      <c r="V641" s="41" t="s">
        <v>139</v>
      </c>
      <c r="W641" s="53" t="s">
        <v>438</v>
      </c>
      <c r="X641" s="54" t="s">
        <v>139</v>
      </c>
      <c r="Y641" s="54" t="s">
        <v>139</v>
      </c>
      <c r="Z641" s="54" t="s">
        <v>139</v>
      </c>
      <c r="AA641" s="54" t="s">
        <v>139</v>
      </c>
      <c r="AB641" s="55"/>
      <c r="AC641" s="56"/>
      <c r="AD641" s="56"/>
      <c r="AE641" s="57"/>
      <c r="AF641" s="56"/>
      <c r="AG641" s="56"/>
      <c r="AH641" s="56"/>
      <c r="AI641" s="3" t="s">
        <v>1583</v>
      </c>
    </row>
    <row r="642" spans="1:35">
      <c r="A642" s="144">
        <f t="shared" si="9"/>
        <v>640</v>
      </c>
      <c r="B642" s="148"/>
      <c r="C642" s="148"/>
      <c r="D642" s="148"/>
      <c r="E642" s="148"/>
      <c r="F642" s="148"/>
      <c r="G642" s="148"/>
      <c r="H642" s="148"/>
      <c r="I642" s="148"/>
      <c r="J642" s="98" t="s">
        <v>2104</v>
      </c>
      <c r="K642" s="51" t="str">
        <f>_xlfn.XLOOKUP(L642,'99_マスタ'!$D$5:$D$18,'99_マスタ'!$C$5:$C$18,"")</f>
        <v>02_生販在</v>
      </c>
      <c r="L642" s="67" t="s">
        <v>2303</v>
      </c>
      <c r="M642" s="67" t="s">
        <v>444</v>
      </c>
      <c r="N642" s="54" t="s">
        <v>139</v>
      </c>
      <c r="O642" s="41" t="s">
        <v>445</v>
      </c>
      <c r="P642" s="41"/>
      <c r="Q642" s="41" t="s">
        <v>139</v>
      </c>
      <c r="R642" s="41" t="s">
        <v>437</v>
      </c>
      <c r="S642" s="41" t="s">
        <v>139</v>
      </c>
      <c r="T642" s="41" t="s">
        <v>139</v>
      </c>
      <c r="U642" s="41" t="s">
        <v>139</v>
      </c>
      <c r="V642" s="41" t="s">
        <v>139</v>
      </c>
      <c r="W642" s="53" t="s">
        <v>438</v>
      </c>
      <c r="X642" s="54" t="s">
        <v>139</v>
      </c>
      <c r="Y642" s="54" t="s">
        <v>139</v>
      </c>
      <c r="Z642" s="54" t="s">
        <v>139</v>
      </c>
      <c r="AA642" s="54" t="s">
        <v>139</v>
      </c>
      <c r="AB642" s="55"/>
      <c r="AC642" s="56"/>
      <c r="AD642" s="56"/>
      <c r="AE642" s="57"/>
      <c r="AF642" s="56"/>
      <c r="AG642" s="56"/>
      <c r="AH642" s="56"/>
      <c r="AI642" s="3" t="s">
        <v>1583</v>
      </c>
    </row>
    <row r="643" spans="1:35" ht="67.5">
      <c r="A643" s="144">
        <f t="shared" ref="A643:A706" si="10">ROW()-2</f>
        <v>641</v>
      </c>
      <c r="B643" s="148"/>
      <c r="C643" s="148"/>
      <c r="D643" s="148"/>
      <c r="E643" s="148"/>
      <c r="F643" s="148"/>
      <c r="G643" s="148"/>
      <c r="H643" s="148"/>
      <c r="I643" s="148"/>
      <c r="J643" s="98" t="s">
        <v>2104</v>
      </c>
      <c r="K643" s="99" t="str">
        <f>_xlfn.XLOOKUP(L643,'99_マスタ'!$D$5:$D$18,'99_マスタ'!$C$5:$C$18,"")</f>
        <v>02_生販在</v>
      </c>
      <c r="L643" s="99" t="s">
        <v>2303</v>
      </c>
      <c r="M643" s="99" t="s">
        <v>2110</v>
      </c>
      <c r="N643" s="126" t="s">
        <v>1637</v>
      </c>
      <c r="O643" s="40" t="s">
        <v>2112</v>
      </c>
      <c r="P643" s="40"/>
      <c r="Q643" s="40" t="s">
        <v>408</v>
      </c>
      <c r="R643" s="41" t="s">
        <v>139</v>
      </c>
      <c r="S643" s="41" t="s">
        <v>139</v>
      </c>
      <c r="T643" s="41" t="s">
        <v>139</v>
      </c>
      <c r="U643" s="41" t="s">
        <v>2122</v>
      </c>
      <c r="V643" s="41" t="s">
        <v>139</v>
      </c>
      <c r="W643" s="43" t="s">
        <v>139</v>
      </c>
      <c r="X643" s="41" t="s">
        <v>139</v>
      </c>
      <c r="Y643" s="41" t="s">
        <v>139</v>
      </c>
      <c r="Z643" s="41" t="s">
        <v>668</v>
      </c>
      <c r="AA643" s="41" t="s">
        <v>139</v>
      </c>
      <c r="AB643" s="44"/>
      <c r="AC643" s="45"/>
      <c r="AD643" s="45"/>
      <c r="AE643" s="46"/>
      <c r="AF643" s="45"/>
      <c r="AG643" s="45"/>
      <c r="AH643" s="45"/>
      <c r="AI643" s="3" t="s">
        <v>1583</v>
      </c>
    </row>
    <row r="644" spans="1:35" ht="27">
      <c r="A644" s="144">
        <f t="shared" si="10"/>
        <v>642</v>
      </c>
      <c r="B644" s="148"/>
      <c r="C644" s="148"/>
      <c r="D644" s="148"/>
      <c r="E644" s="148"/>
      <c r="F644" s="148"/>
      <c r="G644" s="148"/>
      <c r="H644" s="148"/>
      <c r="I644" s="148"/>
      <c r="J644" s="108" t="s">
        <v>2104</v>
      </c>
      <c r="K644" s="81" t="str">
        <f>_xlfn.XLOOKUP(L644,'99_マスタ'!$D$5:$D$18,'99_マスタ'!$C$5:$C$18,"")</f>
        <v>02_生販在</v>
      </c>
      <c r="L644" s="81" t="s">
        <v>2303</v>
      </c>
      <c r="M644" s="81" t="s">
        <v>320</v>
      </c>
      <c r="N644" s="54" t="s">
        <v>1637</v>
      </c>
      <c r="O644" s="41" t="s">
        <v>321</v>
      </c>
      <c r="P644" s="41"/>
      <c r="Q644" s="41" t="s">
        <v>192</v>
      </c>
      <c r="R644" s="41" t="s">
        <v>322</v>
      </c>
      <c r="S644" s="41" t="s">
        <v>139</v>
      </c>
      <c r="T644" s="41" t="s">
        <v>139</v>
      </c>
      <c r="U644" s="41" t="s">
        <v>323</v>
      </c>
      <c r="V644" s="41" t="s">
        <v>139</v>
      </c>
      <c r="W644" s="53" t="s">
        <v>127</v>
      </c>
      <c r="X644" s="54" t="s">
        <v>139</v>
      </c>
      <c r="Y644" s="54" t="s">
        <v>139</v>
      </c>
      <c r="Z644" s="54" t="s">
        <v>324</v>
      </c>
      <c r="AA644" s="54" t="s">
        <v>139</v>
      </c>
      <c r="AB644" s="55"/>
      <c r="AC644" s="56"/>
      <c r="AD644" s="56"/>
      <c r="AE644" s="57"/>
      <c r="AF644" s="56"/>
      <c r="AG644" s="56"/>
      <c r="AH644" s="56"/>
      <c r="AI644" s="3" t="s">
        <v>1583</v>
      </c>
    </row>
    <row r="645" spans="1:35" ht="27">
      <c r="A645" s="144">
        <f t="shared" si="10"/>
        <v>643</v>
      </c>
      <c r="B645" s="148"/>
      <c r="C645" s="148"/>
      <c r="D645" s="148"/>
      <c r="E645" s="148"/>
      <c r="F645" s="148"/>
      <c r="G645" s="148"/>
      <c r="H645" s="148"/>
      <c r="I645" s="148"/>
      <c r="J645" s="98" t="s">
        <v>2104</v>
      </c>
      <c r="K645" s="83" t="str">
        <f>_xlfn.XLOOKUP(L645,'99_マスタ'!$D$5:$D$18,'99_マスタ'!$C$5:$C$18,"")</f>
        <v>02_生販在</v>
      </c>
      <c r="L645" s="83" t="s">
        <v>2303</v>
      </c>
      <c r="M645" s="83" t="s">
        <v>567</v>
      </c>
      <c r="N645" s="54" t="s">
        <v>139</v>
      </c>
      <c r="O645" s="41" t="s">
        <v>568</v>
      </c>
      <c r="P645" s="41"/>
      <c r="Q645" s="41" t="s">
        <v>139</v>
      </c>
      <c r="R645" s="41" t="s">
        <v>569</v>
      </c>
      <c r="S645" s="41" t="s">
        <v>139</v>
      </c>
      <c r="T645" s="41" t="s">
        <v>139</v>
      </c>
      <c r="U645" s="41" t="s">
        <v>139</v>
      </c>
      <c r="V645" s="41" t="s">
        <v>139</v>
      </c>
      <c r="W645" s="53" t="s">
        <v>218</v>
      </c>
      <c r="X645" s="54" t="s">
        <v>139</v>
      </c>
      <c r="Y645" s="54" t="s">
        <v>139</v>
      </c>
      <c r="Z645" s="54" t="s">
        <v>139</v>
      </c>
      <c r="AA645" s="54" t="s">
        <v>139</v>
      </c>
      <c r="AB645" s="55"/>
      <c r="AC645" s="56"/>
      <c r="AD645" s="56"/>
      <c r="AE645" s="57"/>
      <c r="AF645" s="56"/>
      <c r="AG645" s="56"/>
      <c r="AH645" s="56"/>
      <c r="AI645" s="3" t="s">
        <v>1583</v>
      </c>
    </row>
    <row r="646" spans="1:35" ht="54">
      <c r="A646" s="144">
        <f t="shared" si="10"/>
        <v>644</v>
      </c>
      <c r="B646" s="148"/>
      <c r="C646" s="148"/>
      <c r="D646" s="148"/>
      <c r="E646" s="148"/>
      <c r="F646" s="148"/>
      <c r="G646" s="148"/>
      <c r="H646" s="148"/>
      <c r="I646" s="148"/>
      <c r="J646" s="98" t="s">
        <v>2104</v>
      </c>
      <c r="K646" s="51" t="str">
        <f>_xlfn.XLOOKUP(L646,'99_マスタ'!$D$5:$D$18,'99_マスタ'!$C$5:$C$18,"")</f>
        <v>02_生販在</v>
      </c>
      <c r="L646" s="114" t="s">
        <v>2303</v>
      </c>
      <c r="M646" s="109" t="s">
        <v>1318</v>
      </c>
      <c r="N646" s="126" t="s">
        <v>1319</v>
      </c>
      <c r="O646" s="40" t="s">
        <v>1320</v>
      </c>
      <c r="P646" s="40"/>
      <c r="Q646" s="40" t="s">
        <v>161</v>
      </c>
      <c r="R646" s="41" t="s">
        <v>1321</v>
      </c>
      <c r="S646" s="41" t="s">
        <v>139</v>
      </c>
      <c r="T646" s="41" t="s">
        <v>139</v>
      </c>
      <c r="U646" s="41" t="s">
        <v>139</v>
      </c>
      <c r="V646" s="41" t="s">
        <v>139</v>
      </c>
      <c r="W646" s="43" t="s">
        <v>1322</v>
      </c>
      <c r="X646" s="41" t="s">
        <v>139</v>
      </c>
      <c r="Y646" s="41" t="s">
        <v>139</v>
      </c>
      <c r="Z646" s="41" t="s">
        <v>139</v>
      </c>
      <c r="AA646" s="41" t="s">
        <v>139</v>
      </c>
      <c r="AB646" s="44"/>
      <c r="AC646" s="45"/>
      <c r="AD646" s="45"/>
      <c r="AE646" s="46"/>
      <c r="AF646" s="45"/>
      <c r="AG646" s="45"/>
      <c r="AH646" s="45"/>
      <c r="AI646" s="3" t="s">
        <v>1583</v>
      </c>
    </row>
    <row r="647" spans="1:35" ht="40.5">
      <c r="A647" s="144">
        <f t="shared" si="10"/>
        <v>645</v>
      </c>
      <c r="B647" s="148"/>
      <c r="C647" s="148"/>
      <c r="D647" s="148"/>
      <c r="E647" s="148"/>
      <c r="F647" s="148"/>
      <c r="G647" s="148"/>
      <c r="H647" s="148"/>
      <c r="I647" s="148"/>
      <c r="J647" s="98" t="s">
        <v>2104</v>
      </c>
      <c r="K647" s="51" t="str">
        <f>_xlfn.XLOOKUP(L647,'99_マスタ'!$D$5:$D$18,'99_マスタ'!$C$5:$C$18,"")</f>
        <v>02_生販在</v>
      </c>
      <c r="L647" s="114" t="s">
        <v>2303</v>
      </c>
      <c r="M647" s="109" t="s">
        <v>3268</v>
      </c>
      <c r="N647" s="126" t="s">
        <v>3269</v>
      </c>
      <c r="O647" s="40" t="s">
        <v>1323</v>
      </c>
      <c r="P647" s="40"/>
      <c r="Q647" s="40" t="s">
        <v>139</v>
      </c>
      <c r="R647" s="41" t="s">
        <v>1324</v>
      </c>
      <c r="S647" s="41" t="s">
        <v>139</v>
      </c>
      <c r="T647" s="41" t="s">
        <v>139</v>
      </c>
      <c r="U647" s="41" t="s">
        <v>139</v>
      </c>
      <c r="V647" s="41" t="s">
        <v>139</v>
      </c>
      <c r="W647" s="43" t="s">
        <v>117</v>
      </c>
      <c r="X647" s="41" t="s">
        <v>139</v>
      </c>
      <c r="Y647" s="41" t="s">
        <v>139</v>
      </c>
      <c r="Z647" s="41" t="s">
        <v>139</v>
      </c>
      <c r="AA647" s="41" t="s">
        <v>139</v>
      </c>
      <c r="AB647" s="44"/>
      <c r="AC647" s="45"/>
      <c r="AD647" s="45"/>
      <c r="AE647" s="46"/>
      <c r="AF647" s="45"/>
      <c r="AG647" s="45"/>
      <c r="AH647" s="45"/>
      <c r="AI647" s="3" t="s">
        <v>1583</v>
      </c>
    </row>
    <row r="648" spans="1:35" ht="40.5">
      <c r="A648" s="144">
        <f t="shared" si="10"/>
        <v>646</v>
      </c>
      <c r="B648" s="148"/>
      <c r="C648" s="148"/>
      <c r="D648" s="148"/>
      <c r="E648" s="148"/>
      <c r="F648" s="148"/>
      <c r="G648" s="148"/>
      <c r="H648" s="148"/>
      <c r="I648" s="148"/>
      <c r="J648" s="108" t="s">
        <v>2104</v>
      </c>
      <c r="K648" s="101" t="str">
        <f>_xlfn.XLOOKUP(L648,'99_マスタ'!$D$5:$D$18,'99_マスタ'!$C$5:$C$18,"")</f>
        <v>02_生販在</v>
      </c>
      <c r="L648" s="101" t="s">
        <v>2303</v>
      </c>
      <c r="M648" s="101" t="s">
        <v>1159</v>
      </c>
      <c r="N648" s="126" t="s">
        <v>1160</v>
      </c>
      <c r="O648" s="40" t="s">
        <v>1161</v>
      </c>
      <c r="P648" s="40" t="s">
        <v>3099</v>
      </c>
      <c r="Q648" s="40" t="s">
        <v>192</v>
      </c>
      <c r="R648" s="41" t="s">
        <v>1162</v>
      </c>
      <c r="S648" s="41" t="s">
        <v>139</v>
      </c>
      <c r="T648" s="41" t="s">
        <v>139</v>
      </c>
      <c r="U648" s="41" t="s">
        <v>139</v>
      </c>
      <c r="V648" s="41" t="s">
        <v>139</v>
      </c>
      <c r="W648" s="43" t="s">
        <v>163</v>
      </c>
      <c r="X648" s="41" t="s">
        <v>139</v>
      </c>
      <c r="Y648" s="41" t="s">
        <v>139</v>
      </c>
      <c r="Z648" s="41" t="s">
        <v>139</v>
      </c>
      <c r="AA648" s="41" t="s">
        <v>139</v>
      </c>
      <c r="AB648" s="44"/>
      <c r="AC648" s="45"/>
      <c r="AD648" s="45"/>
      <c r="AE648" s="46"/>
      <c r="AF648" s="45"/>
      <c r="AG648" s="45"/>
      <c r="AH648" s="45"/>
      <c r="AI648" s="3" t="s">
        <v>1583</v>
      </c>
    </row>
    <row r="649" spans="1:35" ht="40.5">
      <c r="A649" s="144">
        <f t="shared" si="10"/>
        <v>647</v>
      </c>
      <c r="B649" s="148"/>
      <c r="C649" s="148"/>
      <c r="D649" s="148"/>
      <c r="E649" s="148"/>
      <c r="F649" s="148"/>
      <c r="G649" s="148"/>
      <c r="H649" s="148"/>
      <c r="I649" s="148"/>
      <c r="J649" s="98" t="s">
        <v>2104</v>
      </c>
      <c r="K649" s="51" t="str">
        <f>_xlfn.XLOOKUP(L649,'99_マスタ'!$D$5:$D$18,'99_マスタ'!$C$5:$C$18,"")</f>
        <v>02_生販在</v>
      </c>
      <c r="L649" s="101" t="s">
        <v>2303</v>
      </c>
      <c r="M649" s="109" t="s">
        <v>1262</v>
      </c>
      <c r="N649" s="126" t="s">
        <v>1263</v>
      </c>
      <c r="O649" s="62" t="s">
        <v>1264</v>
      </c>
      <c r="P649" s="62"/>
      <c r="Q649" s="40" t="s">
        <v>1637</v>
      </c>
      <c r="R649" s="41" t="s">
        <v>1265</v>
      </c>
      <c r="S649" s="41" t="s">
        <v>139</v>
      </c>
      <c r="T649" s="41" t="s">
        <v>139</v>
      </c>
      <c r="U649" s="41" t="s">
        <v>139</v>
      </c>
      <c r="V649" s="41" t="s">
        <v>139</v>
      </c>
      <c r="W649" s="43" t="s">
        <v>163</v>
      </c>
      <c r="X649" s="41" t="s">
        <v>139</v>
      </c>
      <c r="Y649" s="41" t="s">
        <v>139</v>
      </c>
      <c r="Z649" s="41" t="s">
        <v>139</v>
      </c>
      <c r="AA649" s="41" t="s">
        <v>139</v>
      </c>
      <c r="AB649" s="44"/>
      <c r="AC649" s="45"/>
      <c r="AD649" s="45"/>
      <c r="AE649" s="46"/>
      <c r="AF649" s="45"/>
      <c r="AG649" s="45"/>
      <c r="AH649" s="45"/>
      <c r="AI649" s="3" t="s">
        <v>1583</v>
      </c>
    </row>
    <row r="650" spans="1:35" ht="27">
      <c r="A650" s="144">
        <f t="shared" si="10"/>
        <v>648</v>
      </c>
      <c r="B650" s="148"/>
      <c r="C650" s="148"/>
      <c r="D650" s="148"/>
      <c r="E650" s="148"/>
      <c r="F650" s="148"/>
      <c r="G650" s="148"/>
      <c r="H650" s="148"/>
      <c r="I650" s="148"/>
      <c r="J650" s="108" t="s">
        <v>2104</v>
      </c>
      <c r="K650" s="101" t="str">
        <f>_xlfn.XLOOKUP(L650,'99_マスタ'!$D$5:$D$18,'99_マスタ'!$C$5:$C$18,"")</f>
        <v>02_生販在</v>
      </c>
      <c r="L650" s="64" t="s">
        <v>2303</v>
      </c>
      <c r="M650" s="64" t="s">
        <v>219</v>
      </c>
      <c r="N650" s="54" t="s">
        <v>139</v>
      </c>
      <c r="O650" s="41" t="s">
        <v>220</v>
      </c>
      <c r="P650" s="41" t="s">
        <v>221</v>
      </c>
      <c r="Q650" s="41" t="s">
        <v>139</v>
      </c>
      <c r="R650" s="41" t="s">
        <v>222</v>
      </c>
      <c r="S650" s="41" t="s">
        <v>139</v>
      </c>
      <c r="T650" s="41" t="s">
        <v>139</v>
      </c>
      <c r="U650" s="41" t="s">
        <v>139</v>
      </c>
      <c r="V650" s="41" t="s">
        <v>139</v>
      </c>
      <c r="W650" s="53" t="s">
        <v>218</v>
      </c>
      <c r="X650" s="54" t="s">
        <v>139</v>
      </c>
      <c r="Y650" s="54" t="s">
        <v>139</v>
      </c>
      <c r="Z650" s="54" t="s">
        <v>139</v>
      </c>
      <c r="AA650" s="54" t="s">
        <v>139</v>
      </c>
      <c r="AB650" s="55"/>
      <c r="AC650" s="56"/>
      <c r="AD650" s="56"/>
      <c r="AE650" s="57"/>
      <c r="AF650" s="56"/>
      <c r="AG650" s="56"/>
      <c r="AH650" s="56"/>
      <c r="AI650" s="3" t="s">
        <v>1583</v>
      </c>
    </row>
    <row r="651" spans="1:35">
      <c r="A651" s="144">
        <f t="shared" si="10"/>
        <v>649</v>
      </c>
      <c r="B651" s="148"/>
      <c r="C651" s="148"/>
      <c r="D651" s="148"/>
      <c r="E651" s="148"/>
      <c r="F651" s="148"/>
      <c r="G651" s="148"/>
      <c r="H651" s="148"/>
      <c r="I651" s="148"/>
      <c r="J651" s="98" t="s">
        <v>2104</v>
      </c>
      <c r="K651" s="51" t="str">
        <f>_xlfn.XLOOKUP(L651,'99_マスタ'!$D$5:$D$18,'99_マスタ'!$C$5:$C$18,"")</f>
        <v>02_生販在</v>
      </c>
      <c r="L651" s="51" t="s">
        <v>2303</v>
      </c>
      <c r="M651" s="51" t="s">
        <v>395</v>
      </c>
      <c r="N651" s="54" t="s">
        <v>139</v>
      </c>
      <c r="O651" s="41" t="s">
        <v>396</v>
      </c>
      <c r="P651" s="41"/>
      <c r="Q651" s="41" t="s">
        <v>192</v>
      </c>
      <c r="R651" s="41" t="s">
        <v>397</v>
      </c>
      <c r="S651" s="41" t="s">
        <v>139</v>
      </c>
      <c r="T651" s="41" t="s">
        <v>139</v>
      </c>
      <c r="U651" s="41" t="s">
        <v>139</v>
      </c>
      <c r="V651" s="41" t="s">
        <v>139</v>
      </c>
      <c r="W651" s="53" t="s">
        <v>114</v>
      </c>
      <c r="X651" s="54" t="s">
        <v>139</v>
      </c>
      <c r="Y651" s="54" t="s">
        <v>139</v>
      </c>
      <c r="Z651" s="54" t="s">
        <v>139</v>
      </c>
      <c r="AA651" s="54" t="s">
        <v>139</v>
      </c>
      <c r="AB651" s="55"/>
      <c r="AC651" s="56"/>
      <c r="AD651" s="56"/>
      <c r="AE651" s="57"/>
      <c r="AF651" s="56"/>
      <c r="AG651" s="56"/>
      <c r="AH651" s="56"/>
      <c r="AI651" s="3" t="s">
        <v>1583</v>
      </c>
    </row>
    <row r="652" spans="1:35" ht="40.5">
      <c r="A652" s="144">
        <f t="shared" si="10"/>
        <v>650</v>
      </c>
      <c r="B652" s="148"/>
      <c r="C652" s="148"/>
      <c r="D652" s="148"/>
      <c r="E652" s="148"/>
      <c r="F652" s="148"/>
      <c r="G652" s="148"/>
      <c r="H652" s="148"/>
      <c r="I652" s="148"/>
      <c r="J652" s="108" t="s">
        <v>2104</v>
      </c>
      <c r="K652" s="101" t="str">
        <f>_xlfn.XLOOKUP(L652,'99_マスタ'!$D$5:$D$18,'99_マスタ'!$C$5:$C$18,"")</f>
        <v>02_生販在</v>
      </c>
      <c r="L652" s="64" t="s">
        <v>2303</v>
      </c>
      <c r="M652" s="64" t="s">
        <v>223</v>
      </c>
      <c r="N652" s="54" t="s">
        <v>139</v>
      </c>
      <c r="O652" s="41" t="s">
        <v>224</v>
      </c>
      <c r="P652" s="41" t="s">
        <v>225</v>
      </c>
      <c r="Q652" s="41" t="s">
        <v>192</v>
      </c>
      <c r="R652" s="41" t="s">
        <v>226</v>
      </c>
      <c r="S652" s="41" t="s">
        <v>139</v>
      </c>
      <c r="T652" s="41" t="s">
        <v>139</v>
      </c>
      <c r="U652" s="41" t="s">
        <v>227</v>
      </c>
      <c r="V652" s="41" t="s">
        <v>139</v>
      </c>
      <c r="W652" s="53" t="s">
        <v>228</v>
      </c>
      <c r="X652" s="54" t="s">
        <v>139</v>
      </c>
      <c r="Y652" s="54" t="s">
        <v>139</v>
      </c>
      <c r="Z652" s="54" t="s">
        <v>229</v>
      </c>
      <c r="AA652" s="54" t="s">
        <v>139</v>
      </c>
      <c r="AB652" s="55"/>
      <c r="AC652" s="56"/>
      <c r="AD652" s="56"/>
      <c r="AE652" s="57"/>
      <c r="AF652" s="56"/>
      <c r="AG652" s="56"/>
      <c r="AH652" s="56"/>
      <c r="AI652" s="3" t="s">
        <v>1583</v>
      </c>
    </row>
    <row r="653" spans="1:35" ht="40.5">
      <c r="A653" s="144">
        <f t="shared" si="10"/>
        <v>651</v>
      </c>
      <c r="B653" s="148"/>
      <c r="C653" s="148"/>
      <c r="D653" s="148"/>
      <c r="E653" s="148"/>
      <c r="F653" s="148"/>
      <c r="G653" s="148"/>
      <c r="H653" s="148"/>
      <c r="I653" s="148"/>
      <c r="J653" s="98" t="s">
        <v>2104</v>
      </c>
      <c r="K653" s="101" t="str">
        <f>_xlfn.XLOOKUP(L653,'99_マスタ'!$D$5:$D$18,'99_マスタ'!$C$5:$C$18,"")</f>
        <v>02_生販在</v>
      </c>
      <c r="L653" s="113" t="s">
        <v>2303</v>
      </c>
      <c r="M653" s="113" t="s">
        <v>1299</v>
      </c>
      <c r="N653" s="126" t="s">
        <v>1300</v>
      </c>
      <c r="O653" s="40" t="s">
        <v>1301</v>
      </c>
      <c r="P653" s="40" t="s">
        <v>1302</v>
      </c>
      <c r="Q653" s="40" t="s">
        <v>161</v>
      </c>
      <c r="R653" s="41" t="s">
        <v>1303</v>
      </c>
      <c r="S653" s="41" t="s">
        <v>139</v>
      </c>
      <c r="T653" s="41" t="s">
        <v>139</v>
      </c>
      <c r="U653" s="41" t="s">
        <v>139</v>
      </c>
      <c r="V653" s="41" t="s">
        <v>139</v>
      </c>
      <c r="W653" s="43" t="s">
        <v>1277</v>
      </c>
      <c r="X653" s="41" t="s">
        <v>139</v>
      </c>
      <c r="Y653" s="41" t="s">
        <v>139</v>
      </c>
      <c r="Z653" s="41" t="s">
        <v>139</v>
      </c>
      <c r="AA653" s="41" t="s">
        <v>139</v>
      </c>
      <c r="AB653" s="44"/>
      <c r="AC653" s="45"/>
      <c r="AD653" s="45"/>
      <c r="AE653" s="46"/>
      <c r="AF653" s="45"/>
      <c r="AG653" s="45"/>
      <c r="AH653" s="45"/>
      <c r="AI653" s="3" t="s">
        <v>1583</v>
      </c>
    </row>
    <row r="654" spans="1:35">
      <c r="A654" s="144">
        <f t="shared" si="10"/>
        <v>652</v>
      </c>
      <c r="B654" s="148"/>
      <c r="C654" s="148"/>
      <c r="D654" s="148"/>
      <c r="E654" s="148"/>
      <c r="F654" s="148"/>
      <c r="G654" s="148"/>
      <c r="H654" s="148"/>
      <c r="I654" s="148"/>
      <c r="J654" s="98" t="s">
        <v>2104</v>
      </c>
      <c r="K654" s="51" t="str">
        <f>_xlfn.XLOOKUP(L654,'99_マスタ'!$D$5:$D$18,'99_マスタ'!$C$5:$C$18,"")</f>
        <v>02_生販在</v>
      </c>
      <c r="L654" s="67" t="s">
        <v>2303</v>
      </c>
      <c r="M654" s="67" t="s">
        <v>427</v>
      </c>
      <c r="N654" s="54" t="s">
        <v>139</v>
      </c>
      <c r="O654" s="41" t="s">
        <v>428</v>
      </c>
      <c r="P654" s="41"/>
      <c r="Q654" s="41" t="s">
        <v>139</v>
      </c>
      <c r="R654" s="41" t="s">
        <v>429</v>
      </c>
      <c r="S654" s="41" t="s">
        <v>139</v>
      </c>
      <c r="T654" s="41" t="s">
        <v>139</v>
      </c>
      <c r="U654" s="41" t="s">
        <v>139</v>
      </c>
      <c r="V654" s="41" t="s">
        <v>139</v>
      </c>
      <c r="W654" s="53" t="s">
        <v>218</v>
      </c>
      <c r="X654" s="54" t="s">
        <v>139</v>
      </c>
      <c r="Y654" s="54" t="s">
        <v>139</v>
      </c>
      <c r="Z654" s="54" t="s">
        <v>139</v>
      </c>
      <c r="AA654" s="54" t="s">
        <v>139</v>
      </c>
      <c r="AB654" s="55"/>
      <c r="AC654" s="56"/>
      <c r="AD654" s="56"/>
      <c r="AE654" s="57"/>
      <c r="AF654" s="56"/>
      <c r="AG654" s="56"/>
      <c r="AH654" s="56"/>
      <c r="AI654" s="3" t="s">
        <v>1583</v>
      </c>
    </row>
    <row r="655" spans="1:35" ht="27">
      <c r="A655" s="144">
        <f t="shared" si="10"/>
        <v>653</v>
      </c>
      <c r="B655" s="148"/>
      <c r="C655" s="148"/>
      <c r="D655" s="148"/>
      <c r="E655" s="148"/>
      <c r="F655" s="148"/>
      <c r="G655" s="148"/>
      <c r="H655" s="148"/>
      <c r="I655" s="148"/>
      <c r="J655" s="98" t="s">
        <v>2104</v>
      </c>
      <c r="K655" s="99" t="str">
        <f>_xlfn.XLOOKUP(L655,'99_マスタ'!$D$5:$D$18,'99_マスタ'!$C$5:$C$18,"")</f>
        <v>02_生販在</v>
      </c>
      <c r="L655" s="67" t="s">
        <v>2303</v>
      </c>
      <c r="M655" s="99" t="s">
        <v>634</v>
      </c>
      <c r="N655" s="126" t="s">
        <v>139</v>
      </c>
      <c r="O655" s="40" t="s">
        <v>635</v>
      </c>
      <c r="P655" s="40"/>
      <c r="Q655" s="40" t="s">
        <v>139</v>
      </c>
      <c r="R655" s="41" t="s">
        <v>139</v>
      </c>
      <c r="S655" s="41" t="s">
        <v>139</v>
      </c>
      <c r="T655" s="41" t="s">
        <v>139</v>
      </c>
      <c r="U655" s="41" t="s">
        <v>636</v>
      </c>
      <c r="V655" s="41" t="s">
        <v>139</v>
      </c>
      <c r="W655" s="43" t="s">
        <v>139</v>
      </c>
      <c r="X655" s="41" t="s">
        <v>139</v>
      </c>
      <c r="Y655" s="41" t="s">
        <v>139</v>
      </c>
      <c r="Z655" s="41" t="s">
        <v>532</v>
      </c>
      <c r="AA655" s="41" t="s">
        <v>139</v>
      </c>
      <c r="AB655" s="44"/>
      <c r="AC655" s="45"/>
      <c r="AD655" s="45"/>
      <c r="AE655" s="46"/>
      <c r="AF655" s="45"/>
      <c r="AG655" s="45"/>
      <c r="AH655" s="45"/>
      <c r="AI655" s="3" t="s">
        <v>1583</v>
      </c>
    </row>
    <row r="656" spans="1:35">
      <c r="A656" s="144">
        <f t="shared" si="10"/>
        <v>654</v>
      </c>
      <c r="B656" s="148"/>
      <c r="C656" s="148"/>
      <c r="D656" s="148"/>
      <c r="E656" s="148"/>
      <c r="F656" s="148"/>
      <c r="G656" s="148"/>
      <c r="H656" s="148"/>
      <c r="I656" s="148"/>
      <c r="J656" s="98" t="s">
        <v>2104</v>
      </c>
      <c r="K656" s="51" t="str">
        <f>_xlfn.XLOOKUP(L656,'99_マスタ'!$D$5:$D$18,'99_マスタ'!$C$5:$C$18,"")</f>
        <v>02_生販在</v>
      </c>
      <c r="L656" s="114" t="s">
        <v>2303</v>
      </c>
      <c r="M656" s="66" t="s">
        <v>3295</v>
      </c>
      <c r="N656" s="54" t="s">
        <v>3296</v>
      </c>
      <c r="O656" s="41" t="s">
        <v>491</v>
      </c>
      <c r="P656" s="41"/>
      <c r="Q656" s="41" t="s">
        <v>139</v>
      </c>
      <c r="R656" s="41" t="s">
        <v>442</v>
      </c>
      <c r="S656" s="41" t="s">
        <v>139</v>
      </c>
      <c r="T656" s="41" t="s">
        <v>139</v>
      </c>
      <c r="U656" s="41" t="s">
        <v>139</v>
      </c>
      <c r="V656" s="41" t="s">
        <v>139</v>
      </c>
      <c r="W656" s="53" t="s">
        <v>200</v>
      </c>
      <c r="X656" s="54" t="s">
        <v>139</v>
      </c>
      <c r="Y656" s="54" t="s">
        <v>139</v>
      </c>
      <c r="Z656" s="54" t="s">
        <v>139</v>
      </c>
      <c r="AA656" s="54" t="s">
        <v>139</v>
      </c>
      <c r="AB656" s="55"/>
      <c r="AC656" s="56"/>
      <c r="AD656" s="56"/>
      <c r="AE656" s="57"/>
      <c r="AF656" s="56"/>
      <c r="AG656" s="56"/>
      <c r="AH656" s="56"/>
      <c r="AI656" s="3" t="s">
        <v>1583</v>
      </c>
    </row>
    <row r="657" spans="1:35">
      <c r="A657" s="144">
        <f t="shared" si="10"/>
        <v>655</v>
      </c>
      <c r="B657" s="148"/>
      <c r="C657" s="148"/>
      <c r="D657" s="148"/>
      <c r="E657" s="148"/>
      <c r="F657" s="148"/>
      <c r="G657" s="148"/>
      <c r="H657" s="148"/>
      <c r="I657" s="148"/>
      <c r="J657" s="98" t="s">
        <v>2104</v>
      </c>
      <c r="K657" s="101" t="str">
        <f>_xlfn.XLOOKUP(L657,'99_マスタ'!$D$5:$D$18,'99_マスタ'!$C$5:$C$18,"")</f>
        <v>02_生販在</v>
      </c>
      <c r="L657" s="81" t="s">
        <v>2303</v>
      </c>
      <c r="M657" s="81" t="s">
        <v>335</v>
      </c>
      <c r="N657" s="54" t="s">
        <v>139</v>
      </c>
      <c r="O657" s="41" t="s">
        <v>336</v>
      </c>
      <c r="P657" s="41" t="s">
        <v>337</v>
      </c>
      <c r="Q657" s="41" t="s">
        <v>1140</v>
      </c>
      <c r="R657" s="41" t="s">
        <v>328</v>
      </c>
      <c r="S657" s="41" t="s">
        <v>139</v>
      </c>
      <c r="T657" s="41" t="s">
        <v>139</v>
      </c>
      <c r="U657" s="41" t="s">
        <v>139</v>
      </c>
      <c r="V657" s="41" t="s">
        <v>139</v>
      </c>
      <c r="W657" s="53" t="s">
        <v>117</v>
      </c>
      <c r="X657" s="54" t="s">
        <v>139</v>
      </c>
      <c r="Y657" s="54" t="s">
        <v>139</v>
      </c>
      <c r="Z657" s="54" t="s">
        <v>139</v>
      </c>
      <c r="AA657" s="54" t="s">
        <v>139</v>
      </c>
      <c r="AB657" s="55"/>
      <c r="AC657" s="56"/>
      <c r="AD657" s="56"/>
      <c r="AE657" s="57"/>
      <c r="AF657" s="56"/>
      <c r="AG657" s="56"/>
      <c r="AH657" s="56"/>
      <c r="AI657" s="3" t="s">
        <v>1583</v>
      </c>
    </row>
    <row r="658" spans="1:35" ht="40.5">
      <c r="A658" s="144">
        <f t="shared" si="10"/>
        <v>656</v>
      </c>
      <c r="B658" s="148"/>
      <c r="C658" s="148"/>
      <c r="D658" s="148"/>
      <c r="E658" s="148"/>
      <c r="F658" s="148"/>
      <c r="G658" s="148"/>
      <c r="H658" s="148"/>
      <c r="I658" s="148"/>
      <c r="J658" s="98" t="s">
        <v>2104</v>
      </c>
      <c r="K658" s="51" t="str">
        <f>_xlfn.XLOOKUP(L658,'99_マスタ'!$D$5:$D$18,'99_マスタ'!$C$5:$C$18,"")</f>
        <v>02_生販在</v>
      </c>
      <c r="L658" s="114" t="s">
        <v>2303</v>
      </c>
      <c r="M658" s="66" t="s">
        <v>2890</v>
      </c>
      <c r="N658" s="54" t="s">
        <v>1637</v>
      </c>
      <c r="O658" s="41" t="s">
        <v>2892</v>
      </c>
      <c r="P658" s="41"/>
      <c r="Q658" s="41" t="s">
        <v>139</v>
      </c>
      <c r="R658" s="41" t="s">
        <v>494</v>
      </c>
      <c r="S658" s="41" t="s">
        <v>139</v>
      </c>
      <c r="T658" s="41" t="s">
        <v>139</v>
      </c>
      <c r="U658" s="41" t="s">
        <v>139</v>
      </c>
      <c r="V658" s="41" t="s">
        <v>139</v>
      </c>
      <c r="W658" s="53" t="s">
        <v>235</v>
      </c>
      <c r="X658" s="54" t="s">
        <v>139</v>
      </c>
      <c r="Y658" s="54" t="s">
        <v>139</v>
      </c>
      <c r="Z658" s="54" t="s">
        <v>139</v>
      </c>
      <c r="AA658" s="54" t="s">
        <v>139</v>
      </c>
      <c r="AB658" s="55"/>
      <c r="AC658" s="56"/>
      <c r="AD658" s="56"/>
      <c r="AE658" s="57"/>
      <c r="AF658" s="56"/>
      <c r="AG658" s="56"/>
      <c r="AH658" s="56"/>
      <c r="AI658" s="3" t="s">
        <v>1583</v>
      </c>
    </row>
    <row r="659" spans="1:35">
      <c r="A659" s="144">
        <f t="shared" si="10"/>
        <v>657</v>
      </c>
      <c r="B659" s="148"/>
      <c r="C659" s="148"/>
      <c r="D659" s="148"/>
      <c r="E659" s="148"/>
      <c r="F659" s="148"/>
      <c r="G659" s="148"/>
      <c r="H659" s="148"/>
      <c r="I659" s="148"/>
      <c r="J659" s="98" t="s">
        <v>2104</v>
      </c>
      <c r="K659" s="51" t="str">
        <f>_xlfn.XLOOKUP(L659,'99_マスタ'!$D$5:$D$18,'99_マスタ'!$C$5:$C$18,"")</f>
        <v>02_生販在</v>
      </c>
      <c r="L659" s="52" t="s">
        <v>2303</v>
      </c>
      <c r="M659" s="52" t="s">
        <v>471</v>
      </c>
      <c r="N659" s="54" t="s">
        <v>139</v>
      </c>
      <c r="O659" s="41" t="s">
        <v>472</v>
      </c>
      <c r="P659" s="41"/>
      <c r="Q659" s="41" t="s">
        <v>139</v>
      </c>
      <c r="R659" s="41" t="s">
        <v>473</v>
      </c>
      <c r="S659" s="41" t="s">
        <v>139</v>
      </c>
      <c r="T659" s="41" t="s">
        <v>139</v>
      </c>
      <c r="U659" s="41" t="s">
        <v>139</v>
      </c>
      <c r="V659" s="41" t="s">
        <v>139</v>
      </c>
      <c r="W659" s="53" t="s">
        <v>474</v>
      </c>
      <c r="X659" s="54" t="s">
        <v>139</v>
      </c>
      <c r="Y659" s="54" t="s">
        <v>139</v>
      </c>
      <c r="Z659" s="54" t="s">
        <v>139</v>
      </c>
      <c r="AA659" s="54" t="s">
        <v>139</v>
      </c>
      <c r="AB659" s="55"/>
      <c r="AC659" s="56"/>
      <c r="AD659" s="56"/>
      <c r="AE659" s="57"/>
      <c r="AF659" s="56"/>
      <c r="AG659" s="56"/>
      <c r="AH659" s="56"/>
      <c r="AI659" s="3" t="s">
        <v>1583</v>
      </c>
    </row>
    <row r="660" spans="1:35" ht="40.5">
      <c r="A660" s="144">
        <f t="shared" si="10"/>
        <v>658</v>
      </c>
      <c r="B660" s="148"/>
      <c r="C660" s="148"/>
      <c r="D660" s="148"/>
      <c r="E660" s="148"/>
      <c r="F660" s="148"/>
      <c r="G660" s="148"/>
      <c r="H660" s="148"/>
      <c r="I660" s="148"/>
      <c r="J660" s="98" t="s">
        <v>2104</v>
      </c>
      <c r="K660" s="65" t="str">
        <f>_xlfn.XLOOKUP(L660,'99_マスタ'!$D$5:$D$18,'99_マスタ'!$C$5:$C$18,"")</f>
        <v>02_生販在</v>
      </c>
      <c r="L660" s="101" t="s">
        <v>2303</v>
      </c>
      <c r="M660" s="101" t="s">
        <v>746</v>
      </c>
      <c r="N660" s="126" t="s">
        <v>747</v>
      </c>
      <c r="O660" s="40" t="s">
        <v>748</v>
      </c>
      <c r="P660" s="40"/>
      <c r="Q660" s="40" t="s">
        <v>3067</v>
      </c>
      <c r="R660" s="41" t="s">
        <v>139</v>
      </c>
      <c r="S660" s="41" t="s">
        <v>749</v>
      </c>
      <c r="T660" s="41" t="s">
        <v>139</v>
      </c>
      <c r="U660" s="41" t="s">
        <v>139</v>
      </c>
      <c r="V660" s="41" t="s">
        <v>139</v>
      </c>
      <c r="W660" s="43" t="s">
        <v>139</v>
      </c>
      <c r="X660" s="41" t="s">
        <v>613</v>
      </c>
      <c r="Y660" s="41" t="s">
        <v>139</v>
      </c>
      <c r="Z660" s="41" t="s">
        <v>139</v>
      </c>
      <c r="AA660" s="41" t="s">
        <v>139</v>
      </c>
      <c r="AB660" s="44"/>
      <c r="AC660" s="45"/>
      <c r="AD660" s="45"/>
      <c r="AE660" s="46"/>
      <c r="AF660" s="45"/>
      <c r="AG660" s="45"/>
      <c r="AH660" s="45"/>
      <c r="AI660" s="3" t="s">
        <v>1583</v>
      </c>
    </row>
    <row r="661" spans="1:35" ht="40.5">
      <c r="A661" s="144">
        <f t="shared" si="10"/>
        <v>659</v>
      </c>
      <c r="B661" s="148"/>
      <c r="C661" s="148"/>
      <c r="D661" s="148"/>
      <c r="E661" s="148"/>
      <c r="F661" s="148"/>
      <c r="G661" s="148"/>
      <c r="H661" s="148"/>
      <c r="I661" s="148"/>
      <c r="J661" s="98" t="s">
        <v>2104</v>
      </c>
      <c r="K661" s="51" t="str">
        <f>_xlfn.XLOOKUP(L661,'99_マスタ'!$D$5:$D$18,'99_マスタ'!$C$5:$C$18,"")</f>
        <v>02_生販在</v>
      </c>
      <c r="L661" s="114" t="s">
        <v>2303</v>
      </c>
      <c r="M661" s="114" t="s">
        <v>1347</v>
      </c>
      <c r="N661" s="126" t="s">
        <v>1348</v>
      </c>
      <c r="O661" s="40" t="s">
        <v>1349</v>
      </c>
      <c r="P661" s="40" t="s">
        <v>1350</v>
      </c>
      <c r="Q661" s="40" t="s">
        <v>139</v>
      </c>
      <c r="R661" s="41" t="s">
        <v>1351</v>
      </c>
      <c r="S661" s="41" t="s">
        <v>139</v>
      </c>
      <c r="T661" s="41" t="s">
        <v>139</v>
      </c>
      <c r="U661" s="41" t="s">
        <v>139</v>
      </c>
      <c r="V661" s="41" t="s">
        <v>139</v>
      </c>
      <c r="W661" s="43" t="s">
        <v>438</v>
      </c>
      <c r="X661" s="41" t="s">
        <v>139</v>
      </c>
      <c r="Y661" s="41" t="s">
        <v>139</v>
      </c>
      <c r="Z661" s="41" t="s">
        <v>139</v>
      </c>
      <c r="AA661" s="41" t="s">
        <v>139</v>
      </c>
      <c r="AB661" s="44"/>
      <c r="AC661" s="45"/>
      <c r="AD661" s="45"/>
      <c r="AE661" s="46"/>
      <c r="AF661" s="45"/>
      <c r="AG661" s="45"/>
      <c r="AH661" s="45"/>
      <c r="AI661" s="3" t="s">
        <v>1583</v>
      </c>
    </row>
    <row r="662" spans="1:35" ht="40.5">
      <c r="A662" s="144">
        <f t="shared" si="10"/>
        <v>660</v>
      </c>
      <c r="B662" s="148"/>
      <c r="C662" s="148"/>
      <c r="D662" s="148"/>
      <c r="E662" s="148"/>
      <c r="F662" s="148"/>
      <c r="G662" s="148"/>
      <c r="H662" s="148"/>
      <c r="I662" s="148"/>
      <c r="J662" s="98" t="s">
        <v>2104</v>
      </c>
      <c r="K662" s="65" t="str">
        <f>_xlfn.XLOOKUP(L662,'99_マスタ'!$D$5:$D$18,'99_マスタ'!$C$5:$C$18,"")</f>
        <v>02_生販在</v>
      </c>
      <c r="L662" s="101" t="s">
        <v>2303</v>
      </c>
      <c r="M662" s="101" t="s">
        <v>3272</v>
      </c>
      <c r="N662" s="126" t="s">
        <v>3270</v>
      </c>
      <c r="O662" s="40" t="s">
        <v>743</v>
      </c>
      <c r="P662" s="40"/>
      <c r="Q662" s="40" t="s">
        <v>139</v>
      </c>
      <c r="R662" s="41" t="s">
        <v>139</v>
      </c>
      <c r="S662" s="41" t="s">
        <v>744</v>
      </c>
      <c r="T662" s="41" t="s">
        <v>139</v>
      </c>
      <c r="U662" s="41" t="s">
        <v>139</v>
      </c>
      <c r="V662" s="41" t="s">
        <v>139</v>
      </c>
      <c r="W662" s="43" t="s">
        <v>139</v>
      </c>
      <c r="X662" s="41" t="s">
        <v>745</v>
      </c>
      <c r="Y662" s="41" t="s">
        <v>139</v>
      </c>
      <c r="Z662" s="41" t="s">
        <v>139</v>
      </c>
      <c r="AA662" s="41" t="s">
        <v>139</v>
      </c>
      <c r="AB662" s="44"/>
      <c r="AC662" s="45"/>
      <c r="AD662" s="45"/>
      <c r="AE662" s="46"/>
      <c r="AF662" s="45"/>
      <c r="AG662" s="45"/>
      <c r="AH662" s="45"/>
      <c r="AI662" s="3" t="s">
        <v>1583</v>
      </c>
    </row>
    <row r="663" spans="1:35" ht="40.5">
      <c r="A663" s="144">
        <f t="shared" si="10"/>
        <v>661</v>
      </c>
      <c r="B663" s="148"/>
      <c r="C663" s="148"/>
      <c r="D663" s="148"/>
      <c r="E663" s="148"/>
      <c r="F663" s="148"/>
      <c r="G663" s="148"/>
      <c r="H663" s="148"/>
      <c r="I663" s="148"/>
      <c r="J663" s="98" t="s">
        <v>2104</v>
      </c>
      <c r="K663" s="65" t="str">
        <f>_xlfn.XLOOKUP(L663,'99_マスタ'!$D$5:$D$18,'99_マスタ'!$C$5:$C$18,"")</f>
        <v>02_生販在</v>
      </c>
      <c r="L663" s="101" t="s">
        <v>2303</v>
      </c>
      <c r="M663" s="101" t="s">
        <v>750</v>
      </c>
      <c r="N663" s="126" t="s">
        <v>751</v>
      </c>
      <c r="O663" s="40" t="s">
        <v>752</v>
      </c>
      <c r="P663" s="40"/>
      <c r="Q663" s="40" t="s">
        <v>139</v>
      </c>
      <c r="R663" s="41" t="s">
        <v>139</v>
      </c>
      <c r="S663" s="41" t="s">
        <v>753</v>
      </c>
      <c r="T663" s="41" t="s">
        <v>139</v>
      </c>
      <c r="U663" s="41" t="s">
        <v>139</v>
      </c>
      <c r="V663" s="41" t="s">
        <v>139</v>
      </c>
      <c r="W663" s="43" t="s">
        <v>139</v>
      </c>
      <c r="X663" s="41" t="s">
        <v>754</v>
      </c>
      <c r="Y663" s="41" t="s">
        <v>139</v>
      </c>
      <c r="Z663" s="41" t="s">
        <v>139</v>
      </c>
      <c r="AA663" s="41" t="s">
        <v>139</v>
      </c>
      <c r="AB663" s="44"/>
      <c r="AC663" s="45"/>
      <c r="AD663" s="45"/>
      <c r="AE663" s="46"/>
      <c r="AF663" s="45"/>
      <c r="AG663" s="45"/>
      <c r="AH663" s="45"/>
      <c r="AI663" s="3" t="s">
        <v>1583</v>
      </c>
    </row>
    <row r="664" spans="1:35">
      <c r="A664" s="144">
        <f t="shared" si="10"/>
        <v>662</v>
      </c>
      <c r="B664" s="148"/>
      <c r="C664" s="148"/>
      <c r="D664" s="148"/>
      <c r="E664" s="148"/>
      <c r="F664" s="148"/>
      <c r="G664" s="148"/>
      <c r="H664" s="148"/>
      <c r="I664" s="148"/>
      <c r="J664" s="98" t="s">
        <v>2104</v>
      </c>
      <c r="K664" s="51" t="str">
        <f>_xlfn.XLOOKUP(L664,'99_マスタ'!$D$5:$D$18,'99_マスタ'!$C$5:$C$18,"")</f>
        <v>02_生販在</v>
      </c>
      <c r="L664" s="67" t="s">
        <v>2303</v>
      </c>
      <c r="M664" s="67" t="s">
        <v>439</v>
      </c>
      <c r="N664" s="54" t="s">
        <v>139</v>
      </c>
      <c r="O664" s="41" t="s">
        <v>440</v>
      </c>
      <c r="P664" s="41"/>
      <c r="Q664" s="41" t="s">
        <v>284</v>
      </c>
      <c r="R664" s="41" t="s">
        <v>441</v>
      </c>
      <c r="S664" s="41" t="s">
        <v>139</v>
      </c>
      <c r="T664" s="41" t="s">
        <v>139</v>
      </c>
      <c r="U664" s="41" t="s">
        <v>139</v>
      </c>
      <c r="V664" s="41" t="s">
        <v>139</v>
      </c>
      <c r="W664" s="53" t="s">
        <v>438</v>
      </c>
      <c r="X664" s="54" t="s">
        <v>139</v>
      </c>
      <c r="Y664" s="54" t="s">
        <v>139</v>
      </c>
      <c r="Z664" s="54" t="s">
        <v>139</v>
      </c>
      <c r="AA664" s="54" t="s">
        <v>139</v>
      </c>
      <c r="AB664" s="55"/>
      <c r="AC664" s="56"/>
      <c r="AD664" s="56"/>
      <c r="AE664" s="57"/>
      <c r="AF664" s="56"/>
      <c r="AG664" s="56"/>
      <c r="AH664" s="56"/>
      <c r="AI664" s="3" t="s">
        <v>1583</v>
      </c>
    </row>
    <row r="665" spans="1:35">
      <c r="A665" s="144">
        <f t="shared" si="10"/>
        <v>663</v>
      </c>
      <c r="B665" s="148"/>
      <c r="C665" s="148"/>
      <c r="D665" s="148"/>
      <c r="E665" s="148"/>
      <c r="F665" s="148"/>
      <c r="G665" s="148"/>
      <c r="H665" s="148"/>
      <c r="I665" s="148"/>
      <c r="J665" s="98" t="s">
        <v>2104</v>
      </c>
      <c r="K665" s="101" t="str">
        <f>_xlfn.XLOOKUP(L665,'99_マスタ'!$D$5:$D$18,'99_マスタ'!$C$5:$C$18,"")</f>
        <v>02_生販在</v>
      </c>
      <c r="L665" s="81" t="s">
        <v>2303</v>
      </c>
      <c r="M665" s="81" t="s">
        <v>325</v>
      </c>
      <c r="N665" s="54" t="s">
        <v>139</v>
      </c>
      <c r="O665" s="41" t="s">
        <v>326</v>
      </c>
      <c r="P665" s="41" t="s">
        <v>327</v>
      </c>
      <c r="Q665" s="41" t="s">
        <v>1140</v>
      </c>
      <c r="R665" s="41" t="s">
        <v>328</v>
      </c>
      <c r="S665" s="41" t="s">
        <v>139</v>
      </c>
      <c r="T665" s="41" t="s">
        <v>139</v>
      </c>
      <c r="U665" s="41" t="s">
        <v>139</v>
      </c>
      <c r="V665" s="41" t="s">
        <v>139</v>
      </c>
      <c r="W665" s="53" t="s">
        <v>117</v>
      </c>
      <c r="X665" s="54" t="s">
        <v>139</v>
      </c>
      <c r="Y665" s="54" t="s">
        <v>139</v>
      </c>
      <c r="Z665" s="54" t="s">
        <v>139</v>
      </c>
      <c r="AA665" s="54" t="s">
        <v>139</v>
      </c>
      <c r="AB665" s="55"/>
      <c r="AC665" s="56"/>
      <c r="AD665" s="56"/>
      <c r="AE665" s="57"/>
      <c r="AF665" s="56"/>
      <c r="AG665" s="56"/>
      <c r="AH665" s="56"/>
      <c r="AI665" s="3" t="s">
        <v>1583</v>
      </c>
    </row>
    <row r="666" spans="1:35" ht="27">
      <c r="A666" s="144">
        <f t="shared" si="10"/>
        <v>664</v>
      </c>
      <c r="B666" s="148"/>
      <c r="C666" s="148"/>
      <c r="D666" s="148"/>
      <c r="E666" s="148"/>
      <c r="F666" s="148"/>
      <c r="G666" s="148"/>
      <c r="H666" s="148"/>
      <c r="I666" s="148"/>
      <c r="J666" s="103" t="s">
        <v>2104</v>
      </c>
      <c r="K666" s="51" t="str">
        <f>_xlfn.XLOOKUP(L666,'99_マスタ'!$D$5:$D$18,'99_マスタ'!$C$5:$C$18,"")</f>
        <v>02_生販在</v>
      </c>
      <c r="L666" s="67" t="s">
        <v>2303</v>
      </c>
      <c r="M666" s="67" t="s">
        <v>3300</v>
      </c>
      <c r="N666" s="54" t="s">
        <v>139</v>
      </c>
      <c r="O666" s="41" t="s">
        <v>3302</v>
      </c>
      <c r="P666" s="41"/>
      <c r="Q666" s="41" t="s">
        <v>139</v>
      </c>
      <c r="R666" s="41" t="s">
        <v>443</v>
      </c>
      <c r="S666" s="41" t="s">
        <v>139</v>
      </c>
      <c r="T666" s="41" t="s">
        <v>139</v>
      </c>
      <c r="U666" s="41" t="s">
        <v>139</v>
      </c>
      <c r="V666" s="41" t="s">
        <v>139</v>
      </c>
      <c r="W666" s="53" t="s">
        <v>200</v>
      </c>
      <c r="X666" s="54" t="s">
        <v>139</v>
      </c>
      <c r="Y666" s="54" t="s">
        <v>139</v>
      </c>
      <c r="Z666" s="54" t="s">
        <v>139</v>
      </c>
      <c r="AA666" s="54" t="s">
        <v>139</v>
      </c>
      <c r="AB666" s="55"/>
      <c r="AC666" s="56"/>
      <c r="AD666" s="56"/>
      <c r="AE666" s="57"/>
      <c r="AF666" s="56"/>
      <c r="AG666" s="56"/>
      <c r="AH666" s="56"/>
      <c r="AI666" s="3" t="s">
        <v>1583</v>
      </c>
    </row>
    <row r="667" spans="1:35" ht="27">
      <c r="A667" s="144">
        <f t="shared" si="10"/>
        <v>665</v>
      </c>
      <c r="B667" s="148"/>
      <c r="C667" s="148"/>
      <c r="D667" s="148"/>
      <c r="E667" s="148"/>
      <c r="F667" s="148"/>
      <c r="G667" s="148"/>
      <c r="H667" s="148"/>
      <c r="I667" s="148"/>
      <c r="J667" s="98" t="s">
        <v>2104</v>
      </c>
      <c r="K667" s="51" t="str">
        <f>_xlfn.XLOOKUP(L667,'99_マスタ'!$D$5:$D$18,'99_マスタ'!$C$5:$C$18,"")</f>
        <v>02_生販在</v>
      </c>
      <c r="L667" s="67" t="s">
        <v>2303</v>
      </c>
      <c r="M667" s="67" t="s">
        <v>3301</v>
      </c>
      <c r="N667" s="54" t="s">
        <v>139</v>
      </c>
      <c r="O667" s="41" t="s">
        <v>3303</v>
      </c>
      <c r="P667" s="41"/>
      <c r="Q667" s="41" t="s">
        <v>139</v>
      </c>
      <c r="R667" s="41" t="s">
        <v>443</v>
      </c>
      <c r="S667" s="41" t="s">
        <v>139</v>
      </c>
      <c r="T667" s="41" t="s">
        <v>139</v>
      </c>
      <c r="U667" s="41" t="s">
        <v>139</v>
      </c>
      <c r="V667" s="41" t="s">
        <v>139</v>
      </c>
      <c r="W667" s="53" t="s">
        <v>200</v>
      </c>
      <c r="X667" s="54" t="s">
        <v>139</v>
      </c>
      <c r="Y667" s="54" t="s">
        <v>139</v>
      </c>
      <c r="Z667" s="54" t="s">
        <v>139</v>
      </c>
      <c r="AA667" s="54" t="s">
        <v>139</v>
      </c>
      <c r="AB667" s="55"/>
      <c r="AC667" s="56"/>
      <c r="AD667" s="56"/>
      <c r="AE667" s="57"/>
      <c r="AF667" s="56"/>
      <c r="AG667" s="56"/>
      <c r="AH667" s="56"/>
      <c r="AI667" s="3" t="s">
        <v>1583</v>
      </c>
    </row>
    <row r="668" spans="1:35" ht="54">
      <c r="A668" s="144">
        <f t="shared" si="10"/>
        <v>666</v>
      </c>
      <c r="B668" s="148"/>
      <c r="C668" s="148"/>
      <c r="D668" s="148"/>
      <c r="E668" s="148"/>
      <c r="F668" s="148"/>
      <c r="G668" s="148"/>
      <c r="H668" s="148"/>
      <c r="I668" s="148"/>
      <c r="J668" s="98" t="s">
        <v>2104</v>
      </c>
      <c r="K668" s="99" t="str">
        <f>_xlfn.XLOOKUP(L668,'99_マスタ'!$D$5:$D$18,'99_マスタ'!$C$5:$C$18,"")</f>
        <v>02_生販在</v>
      </c>
      <c r="L668" s="99" t="s">
        <v>2303</v>
      </c>
      <c r="M668" s="99" t="s">
        <v>2217</v>
      </c>
      <c r="N668" s="126" t="s">
        <v>2187</v>
      </c>
      <c r="O668" s="40" t="s">
        <v>2218</v>
      </c>
      <c r="P668" s="40"/>
      <c r="Q668" s="40" t="s">
        <v>139</v>
      </c>
      <c r="R668" s="41" t="s">
        <v>139</v>
      </c>
      <c r="S668" s="41" t="s">
        <v>139</v>
      </c>
      <c r="T668" s="41" t="s">
        <v>139</v>
      </c>
      <c r="U668" s="41" t="s">
        <v>999</v>
      </c>
      <c r="V668" s="41" t="s">
        <v>139</v>
      </c>
      <c r="W668" s="43" t="s">
        <v>139</v>
      </c>
      <c r="X668" s="41" t="s">
        <v>139</v>
      </c>
      <c r="Y668" s="41" t="s">
        <v>139</v>
      </c>
      <c r="Z668" s="41" t="s">
        <v>1000</v>
      </c>
      <c r="AA668" s="41" t="s">
        <v>139</v>
      </c>
      <c r="AB668" s="44"/>
      <c r="AC668" s="45"/>
      <c r="AD668" s="45"/>
      <c r="AE668" s="46"/>
      <c r="AF668" s="45"/>
      <c r="AG668" s="45"/>
      <c r="AH668" s="45"/>
      <c r="AI668" s="3" t="s">
        <v>1583</v>
      </c>
    </row>
    <row r="669" spans="1:35" ht="40.5">
      <c r="A669" s="144">
        <f t="shared" si="10"/>
        <v>667</v>
      </c>
      <c r="B669" s="148"/>
      <c r="C669" s="148"/>
      <c r="D669" s="148"/>
      <c r="E669" s="148"/>
      <c r="F669" s="148"/>
      <c r="G669" s="148"/>
      <c r="H669" s="148"/>
      <c r="I669" s="148"/>
      <c r="J669" s="108" t="s">
        <v>2104</v>
      </c>
      <c r="K669" s="101" t="str">
        <f>_xlfn.XLOOKUP(L669,'99_マスタ'!$D$5:$D$18,'99_マスタ'!$C$5:$C$18,"")</f>
        <v>02_生販在</v>
      </c>
      <c r="L669" s="113" t="s">
        <v>2303</v>
      </c>
      <c r="M669" s="113" t="s">
        <v>1190</v>
      </c>
      <c r="N669" s="126" t="s">
        <v>1191</v>
      </c>
      <c r="O669" s="40" t="s">
        <v>1192</v>
      </c>
      <c r="P669" s="40" t="s">
        <v>1193</v>
      </c>
      <c r="Q669" s="40" t="s">
        <v>192</v>
      </c>
      <c r="R669" s="41" t="s">
        <v>1194</v>
      </c>
      <c r="S669" s="41" t="s">
        <v>139</v>
      </c>
      <c r="T669" s="41" t="s">
        <v>139</v>
      </c>
      <c r="U669" s="41" t="s">
        <v>139</v>
      </c>
      <c r="V669" s="41" t="s">
        <v>139</v>
      </c>
      <c r="W669" s="43" t="s">
        <v>163</v>
      </c>
      <c r="X669" s="41" t="s">
        <v>139</v>
      </c>
      <c r="Y669" s="41" t="s">
        <v>139</v>
      </c>
      <c r="Z669" s="41" t="s">
        <v>139</v>
      </c>
      <c r="AA669" s="41" t="s">
        <v>139</v>
      </c>
      <c r="AB669" s="44"/>
      <c r="AC669" s="45"/>
      <c r="AD669" s="45"/>
      <c r="AE669" s="46"/>
      <c r="AF669" s="45"/>
      <c r="AG669" s="45"/>
      <c r="AH669" s="45"/>
      <c r="AI669" s="3" t="s">
        <v>1583</v>
      </c>
    </row>
    <row r="670" spans="1:35" ht="27">
      <c r="A670" s="144">
        <f t="shared" si="10"/>
        <v>668</v>
      </c>
      <c r="B670" s="148"/>
      <c r="C670" s="148"/>
      <c r="D670" s="148"/>
      <c r="E670" s="148"/>
      <c r="F670" s="148"/>
      <c r="G670" s="148"/>
      <c r="H670" s="148"/>
      <c r="I670" s="148"/>
      <c r="J670" s="98" t="s">
        <v>2104</v>
      </c>
      <c r="K670" s="51" t="str">
        <f>_xlfn.XLOOKUP(L670,'99_マスタ'!$D$5:$D$18,'99_マスタ'!$C$5:$C$18,"")</f>
        <v>02_生販在</v>
      </c>
      <c r="L670" s="67" t="s">
        <v>2303</v>
      </c>
      <c r="M670" s="67" t="s">
        <v>2906</v>
      </c>
      <c r="N670" s="54" t="s">
        <v>1637</v>
      </c>
      <c r="O670" s="41" t="s">
        <v>2911</v>
      </c>
      <c r="P670" s="41"/>
      <c r="Q670" s="41"/>
      <c r="R670" s="41" t="s">
        <v>429</v>
      </c>
      <c r="S670" s="41" t="s">
        <v>139</v>
      </c>
      <c r="T670" s="41" t="s">
        <v>139</v>
      </c>
      <c r="U670" s="41" t="s">
        <v>139</v>
      </c>
      <c r="V670" s="41" t="s">
        <v>139</v>
      </c>
      <c r="W670" s="53" t="s">
        <v>218</v>
      </c>
      <c r="X670" s="54" t="s">
        <v>139</v>
      </c>
      <c r="Y670" s="54" t="s">
        <v>139</v>
      </c>
      <c r="Z670" s="54" t="s">
        <v>139</v>
      </c>
      <c r="AA670" s="54" t="s">
        <v>139</v>
      </c>
      <c r="AB670" s="55"/>
      <c r="AC670" s="56"/>
      <c r="AD670" s="56"/>
      <c r="AE670" s="57"/>
      <c r="AF670" s="56"/>
      <c r="AG670" s="56"/>
      <c r="AH670" s="56"/>
      <c r="AI670" s="3" t="s">
        <v>1583</v>
      </c>
    </row>
    <row r="671" spans="1:35" ht="40.5">
      <c r="A671" s="144">
        <f t="shared" si="10"/>
        <v>669</v>
      </c>
      <c r="B671" s="148"/>
      <c r="C671" s="148"/>
      <c r="D671" s="148"/>
      <c r="E671" s="148"/>
      <c r="F671" s="148"/>
      <c r="G671" s="148"/>
      <c r="H671" s="148"/>
      <c r="I671" s="148"/>
      <c r="J671" s="108" t="s">
        <v>2104</v>
      </c>
      <c r="K671" s="51" t="str">
        <f>_xlfn.XLOOKUP(L671,'99_マスタ'!$D$5:$D$18,'99_マスタ'!$C$5:$C$18,"")</f>
        <v>02_生販在</v>
      </c>
      <c r="L671" s="114" t="s">
        <v>2303</v>
      </c>
      <c r="M671" s="109" t="s">
        <v>1195</v>
      </c>
      <c r="N671" s="126" t="s">
        <v>1196</v>
      </c>
      <c r="O671" s="40" t="s">
        <v>1197</v>
      </c>
      <c r="P671" s="40" t="s">
        <v>1198</v>
      </c>
      <c r="Q671" s="40" t="s">
        <v>192</v>
      </c>
      <c r="R671" s="41" t="s">
        <v>1199</v>
      </c>
      <c r="S671" s="41" t="s">
        <v>139</v>
      </c>
      <c r="T671" s="41" t="s">
        <v>139</v>
      </c>
      <c r="U671" s="41" t="s">
        <v>139</v>
      </c>
      <c r="V671" s="41" t="s">
        <v>139</v>
      </c>
      <c r="W671" s="43" t="s">
        <v>163</v>
      </c>
      <c r="X671" s="41" t="s">
        <v>139</v>
      </c>
      <c r="Y671" s="41" t="s">
        <v>139</v>
      </c>
      <c r="Z671" s="41" t="s">
        <v>139</v>
      </c>
      <c r="AA671" s="41" t="s">
        <v>139</v>
      </c>
      <c r="AB671" s="44"/>
      <c r="AC671" s="45"/>
      <c r="AD671" s="45"/>
      <c r="AE671" s="46"/>
      <c r="AF671" s="45"/>
      <c r="AG671" s="45"/>
      <c r="AH671" s="45"/>
      <c r="AI671" s="3" t="s">
        <v>1583</v>
      </c>
    </row>
    <row r="672" spans="1:35">
      <c r="A672" s="144">
        <f t="shared" si="10"/>
        <v>670</v>
      </c>
      <c r="B672" s="148"/>
      <c r="C672" s="148"/>
      <c r="D672" s="148"/>
      <c r="E672" s="148"/>
      <c r="F672" s="148"/>
      <c r="G672" s="148"/>
      <c r="H672" s="148"/>
      <c r="I672" s="148"/>
      <c r="J672" s="98" t="s">
        <v>2104</v>
      </c>
      <c r="K672" s="100" t="str">
        <f>_xlfn.XLOOKUP(L672,'99_マスタ'!$D$5:$D$18,'99_マスタ'!$C$5:$C$18,"")</f>
        <v>02_生販在</v>
      </c>
      <c r="L672" s="82" t="s">
        <v>2303</v>
      </c>
      <c r="M672" s="82" t="s">
        <v>579</v>
      </c>
      <c r="N672" s="54" t="s">
        <v>139</v>
      </c>
      <c r="O672" s="41" t="s">
        <v>580</v>
      </c>
      <c r="P672" s="41"/>
      <c r="Q672" s="41" t="s">
        <v>139</v>
      </c>
      <c r="R672" s="41" t="s">
        <v>581</v>
      </c>
      <c r="S672" s="41" t="s">
        <v>139</v>
      </c>
      <c r="T672" s="41" t="s">
        <v>139</v>
      </c>
      <c r="U672" s="41" t="s">
        <v>139</v>
      </c>
      <c r="V672" s="41" t="s">
        <v>139</v>
      </c>
      <c r="W672" s="53" t="s">
        <v>133</v>
      </c>
      <c r="X672" s="54" t="s">
        <v>139</v>
      </c>
      <c r="Y672" s="54" t="s">
        <v>139</v>
      </c>
      <c r="Z672" s="54" t="s">
        <v>139</v>
      </c>
      <c r="AA672" s="54" t="s">
        <v>139</v>
      </c>
      <c r="AB672" s="55"/>
      <c r="AC672" s="56"/>
      <c r="AD672" s="56"/>
      <c r="AE672" s="57"/>
      <c r="AF672" s="56"/>
      <c r="AG672" s="56"/>
      <c r="AH672" s="56"/>
      <c r="AI672" s="3" t="s">
        <v>1583</v>
      </c>
    </row>
    <row r="673" spans="1:35" ht="27">
      <c r="A673" s="144">
        <f t="shared" si="10"/>
        <v>671</v>
      </c>
      <c r="B673" s="148"/>
      <c r="C673" s="148"/>
      <c r="D673" s="148"/>
      <c r="E673" s="148"/>
      <c r="F673" s="148"/>
      <c r="G673" s="148"/>
      <c r="H673" s="148"/>
      <c r="I673" s="148"/>
      <c r="J673" s="98" t="s">
        <v>2104</v>
      </c>
      <c r="K673" s="51" t="str">
        <f>_xlfn.XLOOKUP(L673,'99_マスタ'!$D$5:$D$18,'99_マスタ'!$C$5:$C$18,"")</f>
        <v>02_生販在</v>
      </c>
      <c r="L673" s="67" t="s">
        <v>2303</v>
      </c>
      <c r="M673" s="67" t="s">
        <v>2908</v>
      </c>
      <c r="N673" s="54" t="s">
        <v>1637</v>
      </c>
      <c r="O673" s="41" t="s">
        <v>2913</v>
      </c>
      <c r="P673" s="41"/>
      <c r="Q673" s="41"/>
      <c r="R673" s="41" t="s">
        <v>429</v>
      </c>
      <c r="S673" s="41" t="s">
        <v>139</v>
      </c>
      <c r="T673" s="41" t="s">
        <v>139</v>
      </c>
      <c r="U673" s="41" t="s">
        <v>139</v>
      </c>
      <c r="V673" s="41" t="s">
        <v>139</v>
      </c>
      <c r="W673" s="53" t="s">
        <v>218</v>
      </c>
      <c r="X673" s="54" t="s">
        <v>139</v>
      </c>
      <c r="Y673" s="54" t="s">
        <v>139</v>
      </c>
      <c r="Z673" s="54" t="s">
        <v>139</v>
      </c>
      <c r="AA673" s="54" t="s">
        <v>139</v>
      </c>
      <c r="AB673" s="55"/>
      <c r="AC673" s="56"/>
      <c r="AD673" s="56"/>
      <c r="AE673" s="57"/>
      <c r="AF673" s="56"/>
      <c r="AG673" s="56"/>
      <c r="AH673" s="56"/>
      <c r="AI673" s="3" t="s">
        <v>1583</v>
      </c>
    </row>
    <row r="674" spans="1:35">
      <c r="A674" s="144">
        <f t="shared" si="10"/>
        <v>672</v>
      </c>
      <c r="B674" s="148"/>
      <c r="C674" s="148"/>
      <c r="D674" s="148"/>
      <c r="E674" s="148"/>
      <c r="F674" s="148"/>
      <c r="G674" s="148"/>
      <c r="H674" s="148"/>
      <c r="I674" s="148"/>
      <c r="J674" s="98" t="s">
        <v>2104</v>
      </c>
      <c r="K674" s="51" t="str">
        <f>_xlfn.XLOOKUP(L674,'99_マスタ'!$D$5:$D$18,'99_マスタ'!$C$5:$C$18,"")</f>
        <v>02_生販在</v>
      </c>
      <c r="L674" s="67" t="s">
        <v>2303</v>
      </c>
      <c r="M674" s="67" t="s">
        <v>2910</v>
      </c>
      <c r="N674" s="54" t="s">
        <v>1637</v>
      </c>
      <c r="O674" s="41" t="s">
        <v>2915</v>
      </c>
      <c r="P674" s="41"/>
      <c r="Q674" s="41"/>
      <c r="R674" s="41" t="s">
        <v>429</v>
      </c>
      <c r="S674" s="41" t="s">
        <v>139</v>
      </c>
      <c r="T674" s="41" t="s">
        <v>139</v>
      </c>
      <c r="U674" s="41" t="s">
        <v>139</v>
      </c>
      <c r="V674" s="41" t="s">
        <v>139</v>
      </c>
      <c r="W674" s="53" t="s">
        <v>218</v>
      </c>
      <c r="X674" s="54" t="s">
        <v>139</v>
      </c>
      <c r="Y674" s="54" t="s">
        <v>139</v>
      </c>
      <c r="Z674" s="54" t="s">
        <v>139</v>
      </c>
      <c r="AA674" s="54" t="s">
        <v>139</v>
      </c>
      <c r="AB674" s="55"/>
      <c r="AC674" s="56"/>
      <c r="AD674" s="56"/>
      <c r="AE674" s="57"/>
      <c r="AF674" s="56"/>
      <c r="AG674" s="56"/>
      <c r="AH674" s="56"/>
      <c r="AI674" s="3" t="s">
        <v>1583</v>
      </c>
    </row>
    <row r="675" spans="1:35" ht="40.5">
      <c r="A675" s="144">
        <f t="shared" si="10"/>
        <v>673</v>
      </c>
      <c r="B675" s="148"/>
      <c r="C675" s="148"/>
      <c r="D675" s="148"/>
      <c r="E675" s="148"/>
      <c r="F675" s="148"/>
      <c r="G675" s="148"/>
      <c r="H675" s="148"/>
      <c r="I675" s="148"/>
      <c r="J675" s="98" t="s">
        <v>2104</v>
      </c>
      <c r="K675" s="99" t="str">
        <f>_xlfn.XLOOKUP(L675,'99_マスタ'!$D$5:$D$18,'99_マスタ'!$C$5:$C$18,"")</f>
        <v>02_生販在</v>
      </c>
      <c r="L675" s="113" t="s">
        <v>2303</v>
      </c>
      <c r="M675" s="99" t="s">
        <v>659</v>
      </c>
      <c r="N675" s="126" t="s">
        <v>660</v>
      </c>
      <c r="O675" s="40" t="s">
        <v>661</v>
      </c>
      <c r="P675" s="40"/>
      <c r="Q675" s="40" t="s">
        <v>139</v>
      </c>
      <c r="R675" s="41" t="s">
        <v>139</v>
      </c>
      <c r="S675" s="41" t="s">
        <v>139</v>
      </c>
      <c r="T675" s="41" t="s">
        <v>139</v>
      </c>
      <c r="U675" s="41" t="s">
        <v>662</v>
      </c>
      <c r="V675" s="41" t="s">
        <v>139</v>
      </c>
      <c r="W675" s="43" t="s">
        <v>139</v>
      </c>
      <c r="X675" s="41" t="s">
        <v>139</v>
      </c>
      <c r="Y675" s="41" t="s">
        <v>139</v>
      </c>
      <c r="Z675" s="41" t="s">
        <v>655</v>
      </c>
      <c r="AA675" s="41" t="s">
        <v>139</v>
      </c>
      <c r="AB675" s="44"/>
      <c r="AC675" s="45"/>
      <c r="AD675" s="45"/>
      <c r="AE675" s="46"/>
      <c r="AF675" s="45"/>
      <c r="AG675" s="45"/>
      <c r="AH675" s="45"/>
      <c r="AI675" s="3" t="s">
        <v>1583</v>
      </c>
    </row>
    <row r="676" spans="1:35" ht="40.5">
      <c r="A676" s="144">
        <f t="shared" si="10"/>
        <v>674</v>
      </c>
      <c r="B676" s="148"/>
      <c r="C676" s="148"/>
      <c r="D676" s="148"/>
      <c r="E676" s="148"/>
      <c r="F676" s="148"/>
      <c r="G676" s="148"/>
      <c r="H676" s="148"/>
      <c r="I676" s="148"/>
      <c r="J676" s="98" t="s">
        <v>2104</v>
      </c>
      <c r="K676" s="51" t="str">
        <f>_xlfn.XLOOKUP(L676,'99_マスタ'!$D$5:$D$18,'99_マスタ'!$C$5:$C$18,"")</f>
        <v>02_生販在</v>
      </c>
      <c r="L676" s="113" t="s">
        <v>2303</v>
      </c>
      <c r="M676" s="109" t="s">
        <v>1175</v>
      </c>
      <c r="N676" s="126" t="s">
        <v>139</v>
      </c>
      <c r="O676" s="40" t="s">
        <v>1986</v>
      </c>
      <c r="P676" s="40"/>
      <c r="Q676" s="40" t="s">
        <v>1140</v>
      </c>
      <c r="R676" s="41" t="s">
        <v>1176</v>
      </c>
      <c r="S676" s="41" t="s">
        <v>139</v>
      </c>
      <c r="T676" s="41" t="s">
        <v>139</v>
      </c>
      <c r="U676" s="41" t="s">
        <v>139</v>
      </c>
      <c r="V676" s="41" t="s">
        <v>139</v>
      </c>
      <c r="W676" s="43" t="s">
        <v>163</v>
      </c>
      <c r="X676" s="41" t="s">
        <v>139</v>
      </c>
      <c r="Y676" s="41" t="s">
        <v>139</v>
      </c>
      <c r="Z676" s="41" t="s">
        <v>139</v>
      </c>
      <c r="AA676" s="41" t="s">
        <v>139</v>
      </c>
      <c r="AB676" s="44"/>
      <c r="AC676" s="45"/>
      <c r="AD676" s="45"/>
      <c r="AE676" s="46"/>
      <c r="AF676" s="45"/>
      <c r="AG676" s="45"/>
      <c r="AH676" s="45"/>
      <c r="AI676" s="3" t="s">
        <v>1583</v>
      </c>
    </row>
    <row r="677" spans="1:35">
      <c r="A677" s="144">
        <f t="shared" si="10"/>
        <v>675</v>
      </c>
      <c r="B677" s="148"/>
      <c r="C677" s="148"/>
      <c r="D677" s="148"/>
      <c r="E677" s="148"/>
      <c r="F677" s="148"/>
      <c r="G677" s="148"/>
      <c r="H677" s="148"/>
      <c r="I677" s="148"/>
      <c r="J677" s="98" t="s">
        <v>2104</v>
      </c>
      <c r="K677" s="51" t="str">
        <f>_xlfn.XLOOKUP(L677,'99_マスタ'!$D$5:$D$18,'99_マスタ'!$C$5:$C$18,"")</f>
        <v>02_生販在</v>
      </c>
      <c r="L677" s="113" t="s">
        <v>2303</v>
      </c>
      <c r="M677" s="66" t="s">
        <v>489</v>
      </c>
      <c r="N677" s="54" t="s">
        <v>139</v>
      </c>
      <c r="O677" s="41" t="s">
        <v>490</v>
      </c>
      <c r="P677" s="41"/>
      <c r="Q677" s="41" t="s">
        <v>139</v>
      </c>
      <c r="R677" s="41" t="s">
        <v>442</v>
      </c>
      <c r="S677" s="41" t="s">
        <v>139</v>
      </c>
      <c r="T677" s="41" t="s">
        <v>139</v>
      </c>
      <c r="U677" s="41" t="s">
        <v>139</v>
      </c>
      <c r="V677" s="41" t="s">
        <v>139</v>
      </c>
      <c r="W677" s="53" t="s">
        <v>218</v>
      </c>
      <c r="X677" s="54" t="s">
        <v>139</v>
      </c>
      <c r="Y677" s="54" t="s">
        <v>139</v>
      </c>
      <c r="Z677" s="54" t="s">
        <v>139</v>
      </c>
      <c r="AA677" s="54" t="s">
        <v>139</v>
      </c>
      <c r="AB677" s="55"/>
      <c r="AC677" s="56"/>
      <c r="AD677" s="56"/>
      <c r="AE677" s="57"/>
      <c r="AF677" s="56"/>
      <c r="AG677" s="56"/>
      <c r="AH677" s="56"/>
      <c r="AI677" s="3" t="s">
        <v>1583</v>
      </c>
    </row>
    <row r="678" spans="1:35" ht="40.5">
      <c r="A678" s="144">
        <f t="shared" si="10"/>
        <v>676</v>
      </c>
      <c r="B678" s="148"/>
      <c r="C678" s="148"/>
      <c r="D678" s="148"/>
      <c r="E678" s="148"/>
      <c r="F678" s="148"/>
      <c r="G678" s="148"/>
      <c r="H678" s="148"/>
      <c r="I678" s="148"/>
      <c r="J678" s="98" t="s">
        <v>2104</v>
      </c>
      <c r="K678" s="51" t="str">
        <f>_xlfn.XLOOKUP(L678,'99_マスタ'!$D$5:$D$18,'99_マスタ'!$C$5:$C$18,"")</f>
        <v>02_生販在</v>
      </c>
      <c r="L678" s="114" t="s">
        <v>2303</v>
      </c>
      <c r="M678" s="109" t="s">
        <v>1185</v>
      </c>
      <c r="N678" s="126" t="s">
        <v>1186</v>
      </c>
      <c r="O678" s="40" t="s">
        <v>1187</v>
      </c>
      <c r="P678" s="40"/>
      <c r="Q678" s="40" t="s">
        <v>1188</v>
      </c>
      <c r="R678" s="41" t="s">
        <v>1189</v>
      </c>
      <c r="S678" s="41" t="s">
        <v>139</v>
      </c>
      <c r="T678" s="41" t="s">
        <v>139</v>
      </c>
      <c r="U678" s="41" t="s">
        <v>139</v>
      </c>
      <c r="V678" s="41" t="s">
        <v>139</v>
      </c>
      <c r="W678" s="43" t="s">
        <v>163</v>
      </c>
      <c r="X678" s="41" t="s">
        <v>139</v>
      </c>
      <c r="Y678" s="41" t="s">
        <v>139</v>
      </c>
      <c r="Z678" s="41" t="s">
        <v>139</v>
      </c>
      <c r="AA678" s="41" t="s">
        <v>139</v>
      </c>
      <c r="AB678" s="44"/>
      <c r="AC678" s="45"/>
      <c r="AD678" s="45"/>
      <c r="AE678" s="46"/>
      <c r="AF678" s="45"/>
      <c r="AG678" s="45"/>
      <c r="AH678" s="45"/>
      <c r="AI678" s="3" t="s">
        <v>1583</v>
      </c>
    </row>
    <row r="679" spans="1:35">
      <c r="A679" s="144">
        <f t="shared" si="10"/>
        <v>677</v>
      </c>
      <c r="B679" s="148"/>
      <c r="C679" s="148"/>
      <c r="D679" s="148"/>
      <c r="E679" s="148"/>
      <c r="F679" s="148"/>
      <c r="G679" s="148"/>
      <c r="H679" s="148"/>
      <c r="I679" s="148"/>
      <c r="J679" s="98" t="s">
        <v>2104</v>
      </c>
      <c r="K679" s="100" t="str">
        <f>_xlfn.XLOOKUP(L679,'99_マスタ'!$D$5:$D$18,'99_マスタ'!$C$5:$C$18,"")</f>
        <v>02_生販在</v>
      </c>
      <c r="L679" s="82" t="s">
        <v>2303</v>
      </c>
      <c r="M679" s="82" t="s">
        <v>3051</v>
      </c>
      <c r="N679" s="54" t="s">
        <v>139</v>
      </c>
      <c r="O679" s="41" t="s">
        <v>3053</v>
      </c>
      <c r="P679" s="41"/>
      <c r="Q679" s="41" t="s">
        <v>139</v>
      </c>
      <c r="R679" s="41" t="s">
        <v>442</v>
      </c>
      <c r="S679" s="41" t="s">
        <v>139</v>
      </c>
      <c r="T679" s="41" t="s">
        <v>139</v>
      </c>
      <c r="U679" s="41" t="s">
        <v>139</v>
      </c>
      <c r="V679" s="41" t="s">
        <v>139</v>
      </c>
      <c r="W679" s="53" t="s">
        <v>200</v>
      </c>
      <c r="X679" s="54" t="s">
        <v>139</v>
      </c>
      <c r="Y679" s="54" t="s">
        <v>139</v>
      </c>
      <c r="Z679" s="54" t="s">
        <v>139</v>
      </c>
      <c r="AA679" s="54" t="s">
        <v>139</v>
      </c>
      <c r="AB679" s="55"/>
      <c r="AC679" s="56"/>
      <c r="AD679" s="56"/>
      <c r="AE679" s="57"/>
      <c r="AF679" s="56"/>
      <c r="AG679" s="56"/>
      <c r="AH679" s="56"/>
      <c r="AI679" s="3" t="s">
        <v>1583</v>
      </c>
    </row>
    <row r="680" spans="1:35">
      <c r="A680" s="144">
        <f t="shared" si="10"/>
        <v>678</v>
      </c>
      <c r="B680" s="148"/>
      <c r="C680" s="148"/>
      <c r="D680" s="148"/>
      <c r="E680" s="148"/>
      <c r="F680" s="148"/>
      <c r="G680" s="148"/>
      <c r="H680" s="148"/>
      <c r="I680" s="148"/>
      <c r="J680" s="98" t="s">
        <v>2104</v>
      </c>
      <c r="K680" s="100" t="str">
        <f>_xlfn.XLOOKUP(L680,'99_マスタ'!$D$5:$D$18,'99_マスタ'!$C$5:$C$18,"")</f>
        <v>02_生販在</v>
      </c>
      <c r="L680" s="82" t="s">
        <v>2303</v>
      </c>
      <c r="M680" s="82" t="s">
        <v>3052</v>
      </c>
      <c r="N680" s="54" t="s">
        <v>139</v>
      </c>
      <c r="O680" s="41" t="s">
        <v>3054</v>
      </c>
      <c r="P680" s="41"/>
      <c r="Q680" s="41" t="s">
        <v>139</v>
      </c>
      <c r="R680" s="41" t="s">
        <v>442</v>
      </c>
      <c r="S680" s="41" t="s">
        <v>139</v>
      </c>
      <c r="T680" s="41" t="s">
        <v>139</v>
      </c>
      <c r="U680" s="41" t="s">
        <v>139</v>
      </c>
      <c r="V680" s="41" t="s">
        <v>139</v>
      </c>
      <c r="W680" s="53" t="s">
        <v>200</v>
      </c>
      <c r="X680" s="54" t="s">
        <v>139</v>
      </c>
      <c r="Y680" s="54" t="s">
        <v>139</v>
      </c>
      <c r="Z680" s="54" t="s">
        <v>139</v>
      </c>
      <c r="AA680" s="54" t="s">
        <v>139</v>
      </c>
      <c r="AB680" s="55"/>
      <c r="AC680" s="56"/>
      <c r="AD680" s="56"/>
      <c r="AE680" s="57"/>
      <c r="AF680" s="56"/>
      <c r="AG680" s="56"/>
      <c r="AH680" s="56"/>
      <c r="AI680" s="3" t="s">
        <v>1583</v>
      </c>
    </row>
    <row r="681" spans="1:35">
      <c r="A681" s="144">
        <f t="shared" si="10"/>
        <v>679</v>
      </c>
      <c r="B681" s="148"/>
      <c r="C681" s="148"/>
      <c r="D681" s="148"/>
      <c r="E681" s="148"/>
      <c r="F681" s="148"/>
      <c r="G681" s="148"/>
      <c r="H681" s="148"/>
      <c r="I681" s="148"/>
      <c r="J681" s="98" t="s">
        <v>2104</v>
      </c>
      <c r="K681" s="51" t="str">
        <f>_xlfn.XLOOKUP(L681,'99_マスタ'!$D$5:$D$18,'99_マスタ'!$C$5:$C$18,"")</f>
        <v>02_生販在</v>
      </c>
      <c r="L681" s="114" t="s">
        <v>2303</v>
      </c>
      <c r="M681" s="66" t="s">
        <v>507</v>
      </c>
      <c r="N681" s="54" t="s">
        <v>139</v>
      </c>
      <c r="O681" s="41" t="s">
        <v>508</v>
      </c>
      <c r="P681" s="41"/>
      <c r="Q681" s="41" t="s">
        <v>139</v>
      </c>
      <c r="R681" s="41" t="s">
        <v>509</v>
      </c>
      <c r="S681" s="41" t="s">
        <v>139</v>
      </c>
      <c r="T681" s="41" t="s">
        <v>139</v>
      </c>
      <c r="U681" s="41" t="s">
        <v>139</v>
      </c>
      <c r="V681" s="41" t="s">
        <v>139</v>
      </c>
      <c r="W681" s="53" t="s">
        <v>218</v>
      </c>
      <c r="X681" s="54" t="s">
        <v>139</v>
      </c>
      <c r="Y681" s="54" t="s">
        <v>139</v>
      </c>
      <c r="Z681" s="54" t="s">
        <v>139</v>
      </c>
      <c r="AA681" s="54" t="s">
        <v>139</v>
      </c>
      <c r="AB681" s="55"/>
      <c r="AC681" s="56"/>
      <c r="AD681" s="56"/>
      <c r="AE681" s="57"/>
      <c r="AF681" s="56"/>
      <c r="AG681" s="56"/>
      <c r="AH681" s="56"/>
      <c r="AI681" s="3" t="s">
        <v>1583</v>
      </c>
    </row>
    <row r="682" spans="1:35">
      <c r="A682" s="144">
        <f t="shared" si="10"/>
        <v>680</v>
      </c>
      <c r="B682" s="148"/>
      <c r="C682" s="148"/>
      <c r="D682" s="148"/>
      <c r="E682" s="148"/>
      <c r="F682" s="148"/>
      <c r="G682" s="148"/>
      <c r="H682" s="148"/>
      <c r="I682" s="148"/>
      <c r="J682" s="98" t="s">
        <v>2104</v>
      </c>
      <c r="K682" s="51" t="str">
        <f>_xlfn.XLOOKUP(L682,'99_マスタ'!$D$5:$D$18,'99_マスタ'!$C$5:$C$18,"")</f>
        <v>02_生販在</v>
      </c>
      <c r="L682" s="67" t="s">
        <v>2303</v>
      </c>
      <c r="M682" s="67" t="s">
        <v>2907</v>
      </c>
      <c r="N682" s="54" t="s">
        <v>1637</v>
      </c>
      <c r="O682" s="41" t="s">
        <v>2912</v>
      </c>
      <c r="P682" s="41"/>
      <c r="Q682" s="41"/>
      <c r="R682" s="41" t="s">
        <v>429</v>
      </c>
      <c r="S682" s="41" t="s">
        <v>139</v>
      </c>
      <c r="T682" s="41" t="s">
        <v>139</v>
      </c>
      <c r="U682" s="41" t="s">
        <v>139</v>
      </c>
      <c r="V682" s="41" t="s">
        <v>139</v>
      </c>
      <c r="W682" s="53" t="s">
        <v>218</v>
      </c>
      <c r="X682" s="54" t="s">
        <v>139</v>
      </c>
      <c r="Y682" s="54" t="s">
        <v>139</v>
      </c>
      <c r="Z682" s="54" t="s">
        <v>139</v>
      </c>
      <c r="AA682" s="54" t="s">
        <v>139</v>
      </c>
      <c r="AB682" s="55"/>
      <c r="AC682" s="56"/>
      <c r="AD682" s="56"/>
      <c r="AE682" s="57"/>
      <c r="AF682" s="56"/>
      <c r="AG682" s="56"/>
      <c r="AH682" s="56"/>
      <c r="AI682" s="3" t="s">
        <v>1583</v>
      </c>
    </row>
    <row r="683" spans="1:35" ht="40.5">
      <c r="A683" s="144">
        <f t="shared" si="10"/>
        <v>681</v>
      </c>
      <c r="B683" s="148"/>
      <c r="C683" s="148"/>
      <c r="D683" s="148"/>
      <c r="E683" s="148"/>
      <c r="F683" s="148"/>
      <c r="G683" s="148"/>
      <c r="H683" s="148"/>
      <c r="I683" s="148"/>
      <c r="J683" s="98" t="s">
        <v>2104</v>
      </c>
      <c r="K683" s="104" t="str">
        <f>_xlfn.XLOOKUP(L683,'99_マスタ'!$D$5:$D$18,'99_マスタ'!$C$5:$C$18,"")</f>
        <v>02_生販在</v>
      </c>
      <c r="L683" s="104" t="s">
        <v>2325</v>
      </c>
      <c r="M683" s="104" t="s">
        <v>3236</v>
      </c>
      <c r="N683" s="126" t="s">
        <v>3235</v>
      </c>
      <c r="O683" s="40" t="s">
        <v>936</v>
      </c>
      <c r="P683" s="40" t="s">
        <v>937</v>
      </c>
      <c r="Q683" s="40" t="s">
        <v>938</v>
      </c>
      <c r="R683" s="41" t="s">
        <v>139</v>
      </c>
      <c r="S683" s="41" t="s">
        <v>139</v>
      </c>
      <c r="T683" s="41" t="s">
        <v>139</v>
      </c>
      <c r="U683" s="41" t="s">
        <v>939</v>
      </c>
      <c r="V683" s="41" t="s">
        <v>139</v>
      </c>
      <c r="W683" s="43" t="s">
        <v>139</v>
      </c>
      <c r="X683" s="41" t="s">
        <v>139</v>
      </c>
      <c r="Y683" s="41" t="s">
        <v>139</v>
      </c>
      <c r="Z683" s="41" t="s">
        <v>880</v>
      </c>
      <c r="AA683" s="41" t="s">
        <v>139</v>
      </c>
      <c r="AB683" s="44"/>
      <c r="AC683" s="45"/>
      <c r="AD683" s="45"/>
      <c r="AE683" s="46"/>
      <c r="AF683" s="45"/>
      <c r="AG683" s="45"/>
      <c r="AH683" s="45"/>
      <c r="AI683" s="3" t="s">
        <v>1583</v>
      </c>
    </row>
    <row r="684" spans="1:35" ht="27">
      <c r="A684" s="144">
        <f t="shared" si="10"/>
        <v>682</v>
      </c>
      <c r="B684" s="148"/>
      <c r="C684" s="148"/>
      <c r="D684" s="148"/>
      <c r="E684" s="148"/>
      <c r="F684" s="148"/>
      <c r="G684" s="148"/>
      <c r="H684" s="148"/>
      <c r="I684" s="148"/>
      <c r="J684" s="98" t="s">
        <v>2104</v>
      </c>
      <c r="K684" s="105" t="str">
        <f>_xlfn.XLOOKUP(L684,'99_マスタ'!$D$5:$D$18,'99_マスタ'!$C$5:$C$18,"")</f>
        <v>02_生販在</v>
      </c>
      <c r="L684" s="105" t="s">
        <v>2325</v>
      </c>
      <c r="M684" s="106" t="s">
        <v>972</v>
      </c>
      <c r="N684" s="126" t="s">
        <v>139</v>
      </c>
      <c r="O684" s="40" t="s">
        <v>973</v>
      </c>
      <c r="P684" s="40"/>
      <c r="Q684" s="40" t="s">
        <v>284</v>
      </c>
      <c r="R684" s="41" t="s">
        <v>139</v>
      </c>
      <c r="S684" s="41" t="s">
        <v>139</v>
      </c>
      <c r="T684" s="41" t="s">
        <v>139</v>
      </c>
      <c r="U684" s="41" t="s">
        <v>974</v>
      </c>
      <c r="V684" s="41" t="s">
        <v>139</v>
      </c>
      <c r="W684" s="74" t="s">
        <v>139</v>
      </c>
      <c r="X684" s="41" t="s">
        <v>139</v>
      </c>
      <c r="Y684" s="41" t="s">
        <v>139</v>
      </c>
      <c r="Z684" s="41" t="s">
        <v>975</v>
      </c>
      <c r="AA684" s="41" t="s">
        <v>139</v>
      </c>
      <c r="AB684" s="44"/>
      <c r="AC684" s="45"/>
      <c r="AD684" s="45"/>
      <c r="AE684" s="46"/>
      <c r="AF684" s="45"/>
      <c r="AG684" s="45"/>
      <c r="AH684" s="45"/>
      <c r="AI684" s="3" t="s">
        <v>1583</v>
      </c>
    </row>
    <row r="685" spans="1:35" ht="40.5">
      <c r="A685" s="144">
        <f t="shared" si="10"/>
        <v>683</v>
      </c>
      <c r="B685" s="148"/>
      <c r="C685" s="148"/>
      <c r="D685" s="148"/>
      <c r="E685" s="148"/>
      <c r="F685" s="148"/>
      <c r="G685" s="148"/>
      <c r="H685" s="148"/>
      <c r="I685" s="148"/>
      <c r="J685" s="98" t="s">
        <v>2104</v>
      </c>
      <c r="K685" s="101" t="str">
        <f>_xlfn.XLOOKUP(L685,'99_マスタ'!$D$5:$D$18,'99_マスタ'!$C$5:$C$18,"")</f>
        <v>02_生販在</v>
      </c>
      <c r="L685" s="101" t="s">
        <v>2325</v>
      </c>
      <c r="M685" s="101" t="s">
        <v>3238</v>
      </c>
      <c r="N685" s="126" t="s">
        <v>3239</v>
      </c>
      <c r="O685" s="40" t="s">
        <v>2109</v>
      </c>
      <c r="P685" s="40"/>
      <c r="Q685" s="40" t="s">
        <v>1637</v>
      </c>
      <c r="R685" s="41" t="s">
        <v>139</v>
      </c>
      <c r="S685" s="41" t="s">
        <v>139</v>
      </c>
      <c r="T685" s="41" t="s">
        <v>139</v>
      </c>
      <c r="U685" s="41" t="s">
        <v>768</v>
      </c>
      <c r="V685" s="41" t="s">
        <v>139</v>
      </c>
      <c r="W685" s="74" t="s">
        <v>139</v>
      </c>
      <c r="X685" s="41" t="s">
        <v>139</v>
      </c>
      <c r="Y685" s="41" t="s">
        <v>139</v>
      </c>
      <c r="Z685" s="41" t="s">
        <v>1894</v>
      </c>
      <c r="AA685" s="41" t="s">
        <v>139</v>
      </c>
      <c r="AB685" s="44"/>
      <c r="AC685" s="45"/>
      <c r="AD685" s="45"/>
      <c r="AE685" s="46"/>
      <c r="AF685" s="45"/>
      <c r="AG685" s="45"/>
      <c r="AH685" s="45"/>
      <c r="AI685" s="3" t="s">
        <v>1583</v>
      </c>
    </row>
    <row r="686" spans="1:35" ht="40.5">
      <c r="A686" s="144">
        <f t="shared" si="10"/>
        <v>684</v>
      </c>
      <c r="B686" s="148"/>
      <c r="C686" s="148"/>
      <c r="D686" s="148"/>
      <c r="E686" s="148"/>
      <c r="F686" s="148"/>
      <c r="G686" s="148"/>
      <c r="H686" s="148"/>
      <c r="I686" s="148"/>
      <c r="J686" s="98" t="s">
        <v>2104</v>
      </c>
      <c r="K686" s="104" t="str">
        <f>_xlfn.XLOOKUP(L686,'99_マスタ'!$D$5:$D$18,'99_マスタ'!$C$5:$C$18,"")</f>
        <v>02_生販在</v>
      </c>
      <c r="L686" s="104" t="s">
        <v>2325</v>
      </c>
      <c r="M686" s="104" t="s">
        <v>896</v>
      </c>
      <c r="N686" s="126" t="s">
        <v>2852</v>
      </c>
      <c r="O686" s="40" t="s">
        <v>897</v>
      </c>
      <c r="P686" s="40"/>
      <c r="Q686" s="40" t="s">
        <v>284</v>
      </c>
      <c r="R686" s="41" t="s">
        <v>139</v>
      </c>
      <c r="S686" s="41" t="s">
        <v>139</v>
      </c>
      <c r="T686" s="41" t="s">
        <v>139</v>
      </c>
      <c r="U686" s="41" t="s">
        <v>898</v>
      </c>
      <c r="V686" s="41" t="s">
        <v>139</v>
      </c>
      <c r="W686" s="74" t="s">
        <v>139</v>
      </c>
      <c r="X686" s="41" t="s">
        <v>139</v>
      </c>
      <c r="Y686" s="41" t="s">
        <v>139</v>
      </c>
      <c r="Z686" s="41" t="s">
        <v>899</v>
      </c>
      <c r="AA686" s="41" t="s">
        <v>139</v>
      </c>
      <c r="AB686" s="44"/>
      <c r="AC686" s="45"/>
      <c r="AD686" s="45"/>
      <c r="AE686" s="46"/>
      <c r="AF686" s="45"/>
      <c r="AG686" s="45"/>
      <c r="AH686" s="45"/>
      <c r="AI686" s="3" t="s">
        <v>1583</v>
      </c>
    </row>
    <row r="687" spans="1:35" ht="40.5">
      <c r="A687" s="144">
        <f t="shared" si="10"/>
        <v>685</v>
      </c>
      <c r="B687" s="148"/>
      <c r="C687" s="148"/>
      <c r="D687" s="148"/>
      <c r="E687" s="148"/>
      <c r="F687" s="148"/>
      <c r="G687" s="148"/>
      <c r="H687" s="148"/>
      <c r="I687" s="148"/>
      <c r="J687" s="98" t="s">
        <v>2104</v>
      </c>
      <c r="K687" s="99" t="str">
        <f>_xlfn.XLOOKUP(L687,'99_マスタ'!$D$5:$D$18,'99_マスタ'!$C$5:$C$18,"")</f>
        <v>02_生販在</v>
      </c>
      <c r="L687" s="99" t="s">
        <v>2325</v>
      </c>
      <c r="M687" s="99" t="s">
        <v>3243</v>
      </c>
      <c r="N687" s="126" t="s">
        <v>3242</v>
      </c>
      <c r="O687" s="40" t="s">
        <v>857</v>
      </c>
      <c r="P687" s="40"/>
      <c r="Q687" s="40" t="s">
        <v>139</v>
      </c>
      <c r="R687" s="41" t="s">
        <v>139</v>
      </c>
      <c r="S687" s="41" t="s">
        <v>139</v>
      </c>
      <c r="T687" s="41" t="s">
        <v>139</v>
      </c>
      <c r="U687" s="41" t="s">
        <v>858</v>
      </c>
      <c r="V687" s="41" t="s">
        <v>139</v>
      </c>
      <c r="W687" s="74" t="s">
        <v>139</v>
      </c>
      <c r="X687" s="41" t="s">
        <v>139</v>
      </c>
      <c r="Y687" s="41" t="s">
        <v>139</v>
      </c>
      <c r="Z687" s="41" t="s">
        <v>859</v>
      </c>
      <c r="AA687" s="41" t="s">
        <v>139</v>
      </c>
      <c r="AB687" s="44"/>
      <c r="AC687" s="45"/>
      <c r="AD687" s="45"/>
      <c r="AE687" s="46"/>
      <c r="AF687" s="45"/>
      <c r="AG687" s="45"/>
      <c r="AH687" s="45"/>
      <c r="AI687" s="3" t="s">
        <v>1583</v>
      </c>
    </row>
    <row r="688" spans="1:35" ht="40.5">
      <c r="A688" s="144">
        <f t="shared" si="10"/>
        <v>686</v>
      </c>
      <c r="B688" s="148"/>
      <c r="C688" s="148"/>
      <c r="D688" s="148"/>
      <c r="E688" s="148"/>
      <c r="F688" s="148"/>
      <c r="G688" s="148"/>
      <c r="H688" s="148"/>
      <c r="I688" s="148"/>
      <c r="J688" s="98" t="s">
        <v>2104</v>
      </c>
      <c r="K688" s="112" t="str">
        <f>_xlfn.XLOOKUP(L688,'99_マスタ'!$D$5:$D$18,'99_マスタ'!$C$5:$C$18,"")</f>
        <v>02_生販在</v>
      </c>
      <c r="L688" s="112" t="s">
        <v>2325</v>
      </c>
      <c r="M688" s="112" t="s">
        <v>3257</v>
      </c>
      <c r="N688" s="126" t="s">
        <v>3258</v>
      </c>
      <c r="O688" s="40" t="s">
        <v>940</v>
      </c>
      <c r="P688" s="40" t="s">
        <v>941</v>
      </c>
      <c r="Q688" s="40" t="s">
        <v>139</v>
      </c>
      <c r="R688" s="41" t="s">
        <v>139</v>
      </c>
      <c r="S688" s="41" t="s">
        <v>139</v>
      </c>
      <c r="T688" s="41" t="s">
        <v>139</v>
      </c>
      <c r="U688" s="41" t="s">
        <v>942</v>
      </c>
      <c r="V688" s="41" t="s">
        <v>139</v>
      </c>
      <c r="W688" s="43" t="s">
        <v>139</v>
      </c>
      <c r="X688" s="41" t="s">
        <v>139</v>
      </c>
      <c r="Y688" s="41" t="s">
        <v>139</v>
      </c>
      <c r="Z688" s="41" t="s">
        <v>943</v>
      </c>
      <c r="AA688" s="41" t="s">
        <v>139</v>
      </c>
      <c r="AB688" s="44"/>
      <c r="AC688" s="45"/>
      <c r="AD688" s="45"/>
      <c r="AE688" s="46"/>
      <c r="AF688" s="45"/>
      <c r="AG688" s="45"/>
      <c r="AH688" s="45"/>
      <c r="AI688" s="3" t="s">
        <v>1583</v>
      </c>
    </row>
    <row r="689" spans="1:35">
      <c r="A689" s="144">
        <f t="shared" si="10"/>
        <v>687</v>
      </c>
      <c r="B689" s="148"/>
      <c r="C689" s="148"/>
      <c r="D689" s="148"/>
      <c r="E689" s="148"/>
      <c r="F689" s="148"/>
      <c r="G689" s="148"/>
      <c r="H689" s="148"/>
      <c r="I689" s="148"/>
      <c r="J689" s="98" t="s">
        <v>2104</v>
      </c>
      <c r="K689" s="51" t="str">
        <f>_xlfn.XLOOKUP(L689,'99_マスタ'!$D$5:$D$18,'99_マスタ'!$C$5:$C$18,"")</f>
        <v>02_生販在</v>
      </c>
      <c r="L689" s="52" t="s">
        <v>2325</v>
      </c>
      <c r="M689" s="52" t="s">
        <v>478</v>
      </c>
      <c r="N689" s="54" t="s">
        <v>139</v>
      </c>
      <c r="O689" s="41" t="s">
        <v>479</v>
      </c>
      <c r="P689" s="41"/>
      <c r="Q689" s="41" t="s">
        <v>139</v>
      </c>
      <c r="R689" s="41" t="s">
        <v>480</v>
      </c>
      <c r="S689" s="41" t="s">
        <v>139</v>
      </c>
      <c r="T689" s="41" t="s">
        <v>139</v>
      </c>
      <c r="U689" s="41" t="s">
        <v>139</v>
      </c>
      <c r="V689" s="41" t="s">
        <v>139</v>
      </c>
      <c r="W689" s="53" t="s">
        <v>163</v>
      </c>
      <c r="X689" s="54" t="s">
        <v>139</v>
      </c>
      <c r="Y689" s="54" t="s">
        <v>139</v>
      </c>
      <c r="Z689" s="54" t="s">
        <v>139</v>
      </c>
      <c r="AA689" s="54" t="s">
        <v>139</v>
      </c>
      <c r="AB689" s="55"/>
      <c r="AC689" s="56"/>
      <c r="AD689" s="56"/>
      <c r="AE689" s="57"/>
      <c r="AF689" s="56"/>
      <c r="AG689" s="56"/>
      <c r="AH689" s="56"/>
      <c r="AI689" s="3" t="s">
        <v>1583</v>
      </c>
    </row>
    <row r="690" spans="1:35" ht="81">
      <c r="A690" s="144">
        <f t="shared" si="10"/>
        <v>688</v>
      </c>
      <c r="B690" s="148"/>
      <c r="C690" s="148"/>
      <c r="D690" s="148"/>
      <c r="E690" s="148"/>
      <c r="F690" s="148"/>
      <c r="G690" s="148"/>
      <c r="H690" s="148"/>
      <c r="I690" s="148"/>
      <c r="J690" s="98" t="s">
        <v>2104</v>
      </c>
      <c r="K690" s="99" t="str">
        <f>_xlfn.XLOOKUP(L690,'99_マスタ'!$D$5:$D$18,'99_マスタ'!$C$5:$C$18,"")</f>
        <v>02_生販在</v>
      </c>
      <c r="L690" s="99" t="s">
        <v>2325</v>
      </c>
      <c r="M690" s="99" t="s">
        <v>961</v>
      </c>
      <c r="N690" s="126" t="s">
        <v>139</v>
      </c>
      <c r="O690" s="40" t="s">
        <v>980</v>
      </c>
      <c r="P690" s="40"/>
      <c r="Q690" s="40" t="s">
        <v>139</v>
      </c>
      <c r="R690" s="41" t="s">
        <v>139</v>
      </c>
      <c r="S690" s="41" t="s">
        <v>139</v>
      </c>
      <c r="T690" s="41" t="s">
        <v>139</v>
      </c>
      <c r="U690" s="41" t="s">
        <v>2210</v>
      </c>
      <c r="V690" s="41" t="s">
        <v>139</v>
      </c>
      <c r="W690" s="43" t="s">
        <v>139</v>
      </c>
      <c r="X690" s="41" t="s">
        <v>139</v>
      </c>
      <c r="Y690" s="41" t="s">
        <v>139</v>
      </c>
      <c r="Z690" s="41" t="s">
        <v>2209</v>
      </c>
      <c r="AA690" s="41" t="s">
        <v>139</v>
      </c>
      <c r="AB690" s="44"/>
      <c r="AC690" s="45"/>
      <c r="AD690" s="45"/>
      <c r="AE690" s="46"/>
      <c r="AF690" s="45"/>
      <c r="AG690" s="45"/>
      <c r="AH690" s="45"/>
      <c r="AI690" s="3" t="s">
        <v>1583</v>
      </c>
    </row>
    <row r="691" spans="1:35" ht="27">
      <c r="A691" s="144">
        <f t="shared" si="10"/>
        <v>689</v>
      </c>
      <c r="B691" s="148"/>
      <c r="C691" s="148"/>
      <c r="D691" s="148"/>
      <c r="E691" s="148"/>
      <c r="F691" s="148"/>
      <c r="G691" s="148"/>
      <c r="H691" s="148"/>
      <c r="I691" s="148"/>
      <c r="J691" s="98" t="s">
        <v>2104</v>
      </c>
      <c r="K691" s="112" t="str">
        <f>_xlfn.XLOOKUP(L691,'99_マスタ'!$D$5:$D$18,'99_マスタ'!$C$5:$C$18,"")</f>
        <v>02_生販在</v>
      </c>
      <c r="L691" s="112" t="s">
        <v>2325</v>
      </c>
      <c r="M691" s="112" t="s">
        <v>951</v>
      </c>
      <c r="N691" s="126" t="s">
        <v>952</v>
      </c>
      <c r="O691" s="40" t="s">
        <v>953</v>
      </c>
      <c r="P691" s="40" t="s">
        <v>954</v>
      </c>
      <c r="Q691" s="40" t="s">
        <v>1140</v>
      </c>
      <c r="R691" s="41" t="s">
        <v>139</v>
      </c>
      <c r="S691" s="41" t="s">
        <v>139</v>
      </c>
      <c r="T691" s="41" t="s">
        <v>139</v>
      </c>
      <c r="U691" s="41" t="s">
        <v>955</v>
      </c>
      <c r="V691" s="41" t="s">
        <v>139</v>
      </c>
      <c r="W691" s="43" t="s">
        <v>139</v>
      </c>
      <c r="X691" s="41" t="s">
        <v>139</v>
      </c>
      <c r="Y691" s="41" t="s">
        <v>139</v>
      </c>
      <c r="Z691" s="41" t="s">
        <v>956</v>
      </c>
      <c r="AA691" s="41" t="s">
        <v>139</v>
      </c>
      <c r="AB691" s="44"/>
      <c r="AC691" s="45"/>
      <c r="AD691" s="45"/>
      <c r="AE691" s="46"/>
      <c r="AF691" s="45"/>
      <c r="AG691" s="45"/>
      <c r="AH691" s="45"/>
      <c r="AI691" s="3" t="s">
        <v>1583</v>
      </c>
    </row>
    <row r="692" spans="1:35" ht="54">
      <c r="A692" s="144">
        <f t="shared" si="10"/>
        <v>690</v>
      </c>
      <c r="B692" s="148"/>
      <c r="C692" s="148"/>
      <c r="D692" s="148"/>
      <c r="E692" s="148"/>
      <c r="F692" s="148"/>
      <c r="G692" s="148"/>
      <c r="H692" s="148"/>
      <c r="I692" s="148"/>
      <c r="J692" s="98" t="s">
        <v>2104</v>
      </c>
      <c r="K692" s="99" t="str">
        <f>_xlfn.XLOOKUP(L692,'99_マスタ'!$D$5:$D$18,'99_マスタ'!$C$5:$C$18,"")</f>
        <v>02_生販在</v>
      </c>
      <c r="L692" s="99" t="s">
        <v>2325</v>
      </c>
      <c r="M692" s="99" t="s">
        <v>991</v>
      </c>
      <c r="N692" s="126" t="s">
        <v>992</v>
      </c>
      <c r="O692" s="40" t="s">
        <v>993</v>
      </c>
      <c r="P692" s="40"/>
      <c r="Q692" s="40" t="s">
        <v>139</v>
      </c>
      <c r="R692" s="41" t="s">
        <v>139</v>
      </c>
      <c r="S692" s="41" t="s">
        <v>139</v>
      </c>
      <c r="T692" s="41" t="s">
        <v>139</v>
      </c>
      <c r="U692" s="41" t="s">
        <v>994</v>
      </c>
      <c r="V692" s="41" t="s">
        <v>139</v>
      </c>
      <c r="W692" s="43" t="s">
        <v>139</v>
      </c>
      <c r="X692" s="41" t="s">
        <v>139</v>
      </c>
      <c r="Y692" s="41" t="s">
        <v>139</v>
      </c>
      <c r="Z692" s="41" t="s">
        <v>988</v>
      </c>
      <c r="AA692" s="41" t="s">
        <v>139</v>
      </c>
      <c r="AB692" s="44"/>
      <c r="AC692" s="45"/>
      <c r="AD692" s="45"/>
      <c r="AE692" s="46"/>
      <c r="AF692" s="45"/>
      <c r="AG692" s="45"/>
      <c r="AH692" s="45"/>
      <c r="AI692" s="3" t="s">
        <v>1583</v>
      </c>
    </row>
    <row r="693" spans="1:35" ht="40.5">
      <c r="A693" s="144">
        <f t="shared" si="10"/>
        <v>691</v>
      </c>
      <c r="B693" s="148"/>
      <c r="C693" s="148"/>
      <c r="D693" s="148"/>
      <c r="E693" s="148"/>
      <c r="F693" s="148"/>
      <c r="G693" s="148"/>
      <c r="H693" s="148"/>
      <c r="I693" s="148"/>
      <c r="J693" s="98" t="s">
        <v>2104</v>
      </c>
      <c r="K693" s="104" t="str">
        <f>_xlfn.XLOOKUP(L693,'99_マスタ'!$D$5:$D$18,'99_マスタ'!$C$5:$C$18,"")</f>
        <v>02_生販在</v>
      </c>
      <c r="L693" s="104" t="s">
        <v>2325</v>
      </c>
      <c r="M693" s="104" t="s">
        <v>3264</v>
      </c>
      <c r="N693" s="126" t="s">
        <v>3265</v>
      </c>
      <c r="O693" s="40" t="s">
        <v>892</v>
      </c>
      <c r="P693" s="40"/>
      <c r="Q693" s="40" t="s">
        <v>139</v>
      </c>
      <c r="R693" s="41" t="s">
        <v>139</v>
      </c>
      <c r="S693" s="41" t="s">
        <v>139</v>
      </c>
      <c r="T693" s="41" t="s">
        <v>139</v>
      </c>
      <c r="U693" s="41" t="s">
        <v>893</v>
      </c>
      <c r="V693" s="41" t="s">
        <v>139</v>
      </c>
      <c r="W693" s="43" t="s">
        <v>139</v>
      </c>
      <c r="X693" s="41" t="s">
        <v>139</v>
      </c>
      <c r="Y693" s="41" t="s">
        <v>139</v>
      </c>
      <c r="Z693" s="41" t="s">
        <v>880</v>
      </c>
      <c r="AA693" s="41" t="s">
        <v>139</v>
      </c>
      <c r="AB693" s="44"/>
      <c r="AC693" s="45"/>
      <c r="AD693" s="45"/>
      <c r="AE693" s="46"/>
      <c r="AF693" s="45"/>
      <c r="AG693" s="45"/>
      <c r="AH693" s="45"/>
      <c r="AI693" s="3" t="s">
        <v>1583</v>
      </c>
    </row>
    <row r="694" spans="1:35" ht="27">
      <c r="A694" s="144">
        <f t="shared" si="10"/>
        <v>692</v>
      </c>
      <c r="B694" s="148"/>
      <c r="C694" s="148"/>
      <c r="D694" s="148"/>
      <c r="E694" s="148"/>
      <c r="F694" s="148"/>
      <c r="G694" s="148"/>
      <c r="H694" s="148"/>
      <c r="I694" s="148"/>
      <c r="J694" s="98" t="s">
        <v>2104</v>
      </c>
      <c r="K694" s="112" t="str">
        <f>_xlfn.XLOOKUP(L694,'99_マスタ'!$D$5:$D$18,'99_マスタ'!$C$5:$C$18,"")</f>
        <v>02_生販在</v>
      </c>
      <c r="L694" s="112" t="s">
        <v>2325</v>
      </c>
      <c r="M694" s="112" t="s">
        <v>962</v>
      </c>
      <c r="N694" s="126" t="s">
        <v>2214</v>
      </c>
      <c r="O694" s="40" t="s">
        <v>963</v>
      </c>
      <c r="P694" s="40"/>
      <c r="Q694" s="40" t="s">
        <v>139</v>
      </c>
      <c r="R694" s="41" t="s">
        <v>139</v>
      </c>
      <c r="S694" s="41" t="s">
        <v>139</v>
      </c>
      <c r="T694" s="41" t="s">
        <v>139</v>
      </c>
      <c r="U694" s="41" t="s">
        <v>2215</v>
      </c>
      <c r="V694" s="41" t="s">
        <v>139</v>
      </c>
      <c r="W694" s="43" t="s">
        <v>139</v>
      </c>
      <c r="X694" s="41" t="s">
        <v>139</v>
      </c>
      <c r="Y694" s="41" t="s">
        <v>139</v>
      </c>
      <c r="Z694" s="41" t="s">
        <v>2216</v>
      </c>
      <c r="AA694" s="41" t="s">
        <v>139</v>
      </c>
      <c r="AB694" s="44"/>
      <c r="AC694" s="45"/>
      <c r="AD694" s="45"/>
      <c r="AE694" s="46"/>
      <c r="AF694" s="45"/>
      <c r="AG694" s="45"/>
      <c r="AH694" s="45"/>
      <c r="AI694" s="3" t="s">
        <v>1583</v>
      </c>
    </row>
    <row r="695" spans="1:35" ht="40.5">
      <c r="A695" s="144">
        <f t="shared" si="10"/>
        <v>693</v>
      </c>
      <c r="B695" s="148"/>
      <c r="C695" s="148"/>
      <c r="D695" s="148"/>
      <c r="E695" s="148"/>
      <c r="F695" s="148"/>
      <c r="G695" s="148"/>
      <c r="H695" s="148"/>
      <c r="I695" s="148"/>
      <c r="J695" s="98" t="s">
        <v>2104</v>
      </c>
      <c r="K695" s="117" t="str">
        <f>_xlfn.XLOOKUP(L695,'99_マスタ'!$D$5:$D$18,'99_マスタ'!$C$5:$C$18,"")</f>
        <v>02_生販在</v>
      </c>
      <c r="L695" s="117" t="s">
        <v>2325</v>
      </c>
      <c r="M695" s="117" t="s">
        <v>3055</v>
      </c>
      <c r="N695" s="126" t="s">
        <v>782</v>
      </c>
      <c r="O695" s="40" t="s">
        <v>783</v>
      </c>
      <c r="P695" s="40"/>
      <c r="Q695" s="40" t="s">
        <v>139</v>
      </c>
      <c r="R695" s="41" t="s">
        <v>139</v>
      </c>
      <c r="S695" s="41" t="s">
        <v>139</v>
      </c>
      <c r="T695" s="41" t="s">
        <v>139</v>
      </c>
      <c r="U695" s="41" t="s">
        <v>784</v>
      </c>
      <c r="V695" s="41" t="s">
        <v>139</v>
      </c>
      <c r="W695" s="43" t="s">
        <v>139</v>
      </c>
      <c r="X695" s="41" t="s">
        <v>139</v>
      </c>
      <c r="Y695" s="41" t="s">
        <v>139</v>
      </c>
      <c r="Z695" s="41" t="s">
        <v>229</v>
      </c>
      <c r="AA695" s="41" t="s">
        <v>139</v>
      </c>
      <c r="AB695" s="44"/>
      <c r="AC695" s="45"/>
      <c r="AD695" s="45"/>
      <c r="AE695" s="46"/>
      <c r="AF695" s="45"/>
      <c r="AG695" s="45"/>
      <c r="AH695" s="45"/>
      <c r="AI695" s="3" t="s">
        <v>1583</v>
      </c>
    </row>
    <row r="696" spans="1:35" ht="67.5">
      <c r="A696" s="144">
        <f t="shared" si="10"/>
        <v>694</v>
      </c>
      <c r="B696" s="148"/>
      <c r="C696" s="148"/>
      <c r="D696" s="148"/>
      <c r="E696" s="148"/>
      <c r="F696" s="148"/>
      <c r="G696" s="148"/>
      <c r="H696" s="148"/>
      <c r="I696" s="148"/>
      <c r="J696" s="98" t="s">
        <v>2104</v>
      </c>
      <c r="K696" s="99" t="str">
        <f>_xlfn.XLOOKUP(L696,'99_マスタ'!$D$5:$D$18,'99_マスタ'!$C$5:$C$18,"")</f>
        <v>02_生販在</v>
      </c>
      <c r="L696" s="99" t="s">
        <v>2325</v>
      </c>
      <c r="M696" s="99" t="s">
        <v>3056</v>
      </c>
      <c r="N696" s="126" t="s">
        <v>3057</v>
      </c>
      <c r="O696" s="40" t="s">
        <v>3058</v>
      </c>
      <c r="P696" s="40" t="s">
        <v>860</v>
      </c>
      <c r="Q696" s="40" t="s">
        <v>861</v>
      </c>
      <c r="R696" s="41" t="s">
        <v>139</v>
      </c>
      <c r="S696" s="41" t="s">
        <v>139</v>
      </c>
      <c r="T696" s="41" t="s">
        <v>139</v>
      </c>
      <c r="U696" s="41" t="s">
        <v>3059</v>
      </c>
      <c r="V696" s="41" t="s">
        <v>139</v>
      </c>
      <c r="W696" s="43" t="s">
        <v>139</v>
      </c>
      <c r="X696" s="41" t="s">
        <v>139</v>
      </c>
      <c r="Y696" s="41" t="s">
        <v>139</v>
      </c>
      <c r="Z696" s="41" t="s">
        <v>3060</v>
      </c>
      <c r="AA696" s="41" t="s">
        <v>139</v>
      </c>
      <c r="AB696" s="44"/>
      <c r="AC696" s="45"/>
      <c r="AD696" s="45"/>
      <c r="AE696" s="46"/>
      <c r="AF696" s="45"/>
      <c r="AG696" s="45"/>
      <c r="AH696" s="45"/>
      <c r="AI696" s="3" t="s">
        <v>1583</v>
      </c>
    </row>
    <row r="697" spans="1:35" ht="40.5">
      <c r="A697" s="144">
        <f t="shared" si="10"/>
        <v>695</v>
      </c>
      <c r="B697" s="148"/>
      <c r="C697" s="148"/>
      <c r="D697" s="148"/>
      <c r="E697" s="148"/>
      <c r="F697" s="148"/>
      <c r="G697" s="148"/>
      <c r="H697" s="148"/>
      <c r="I697" s="148"/>
      <c r="J697" s="98" t="s">
        <v>2104</v>
      </c>
      <c r="K697" s="99" t="str">
        <f>_xlfn.XLOOKUP(L697,'99_マスタ'!$D$5:$D$18,'99_マスタ'!$C$5:$C$18,"")</f>
        <v>02_生販在</v>
      </c>
      <c r="L697" s="99" t="s">
        <v>2325</v>
      </c>
      <c r="M697" s="99" t="s">
        <v>738</v>
      </c>
      <c r="N697" s="126" t="s">
        <v>739</v>
      </c>
      <c r="O697" s="40" t="s">
        <v>740</v>
      </c>
      <c r="P697" s="40"/>
      <c r="Q697" s="40" t="s">
        <v>1895</v>
      </c>
      <c r="R697" s="41" t="s">
        <v>139</v>
      </c>
      <c r="S697" s="41" t="s">
        <v>139</v>
      </c>
      <c r="T697" s="41" t="s">
        <v>139</v>
      </c>
      <c r="U697" s="41" t="s">
        <v>741</v>
      </c>
      <c r="V697" s="41" t="s">
        <v>139</v>
      </c>
      <c r="W697" s="43" t="s">
        <v>139</v>
      </c>
      <c r="X697" s="41" t="s">
        <v>139</v>
      </c>
      <c r="Y697" s="41" t="s">
        <v>139</v>
      </c>
      <c r="Z697" s="41" t="s">
        <v>742</v>
      </c>
      <c r="AA697" s="41" t="s">
        <v>139</v>
      </c>
      <c r="AB697" s="44"/>
      <c r="AC697" s="45"/>
      <c r="AD697" s="45"/>
      <c r="AE697" s="46"/>
      <c r="AF697" s="45"/>
      <c r="AG697" s="45"/>
      <c r="AH697" s="45"/>
      <c r="AI697" s="3" t="s">
        <v>1583</v>
      </c>
    </row>
    <row r="698" spans="1:35">
      <c r="A698" s="144">
        <f t="shared" si="10"/>
        <v>696</v>
      </c>
      <c r="B698" s="148"/>
      <c r="C698" s="148"/>
      <c r="D698" s="148"/>
      <c r="E698" s="148"/>
      <c r="F698" s="148"/>
      <c r="G698" s="148"/>
      <c r="H698" s="148"/>
      <c r="I698" s="148"/>
      <c r="J698" s="100" t="s">
        <v>2104</v>
      </c>
      <c r="K698" s="99" t="str">
        <f>_xlfn.XLOOKUP(L698,'99_マスタ'!$D$5:$D$18,'99_マスタ'!$C$5:$C$18,"")</f>
        <v>02_生販在</v>
      </c>
      <c r="L698" s="99" t="s">
        <v>2325</v>
      </c>
      <c r="M698" s="99" t="s">
        <v>2222</v>
      </c>
      <c r="N698" s="126" t="s">
        <v>1637</v>
      </c>
      <c r="O698" s="68" t="s">
        <v>2183</v>
      </c>
      <c r="P698" s="40"/>
      <c r="Q698" s="40" t="s">
        <v>139</v>
      </c>
      <c r="R698" s="41" t="s">
        <v>139</v>
      </c>
      <c r="S698" s="41" t="s">
        <v>139</v>
      </c>
      <c r="T698" s="41" t="s">
        <v>139</v>
      </c>
      <c r="U698" s="41" t="s">
        <v>2174</v>
      </c>
      <c r="V698" s="41" t="s">
        <v>139</v>
      </c>
      <c r="W698" s="43" t="s">
        <v>139</v>
      </c>
      <c r="X698" s="41" t="s">
        <v>139</v>
      </c>
      <c r="Y698" s="41" t="s">
        <v>139</v>
      </c>
      <c r="Z698" s="41" t="s">
        <v>2174</v>
      </c>
      <c r="AA698" s="41" t="s">
        <v>139</v>
      </c>
      <c r="AB698" s="44"/>
      <c r="AC698" s="45"/>
      <c r="AD698" s="45"/>
      <c r="AE698" s="46"/>
      <c r="AF698" s="45"/>
      <c r="AG698" s="45"/>
      <c r="AH698" s="45"/>
      <c r="AI698" s="3" t="s">
        <v>1583</v>
      </c>
    </row>
    <row r="699" spans="1:35">
      <c r="A699" s="144">
        <f t="shared" si="10"/>
        <v>697</v>
      </c>
      <c r="B699" s="148"/>
      <c r="C699" s="148"/>
      <c r="D699" s="148"/>
      <c r="E699" s="148"/>
      <c r="F699" s="148"/>
      <c r="G699" s="148"/>
      <c r="H699" s="148"/>
      <c r="I699" s="148"/>
      <c r="J699" s="100" t="s">
        <v>2104</v>
      </c>
      <c r="K699" s="99" t="str">
        <f>_xlfn.XLOOKUP(L699,'99_マスタ'!$D$5:$D$18,'99_マスタ'!$C$5:$C$18,"")</f>
        <v>02_生販在</v>
      </c>
      <c r="L699" s="99" t="s">
        <v>2325</v>
      </c>
      <c r="M699" s="99" t="s">
        <v>2223</v>
      </c>
      <c r="N699" s="126" t="s">
        <v>1637</v>
      </c>
      <c r="O699" s="68" t="s">
        <v>2182</v>
      </c>
      <c r="P699" s="40"/>
      <c r="Q699" s="40" t="s">
        <v>139</v>
      </c>
      <c r="R699" s="41" t="s">
        <v>139</v>
      </c>
      <c r="S699" s="41" t="s">
        <v>139</v>
      </c>
      <c r="T699" s="41" t="s">
        <v>139</v>
      </c>
      <c r="U699" s="41" t="s">
        <v>2174</v>
      </c>
      <c r="V699" s="41" t="s">
        <v>139</v>
      </c>
      <c r="W699" s="43" t="s">
        <v>139</v>
      </c>
      <c r="X699" s="41" t="s">
        <v>139</v>
      </c>
      <c r="Y699" s="41" t="s">
        <v>139</v>
      </c>
      <c r="Z699" s="41" t="s">
        <v>2174</v>
      </c>
      <c r="AA699" s="41" t="s">
        <v>139</v>
      </c>
      <c r="AB699" s="44"/>
      <c r="AC699" s="45"/>
      <c r="AD699" s="45"/>
      <c r="AE699" s="46"/>
      <c r="AF699" s="45"/>
      <c r="AG699" s="45"/>
      <c r="AH699" s="45"/>
      <c r="AI699" s="3" t="s">
        <v>1583</v>
      </c>
    </row>
    <row r="700" spans="1:35">
      <c r="A700" s="144">
        <f t="shared" si="10"/>
        <v>698</v>
      </c>
      <c r="B700" s="148"/>
      <c r="C700" s="148"/>
      <c r="D700" s="148"/>
      <c r="E700" s="148"/>
      <c r="F700" s="148"/>
      <c r="G700" s="148"/>
      <c r="H700" s="148"/>
      <c r="I700" s="148"/>
      <c r="J700" s="100" t="s">
        <v>2104</v>
      </c>
      <c r="K700" s="99" t="str">
        <f>_xlfn.XLOOKUP(L700,'99_マスタ'!$D$5:$D$18,'99_マスタ'!$C$5:$C$18,"")</f>
        <v>02_生販在</v>
      </c>
      <c r="L700" s="99" t="s">
        <v>2325</v>
      </c>
      <c r="M700" s="99" t="s">
        <v>2227</v>
      </c>
      <c r="N700" s="126" t="s">
        <v>1637</v>
      </c>
      <c r="O700" s="68" t="s">
        <v>2179</v>
      </c>
      <c r="P700" s="40"/>
      <c r="Q700" s="40" t="s">
        <v>139</v>
      </c>
      <c r="R700" s="41" t="s">
        <v>139</v>
      </c>
      <c r="S700" s="41" t="s">
        <v>139</v>
      </c>
      <c r="T700" s="41" t="s">
        <v>139</v>
      </c>
      <c r="U700" s="41" t="s">
        <v>2174</v>
      </c>
      <c r="V700" s="41" t="s">
        <v>139</v>
      </c>
      <c r="W700" s="43" t="s">
        <v>139</v>
      </c>
      <c r="X700" s="41" t="s">
        <v>139</v>
      </c>
      <c r="Y700" s="41" t="s">
        <v>139</v>
      </c>
      <c r="Z700" s="41" t="s">
        <v>2174</v>
      </c>
      <c r="AA700" s="41" t="s">
        <v>139</v>
      </c>
      <c r="AB700" s="44"/>
      <c r="AC700" s="45"/>
      <c r="AD700" s="45"/>
      <c r="AE700" s="46"/>
      <c r="AF700" s="45"/>
      <c r="AG700" s="45"/>
      <c r="AH700" s="45"/>
      <c r="AI700" s="3" t="s">
        <v>1583</v>
      </c>
    </row>
    <row r="701" spans="1:35">
      <c r="A701" s="144">
        <f t="shared" si="10"/>
        <v>699</v>
      </c>
      <c r="B701" s="148"/>
      <c r="C701" s="148"/>
      <c r="D701" s="148"/>
      <c r="E701" s="148"/>
      <c r="F701" s="148"/>
      <c r="G701" s="148"/>
      <c r="H701" s="148"/>
      <c r="I701" s="148"/>
      <c r="J701" s="100" t="s">
        <v>2104</v>
      </c>
      <c r="K701" s="99" t="str">
        <f>_xlfn.XLOOKUP(L701,'99_マスタ'!$D$5:$D$18,'99_マスタ'!$C$5:$C$18,"")</f>
        <v>02_生販在</v>
      </c>
      <c r="L701" s="99" t="s">
        <v>2325</v>
      </c>
      <c r="M701" s="99" t="s">
        <v>2224</v>
      </c>
      <c r="N701" s="126" t="s">
        <v>1637</v>
      </c>
      <c r="O701" s="68" t="s">
        <v>2181</v>
      </c>
      <c r="P701" s="40"/>
      <c r="Q701" s="40" t="s">
        <v>139</v>
      </c>
      <c r="R701" s="41" t="s">
        <v>139</v>
      </c>
      <c r="S701" s="41" t="s">
        <v>139</v>
      </c>
      <c r="T701" s="41" t="s">
        <v>139</v>
      </c>
      <c r="U701" s="41" t="s">
        <v>2174</v>
      </c>
      <c r="V701" s="41" t="s">
        <v>139</v>
      </c>
      <c r="W701" s="43" t="s">
        <v>139</v>
      </c>
      <c r="X701" s="41" t="s">
        <v>139</v>
      </c>
      <c r="Y701" s="41" t="s">
        <v>139</v>
      </c>
      <c r="Z701" s="41" t="s">
        <v>2174</v>
      </c>
      <c r="AA701" s="41" t="s">
        <v>139</v>
      </c>
      <c r="AB701" s="44"/>
      <c r="AC701" s="45"/>
      <c r="AD701" s="45"/>
      <c r="AE701" s="46"/>
      <c r="AF701" s="45"/>
      <c r="AG701" s="45"/>
      <c r="AH701" s="45"/>
      <c r="AI701" s="3" t="s">
        <v>1583</v>
      </c>
    </row>
    <row r="702" spans="1:35">
      <c r="A702" s="144">
        <f t="shared" si="10"/>
        <v>700</v>
      </c>
      <c r="B702" s="148"/>
      <c r="C702" s="148"/>
      <c r="D702" s="148"/>
      <c r="E702" s="148"/>
      <c r="F702" s="148"/>
      <c r="G702" s="148"/>
      <c r="H702" s="148"/>
      <c r="I702" s="148"/>
      <c r="J702" s="98" t="s">
        <v>2104</v>
      </c>
      <c r="K702" s="51" t="s">
        <v>3083</v>
      </c>
      <c r="L702" s="67" t="s">
        <v>2325</v>
      </c>
      <c r="M702" s="67" t="s">
        <v>3081</v>
      </c>
      <c r="N702" s="54" t="s">
        <v>3082</v>
      </c>
      <c r="O702" s="41" t="s">
        <v>414</v>
      </c>
      <c r="P702" s="41" t="s">
        <v>415</v>
      </c>
      <c r="Q702" s="41" t="s">
        <v>408</v>
      </c>
      <c r="R702" s="41" t="s">
        <v>416</v>
      </c>
      <c r="S702" s="41" t="s">
        <v>139</v>
      </c>
      <c r="T702" s="41" t="s">
        <v>139</v>
      </c>
      <c r="U702" s="41" t="s">
        <v>139</v>
      </c>
      <c r="V702" s="41" t="s">
        <v>139</v>
      </c>
      <c r="W702" s="53" t="s">
        <v>133</v>
      </c>
      <c r="X702" s="54" t="s">
        <v>139</v>
      </c>
      <c r="Y702" s="54" t="s">
        <v>139</v>
      </c>
      <c r="Z702" s="54" t="s">
        <v>139</v>
      </c>
      <c r="AA702" s="54" t="s">
        <v>139</v>
      </c>
      <c r="AB702" s="55"/>
      <c r="AC702" s="56"/>
      <c r="AD702" s="56"/>
      <c r="AE702" s="57"/>
      <c r="AF702" s="56"/>
      <c r="AG702" s="56"/>
      <c r="AH702" s="56"/>
      <c r="AI702" s="3" t="s">
        <v>1583</v>
      </c>
    </row>
    <row r="703" spans="1:35" ht="40.5">
      <c r="A703" s="144">
        <f t="shared" si="10"/>
        <v>701</v>
      </c>
      <c r="B703" s="148"/>
      <c r="C703" s="148"/>
      <c r="D703" s="148"/>
      <c r="E703" s="148"/>
      <c r="F703" s="148"/>
      <c r="G703" s="148"/>
      <c r="H703" s="148"/>
      <c r="I703" s="148"/>
      <c r="J703" s="98" t="s">
        <v>2104</v>
      </c>
      <c r="K703" s="99" t="str">
        <f>_xlfn.XLOOKUP(L703,'99_マスタ'!$D$5:$D$18,'99_マスタ'!$C$5:$C$18,"")</f>
        <v>02_生販在</v>
      </c>
      <c r="L703" s="99" t="s">
        <v>2325</v>
      </c>
      <c r="M703" s="99" t="s">
        <v>2213</v>
      </c>
      <c r="N703" s="126" t="s">
        <v>985</v>
      </c>
      <c r="O703" s="40" t="s">
        <v>986</v>
      </c>
      <c r="P703" s="40"/>
      <c r="Q703" s="40" t="s">
        <v>139</v>
      </c>
      <c r="R703" s="41" t="s">
        <v>139</v>
      </c>
      <c r="S703" s="41" t="s">
        <v>139</v>
      </c>
      <c r="T703" s="41" t="s">
        <v>139</v>
      </c>
      <c r="U703" s="41" t="s">
        <v>987</v>
      </c>
      <c r="V703" s="41" t="s">
        <v>139</v>
      </c>
      <c r="W703" s="43" t="s">
        <v>139</v>
      </c>
      <c r="X703" s="41" t="s">
        <v>139</v>
      </c>
      <c r="Y703" s="41" t="s">
        <v>139</v>
      </c>
      <c r="Z703" s="41" t="s">
        <v>988</v>
      </c>
      <c r="AA703" s="41" t="s">
        <v>139</v>
      </c>
      <c r="AB703" s="44"/>
      <c r="AC703" s="45"/>
      <c r="AD703" s="45"/>
      <c r="AE703" s="46"/>
      <c r="AF703" s="45"/>
      <c r="AG703" s="45"/>
      <c r="AH703" s="45"/>
      <c r="AI703" s="3" t="s">
        <v>1583</v>
      </c>
    </row>
    <row r="704" spans="1:35" ht="67.5">
      <c r="A704" s="144">
        <f t="shared" si="10"/>
        <v>702</v>
      </c>
      <c r="B704" s="148"/>
      <c r="C704" s="148"/>
      <c r="D704" s="148"/>
      <c r="E704" s="148"/>
      <c r="F704" s="148"/>
      <c r="G704" s="148"/>
      <c r="H704" s="148"/>
      <c r="I704" s="148"/>
      <c r="J704" s="98" t="s">
        <v>2104</v>
      </c>
      <c r="K704" s="99" t="str">
        <f>_xlfn.XLOOKUP(L704,'99_マスタ'!$D$5:$D$18,'99_マスタ'!$C$5:$C$18,"")</f>
        <v>02_生販在</v>
      </c>
      <c r="L704" s="99" t="s">
        <v>2325</v>
      </c>
      <c r="M704" s="99" t="s">
        <v>687</v>
      </c>
      <c r="N704" s="126" t="s">
        <v>688</v>
      </c>
      <c r="O704" s="40" t="s">
        <v>689</v>
      </c>
      <c r="P704" s="40"/>
      <c r="Q704" s="40" t="s">
        <v>139</v>
      </c>
      <c r="R704" s="41" t="s">
        <v>139</v>
      </c>
      <c r="S704" s="41" t="s">
        <v>139</v>
      </c>
      <c r="T704" s="41" t="s">
        <v>139</v>
      </c>
      <c r="U704" s="41" t="s">
        <v>3122</v>
      </c>
      <c r="V704" s="41" t="s">
        <v>139</v>
      </c>
      <c r="W704" s="43" t="s">
        <v>139</v>
      </c>
      <c r="X704" s="41" t="s">
        <v>139</v>
      </c>
      <c r="Y704" s="41" t="s">
        <v>139</v>
      </c>
      <c r="Z704" s="41" t="s">
        <v>668</v>
      </c>
      <c r="AA704" s="41" t="s">
        <v>139</v>
      </c>
      <c r="AB704" s="44"/>
      <c r="AC704" s="45"/>
      <c r="AD704" s="45"/>
      <c r="AE704" s="46"/>
      <c r="AF704" s="45"/>
      <c r="AG704" s="45"/>
      <c r="AH704" s="45"/>
      <c r="AI704" s="3" t="s">
        <v>1583</v>
      </c>
    </row>
    <row r="705" spans="1:35" ht="40.5">
      <c r="A705" s="144">
        <f t="shared" si="10"/>
        <v>703</v>
      </c>
      <c r="B705" s="148"/>
      <c r="C705" s="148"/>
      <c r="D705" s="148"/>
      <c r="E705" s="148"/>
      <c r="F705" s="148"/>
      <c r="G705" s="148"/>
      <c r="H705" s="148"/>
      <c r="I705" s="148"/>
      <c r="J705" s="98" t="s">
        <v>2104</v>
      </c>
      <c r="K705" s="102" t="str">
        <f>_xlfn.XLOOKUP(L705,'99_マスタ'!$D$5:$D$18,'99_マスタ'!$C$5:$C$18,"")</f>
        <v>02_生販在</v>
      </c>
      <c r="L705" s="102" t="s">
        <v>2325</v>
      </c>
      <c r="M705" s="102" t="s">
        <v>3111</v>
      </c>
      <c r="N705" s="126" t="s">
        <v>3112</v>
      </c>
      <c r="O705" s="40" t="s">
        <v>1109</v>
      </c>
      <c r="P705" s="40"/>
      <c r="Q705" s="40" t="s">
        <v>139</v>
      </c>
      <c r="R705" s="41" t="s">
        <v>139</v>
      </c>
      <c r="S705" s="41" t="s">
        <v>139</v>
      </c>
      <c r="T705" s="41" t="s">
        <v>1110</v>
      </c>
      <c r="U705" s="41" t="s">
        <v>139</v>
      </c>
      <c r="V705" s="41" t="s">
        <v>139</v>
      </c>
      <c r="W705" s="43" t="s">
        <v>139</v>
      </c>
      <c r="X705" s="41" t="s">
        <v>139</v>
      </c>
      <c r="Y705" s="41" t="s">
        <v>1608</v>
      </c>
      <c r="Z705" s="41" t="s">
        <v>139</v>
      </c>
      <c r="AA705" s="41" t="s">
        <v>139</v>
      </c>
      <c r="AB705" s="44"/>
      <c r="AC705" s="45"/>
      <c r="AD705" s="45"/>
      <c r="AE705" s="46"/>
      <c r="AF705" s="45"/>
      <c r="AG705" s="45"/>
      <c r="AH705" s="45"/>
      <c r="AI705" s="3" t="s">
        <v>1583</v>
      </c>
    </row>
    <row r="706" spans="1:35" ht="40.5">
      <c r="A706" s="144">
        <f t="shared" si="10"/>
        <v>704</v>
      </c>
      <c r="B706" s="148"/>
      <c r="C706" s="148"/>
      <c r="D706" s="148"/>
      <c r="E706" s="148"/>
      <c r="F706" s="148"/>
      <c r="G706" s="148"/>
      <c r="H706" s="148"/>
      <c r="I706" s="148"/>
      <c r="J706" s="98" t="s">
        <v>2104</v>
      </c>
      <c r="K706" s="104" t="str">
        <f>_xlfn.XLOOKUP(L706,'99_マスタ'!$D$5:$D$18,'99_マスタ'!$C$5:$C$18,"")</f>
        <v>02_生販在</v>
      </c>
      <c r="L706" s="104" t="s">
        <v>2325</v>
      </c>
      <c r="M706" s="104" t="s">
        <v>3114</v>
      </c>
      <c r="N706" s="126" t="s">
        <v>3115</v>
      </c>
      <c r="O706" s="40" t="s">
        <v>884</v>
      </c>
      <c r="P706" s="40"/>
      <c r="Q706" s="40" t="s">
        <v>2137</v>
      </c>
      <c r="R706" s="41" t="s">
        <v>139</v>
      </c>
      <c r="S706" s="41" t="s">
        <v>139</v>
      </c>
      <c r="T706" s="41" t="s">
        <v>139</v>
      </c>
      <c r="U706" s="41" t="s">
        <v>885</v>
      </c>
      <c r="V706" s="41" t="s">
        <v>139</v>
      </c>
      <c r="W706" s="43" t="s">
        <v>139</v>
      </c>
      <c r="X706" s="41" t="s">
        <v>139</v>
      </c>
      <c r="Y706" s="41" t="s">
        <v>139</v>
      </c>
      <c r="Z706" s="41" t="s">
        <v>876</v>
      </c>
      <c r="AA706" s="41" t="s">
        <v>139</v>
      </c>
      <c r="AB706" s="44"/>
      <c r="AC706" s="45"/>
      <c r="AD706" s="45"/>
      <c r="AE706" s="46"/>
      <c r="AF706" s="45"/>
      <c r="AG706" s="45"/>
      <c r="AH706" s="45"/>
      <c r="AI706" s="3" t="s">
        <v>1583</v>
      </c>
    </row>
    <row r="707" spans="1:35">
      <c r="A707" s="144">
        <f t="shared" ref="A707:A770" si="11">ROW()-2</f>
        <v>705</v>
      </c>
      <c r="B707" s="148"/>
      <c r="C707" s="148"/>
      <c r="D707" s="148"/>
      <c r="E707" s="148"/>
      <c r="F707" s="148"/>
      <c r="G707" s="148"/>
      <c r="H707" s="148"/>
      <c r="I707" s="148"/>
      <c r="J707" s="100" t="s">
        <v>2104</v>
      </c>
      <c r="K707" s="99" t="str">
        <f>_xlfn.XLOOKUP(L707,'99_マスタ'!$D$5:$D$18,'99_マスタ'!$C$5:$C$18,"")</f>
        <v>02_生販在</v>
      </c>
      <c r="L707" s="99" t="s">
        <v>2325</v>
      </c>
      <c r="M707" s="99" t="s">
        <v>2225</v>
      </c>
      <c r="N707" s="126" t="s">
        <v>1637</v>
      </c>
      <c r="O707" s="68" t="s">
        <v>2180</v>
      </c>
      <c r="P707" s="40"/>
      <c r="Q707" s="40" t="s">
        <v>139</v>
      </c>
      <c r="R707" s="41" t="s">
        <v>139</v>
      </c>
      <c r="S707" s="41" t="s">
        <v>139</v>
      </c>
      <c r="T707" s="41" t="s">
        <v>139</v>
      </c>
      <c r="U707" s="41" t="s">
        <v>2174</v>
      </c>
      <c r="V707" s="41" t="s">
        <v>139</v>
      </c>
      <c r="W707" s="43" t="s">
        <v>139</v>
      </c>
      <c r="X707" s="41" t="s">
        <v>139</v>
      </c>
      <c r="Y707" s="41" t="s">
        <v>139</v>
      </c>
      <c r="Z707" s="41" t="s">
        <v>2174</v>
      </c>
      <c r="AA707" s="41" t="s">
        <v>139</v>
      </c>
      <c r="AB707" s="44"/>
      <c r="AC707" s="45"/>
      <c r="AD707" s="45"/>
      <c r="AE707" s="46"/>
      <c r="AF707" s="45"/>
      <c r="AG707" s="45"/>
      <c r="AH707" s="45"/>
      <c r="AI707" s="3" t="s">
        <v>1583</v>
      </c>
    </row>
    <row r="708" spans="1:35">
      <c r="A708" s="144">
        <f t="shared" si="11"/>
        <v>706</v>
      </c>
      <c r="B708" s="148"/>
      <c r="C708" s="148"/>
      <c r="D708" s="148"/>
      <c r="E708" s="148"/>
      <c r="F708" s="148"/>
      <c r="G708" s="148"/>
      <c r="H708" s="148"/>
      <c r="I708" s="148"/>
      <c r="J708" s="100" t="s">
        <v>2104</v>
      </c>
      <c r="K708" s="99" t="str">
        <f>_xlfn.XLOOKUP(L708,'99_マスタ'!$D$5:$D$18,'99_マスタ'!$C$5:$C$18,"")</f>
        <v>02_生販在</v>
      </c>
      <c r="L708" s="99" t="s">
        <v>2325</v>
      </c>
      <c r="M708" s="99" t="s">
        <v>2220</v>
      </c>
      <c r="N708" s="126" t="s">
        <v>1637</v>
      </c>
      <c r="O708" s="68" t="s">
        <v>2176</v>
      </c>
      <c r="P708" s="40"/>
      <c r="Q708" s="40" t="s">
        <v>139</v>
      </c>
      <c r="R708" s="41" t="s">
        <v>139</v>
      </c>
      <c r="S708" s="41" t="s">
        <v>139</v>
      </c>
      <c r="T708" s="41" t="s">
        <v>139</v>
      </c>
      <c r="U708" s="41" t="s">
        <v>2174</v>
      </c>
      <c r="V708" s="41" t="s">
        <v>139</v>
      </c>
      <c r="W708" s="43" t="s">
        <v>139</v>
      </c>
      <c r="X708" s="41" t="s">
        <v>139</v>
      </c>
      <c r="Y708" s="41" t="s">
        <v>139</v>
      </c>
      <c r="Z708" s="41" t="s">
        <v>2174</v>
      </c>
      <c r="AA708" s="41" t="s">
        <v>139</v>
      </c>
      <c r="AB708" s="44"/>
      <c r="AC708" s="45"/>
      <c r="AD708" s="45"/>
      <c r="AE708" s="46"/>
      <c r="AF708" s="45"/>
      <c r="AG708" s="45"/>
      <c r="AH708" s="45"/>
      <c r="AI708" s="3" t="s">
        <v>1583</v>
      </c>
    </row>
    <row r="709" spans="1:35" ht="27">
      <c r="A709" s="144">
        <f t="shared" si="11"/>
        <v>707</v>
      </c>
      <c r="B709" s="148"/>
      <c r="C709" s="148"/>
      <c r="D709" s="148"/>
      <c r="E709" s="148"/>
      <c r="F709" s="148"/>
      <c r="G709" s="148"/>
      <c r="H709" s="148"/>
      <c r="I709" s="148"/>
      <c r="J709" s="103" t="s">
        <v>2104</v>
      </c>
      <c r="K709" s="102" t="str">
        <f>_xlfn.XLOOKUP(L709,'99_マスタ'!$D$5:$D$18,'99_マスタ'!$C$5:$C$18,"")</f>
        <v>02_生販在</v>
      </c>
      <c r="L709" s="111" t="s">
        <v>2325</v>
      </c>
      <c r="M709" s="102" t="s">
        <v>1846</v>
      </c>
      <c r="N709" s="127" t="s">
        <v>1847</v>
      </c>
      <c r="O709" s="60" t="s">
        <v>1848</v>
      </c>
      <c r="P709" s="60"/>
      <c r="Q709" s="60" t="s">
        <v>139</v>
      </c>
      <c r="R709" s="48" t="s">
        <v>139</v>
      </c>
      <c r="S709" s="48" t="s">
        <v>139</v>
      </c>
      <c r="T709" s="79" t="s">
        <v>1845</v>
      </c>
      <c r="U709" s="79" t="s">
        <v>139</v>
      </c>
      <c r="V709" s="48" t="s">
        <v>139</v>
      </c>
      <c r="W709" s="50" t="s">
        <v>139</v>
      </c>
      <c r="X709" s="48" t="s">
        <v>139</v>
      </c>
      <c r="Y709" s="79" t="s">
        <v>1125</v>
      </c>
      <c r="Z709" s="48" t="s">
        <v>139</v>
      </c>
      <c r="AA709" s="48" t="s">
        <v>139</v>
      </c>
      <c r="AB709" s="44"/>
      <c r="AC709" s="45"/>
      <c r="AD709" s="45"/>
      <c r="AE709" s="46"/>
      <c r="AF709" s="45"/>
      <c r="AG709" s="45"/>
      <c r="AH709" s="45"/>
      <c r="AI709" s="3" t="s">
        <v>1583</v>
      </c>
    </row>
    <row r="710" spans="1:35" ht="40.5">
      <c r="A710" s="144">
        <f t="shared" si="11"/>
        <v>708</v>
      </c>
      <c r="B710" s="148"/>
      <c r="C710" s="148"/>
      <c r="D710" s="148"/>
      <c r="E710" s="148"/>
      <c r="F710" s="148"/>
      <c r="G710" s="148"/>
      <c r="H710" s="148"/>
      <c r="I710" s="148"/>
      <c r="J710" s="98" t="s">
        <v>2104</v>
      </c>
      <c r="K710" s="101" t="str">
        <f>_xlfn.XLOOKUP(L710,'99_マスタ'!$D$5:$D$18,'99_マスタ'!$C$5:$C$18,"")</f>
        <v>02_生販在</v>
      </c>
      <c r="L710" s="111" t="s">
        <v>2325</v>
      </c>
      <c r="M710" s="111" t="s">
        <v>785</v>
      </c>
      <c r="N710" s="126" t="s">
        <v>139</v>
      </c>
      <c r="O710" s="40" t="s">
        <v>786</v>
      </c>
      <c r="P710" s="40"/>
      <c r="Q710" s="40" t="s">
        <v>787</v>
      </c>
      <c r="R710" s="41" t="s">
        <v>139</v>
      </c>
      <c r="S710" s="41" t="s">
        <v>139</v>
      </c>
      <c r="T710" s="41" t="s">
        <v>139</v>
      </c>
      <c r="U710" s="41" t="s">
        <v>788</v>
      </c>
      <c r="V710" s="41" t="s">
        <v>139</v>
      </c>
      <c r="W710" s="43" t="s">
        <v>139</v>
      </c>
      <c r="X710" s="41" t="s">
        <v>139</v>
      </c>
      <c r="Y710" s="41" t="s">
        <v>139</v>
      </c>
      <c r="Z710" s="41" t="s">
        <v>229</v>
      </c>
      <c r="AA710" s="41" t="s">
        <v>139</v>
      </c>
      <c r="AB710" s="44"/>
      <c r="AC710" s="45"/>
      <c r="AD710" s="45"/>
      <c r="AE710" s="46"/>
      <c r="AF710" s="45"/>
      <c r="AG710" s="45"/>
      <c r="AH710" s="45"/>
      <c r="AI710" s="3" t="s">
        <v>1583</v>
      </c>
    </row>
    <row r="711" spans="1:35" ht="40.5">
      <c r="A711" s="144">
        <f t="shared" si="11"/>
        <v>709</v>
      </c>
      <c r="B711" s="148"/>
      <c r="C711" s="148"/>
      <c r="D711" s="148"/>
      <c r="E711" s="148"/>
      <c r="F711" s="148"/>
      <c r="G711" s="148"/>
      <c r="H711" s="148"/>
      <c r="I711" s="148"/>
      <c r="J711" s="98" t="s">
        <v>2104</v>
      </c>
      <c r="K711" s="99" t="str">
        <f>_xlfn.XLOOKUP(L711,'99_マスタ'!$D$5:$D$18,'99_マスタ'!$C$5:$C$18,"")</f>
        <v>02_生販在</v>
      </c>
      <c r="L711" s="111" t="s">
        <v>2325</v>
      </c>
      <c r="M711" s="99" t="s">
        <v>592</v>
      </c>
      <c r="N711" s="126" t="s">
        <v>139</v>
      </c>
      <c r="O711" s="40" t="s">
        <v>593</v>
      </c>
      <c r="P711" s="40"/>
      <c r="Q711" s="40" t="s">
        <v>139</v>
      </c>
      <c r="R711" s="41" t="s">
        <v>139</v>
      </c>
      <c r="S711" s="41" t="s">
        <v>139</v>
      </c>
      <c r="T711" s="41" t="s">
        <v>139</v>
      </c>
      <c r="U711" s="41" t="s">
        <v>594</v>
      </c>
      <c r="V711" s="41" t="s">
        <v>139</v>
      </c>
      <c r="W711" s="43" t="s">
        <v>139</v>
      </c>
      <c r="X711" s="41" t="s">
        <v>139</v>
      </c>
      <c r="Y711" s="41" t="s">
        <v>139</v>
      </c>
      <c r="Z711" s="41" t="s">
        <v>532</v>
      </c>
      <c r="AA711" s="41" t="s">
        <v>139</v>
      </c>
      <c r="AB711" s="44"/>
      <c r="AC711" s="45"/>
      <c r="AD711" s="45"/>
      <c r="AE711" s="46"/>
      <c r="AF711" s="45"/>
      <c r="AG711" s="45"/>
      <c r="AH711" s="45"/>
      <c r="AI711" s="3" t="s">
        <v>1583</v>
      </c>
    </row>
    <row r="712" spans="1:35" ht="27">
      <c r="A712" s="144">
        <f t="shared" si="11"/>
        <v>710</v>
      </c>
      <c r="B712" s="148"/>
      <c r="C712" s="148"/>
      <c r="D712" s="148"/>
      <c r="E712" s="148"/>
      <c r="F712" s="148"/>
      <c r="G712" s="148"/>
      <c r="H712" s="148"/>
      <c r="I712" s="148"/>
      <c r="J712" s="98" t="s">
        <v>2104</v>
      </c>
      <c r="K712" s="99" t="str">
        <f>_xlfn.XLOOKUP(L712,'99_マスタ'!$D$5:$D$18,'99_マスタ'!$C$5:$C$18,"")</f>
        <v>02_生販在</v>
      </c>
      <c r="L712" s="111" t="s">
        <v>2325</v>
      </c>
      <c r="M712" s="99" t="s">
        <v>621</v>
      </c>
      <c r="N712" s="126" t="s">
        <v>139</v>
      </c>
      <c r="O712" s="40" t="s">
        <v>622</v>
      </c>
      <c r="P712" s="40"/>
      <c r="Q712" s="40" t="s">
        <v>139</v>
      </c>
      <c r="R712" s="41" t="s">
        <v>139</v>
      </c>
      <c r="S712" s="41" t="s">
        <v>139</v>
      </c>
      <c r="T712" s="41" t="s">
        <v>139</v>
      </c>
      <c r="U712" s="41" t="s">
        <v>623</v>
      </c>
      <c r="V712" s="41" t="s">
        <v>139</v>
      </c>
      <c r="W712" s="43" t="s">
        <v>139</v>
      </c>
      <c r="X712" s="41" t="s">
        <v>139</v>
      </c>
      <c r="Y712" s="41" t="s">
        <v>139</v>
      </c>
      <c r="Z712" s="41" t="s">
        <v>532</v>
      </c>
      <c r="AA712" s="41" t="s">
        <v>139</v>
      </c>
      <c r="AB712" s="44"/>
      <c r="AC712" s="45"/>
      <c r="AD712" s="45"/>
      <c r="AE712" s="46"/>
      <c r="AF712" s="45"/>
      <c r="AG712" s="45"/>
      <c r="AH712" s="45"/>
      <c r="AI712" s="3" t="s">
        <v>1583</v>
      </c>
    </row>
    <row r="713" spans="1:35">
      <c r="A713" s="144">
        <f t="shared" si="11"/>
        <v>711</v>
      </c>
      <c r="B713" s="148"/>
      <c r="C713" s="148"/>
      <c r="D713" s="148"/>
      <c r="E713" s="148"/>
      <c r="F713" s="148"/>
      <c r="G713" s="148"/>
      <c r="H713" s="148"/>
      <c r="I713" s="148"/>
      <c r="J713" s="100" t="s">
        <v>2104</v>
      </c>
      <c r="K713" s="99" t="str">
        <f>_xlfn.XLOOKUP(L713,'99_マスタ'!$D$5:$D$18,'99_マスタ'!$C$5:$C$18,"")</f>
        <v>02_生販在</v>
      </c>
      <c r="L713" s="99" t="s">
        <v>2325</v>
      </c>
      <c r="M713" s="99" t="s">
        <v>2228</v>
      </c>
      <c r="N713" s="126" t="s">
        <v>1637</v>
      </c>
      <c r="O713" s="68" t="s">
        <v>2178</v>
      </c>
      <c r="P713" s="40"/>
      <c r="Q713" s="40" t="s">
        <v>139</v>
      </c>
      <c r="R713" s="41" t="s">
        <v>139</v>
      </c>
      <c r="S713" s="41" t="s">
        <v>139</v>
      </c>
      <c r="T713" s="41" t="s">
        <v>139</v>
      </c>
      <c r="U713" s="41" t="s">
        <v>2174</v>
      </c>
      <c r="V713" s="41" t="s">
        <v>139</v>
      </c>
      <c r="W713" s="43" t="s">
        <v>139</v>
      </c>
      <c r="X713" s="41" t="s">
        <v>139</v>
      </c>
      <c r="Y713" s="41" t="s">
        <v>139</v>
      </c>
      <c r="Z713" s="41" t="s">
        <v>2174</v>
      </c>
      <c r="AA713" s="41" t="s">
        <v>139</v>
      </c>
      <c r="AB713" s="44"/>
      <c r="AC713" s="45"/>
      <c r="AD713" s="45"/>
      <c r="AE713" s="46"/>
      <c r="AF713" s="45"/>
      <c r="AG713" s="45"/>
      <c r="AH713" s="45"/>
      <c r="AI713" s="3" t="s">
        <v>1583</v>
      </c>
    </row>
    <row r="714" spans="1:35" ht="27">
      <c r="A714" s="144">
        <f t="shared" si="11"/>
        <v>712</v>
      </c>
      <c r="B714" s="148"/>
      <c r="C714" s="148"/>
      <c r="D714" s="148"/>
      <c r="E714" s="148"/>
      <c r="F714" s="148"/>
      <c r="G714" s="148"/>
      <c r="H714" s="148"/>
      <c r="I714" s="148"/>
      <c r="J714" s="98" t="s">
        <v>2104</v>
      </c>
      <c r="K714" s="99" t="str">
        <f>_xlfn.XLOOKUP(L714,'99_マスタ'!$D$5:$D$18,'99_マスタ'!$C$5:$C$18,"")</f>
        <v>02_生販在</v>
      </c>
      <c r="L714" s="99" t="s">
        <v>2325</v>
      </c>
      <c r="M714" s="99" t="s">
        <v>826</v>
      </c>
      <c r="N714" s="126" t="s">
        <v>139</v>
      </c>
      <c r="O714" s="40" t="s">
        <v>2669</v>
      </c>
      <c r="P714" s="40"/>
      <c r="Q714" s="40" t="s">
        <v>139</v>
      </c>
      <c r="R714" s="41" t="s">
        <v>139</v>
      </c>
      <c r="S714" s="41" t="s">
        <v>139</v>
      </c>
      <c r="T714" s="41" t="s">
        <v>139</v>
      </c>
      <c r="U714" s="41" t="s">
        <v>827</v>
      </c>
      <c r="V714" s="41" t="s">
        <v>139</v>
      </c>
      <c r="W714" s="43" t="s">
        <v>139</v>
      </c>
      <c r="X714" s="41" t="s">
        <v>139</v>
      </c>
      <c r="Y714" s="41" t="s">
        <v>139</v>
      </c>
      <c r="Z714" s="41" t="s">
        <v>828</v>
      </c>
      <c r="AA714" s="41" t="s">
        <v>139</v>
      </c>
      <c r="AB714" s="44"/>
      <c r="AC714" s="45"/>
      <c r="AD714" s="45"/>
      <c r="AE714" s="46"/>
      <c r="AF714" s="45"/>
      <c r="AG714" s="45"/>
      <c r="AH714" s="45"/>
      <c r="AI714" s="3" t="s">
        <v>1583</v>
      </c>
    </row>
    <row r="715" spans="1:35" ht="27">
      <c r="A715" s="144">
        <f t="shared" si="11"/>
        <v>713</v>
      </c>
      <c r="B715" s="148"/>
      <c r="C715" s="148"/>
      <c r="D715" s="148"/>
      <c r="E715" s="148"/>
      <c r="F715" s="148"/>
      <c r="G715" s="148"/>
      <c r="H715" s="148"/>
      <c r="I715" s="148"/>
      <c r="J715" s="98" t="s">
        <v>2104</v>
      </c>
      <c r="K715" s="99" t="str">
        <f>_xlfn.XLOOKUP(L715,'99_マスタ'!$D$5:$D$18,'99_マスタ'!$C$5:$C$18,"")</f>
        <v>02_生販在</v>
      </c>
      <c r="L715" s="99" t="s">
        <v>2325</v>
      </c>
      <c r="M715" s="99" t="s">
        <v>844</v>
      </c>
      <c r="N715" s="126" t="s">
        <v>845</v>
      </c>
      <c r="O715" s="40" t="s">
        <v>846</v>
      </c>
      <c r="P715" s="40" t="s">
        <v>847</v>
      </c>
      <c r="Q715" s="40" t="s">
        <v>848</v>
      </c>
      <c r="R715" s="41" t="s">
        <v>139</v>
      </c>
      <c r="S715" s="41" t="s">
        <v>139</v>
      </c>
      <c r="T715" s="41" t="s">
        <v>139</v>
      </c>
      <c r="U715" s="41" t="s">
        <v>849</v>
      </c>
      <c r="V715" s="41" t="s">
        <v>139</v>
      </c>
      <c r="W715" s="43" t="s">
        <v>139</v>
      </c>
      <c r="X715" s="41" t="s">
        <v>139</v>
      </c>
      <c r="Y715" s="41" t="s">
        <v>139</v>
      </c>
      <c r="Z715" s="41" t="s">
        <v>2704</v>
      </c>
      <c r="AA715" s="41" t="s">
        <v>139</v>
      </c>
      <c r="AB715" s="44"/>
      <c r="AC715" s="45"/>
      <c r="AD715" s="45"/>
      <c r="AE715" s="46"/>
      <c r="AF715" s="45"/>
      <c r="AG715" s="45"/>
      <c r="AH715" s="45"/>
      <c r="AI715" s="3" t="s">
        <v>1583</v>
      </c>
    </row>
    <row r="716" spans="1:35" ht="27">
      <c r="A716" s="144">
        <f t="shared" si="11"/>
        <v>714</v>
      </c>
      <c r="B716" s="148"/>
      <c r="C716" s="148"/>
      <c r="D716" s="148"/>
      <c r="E716" s="148"/>
      <c r="F716" s="148"/>
      <c r="G716" s="148"/>
      <c r="H716" s="148"/>
      <c r="I716" s="148"/>
      <c r="J716" s="98" t="s">
        <v>2104</v>
      </c>
      <c r="K716" s="112" t="str">
        <f>_xlfn.XLOOKUP(L716,'99_マスタ'!$D$5:$D$18,'99_マスタ'!$C$5:$C$18,"")</f>
        <v>02_生販在</v>
      </c>
      <c r="L716" s="99" t="s">
        <v>2325</v>
      </c>
      <c r="M716" s="112" t="s">
        <v>947</v>
      </c>
      <c r="N716" s="126" t="s">
        <v>139</v>
      </c>
      <c r="O716" s="40" t="s">
        <v>948</v>
      </c>
      <c r="P716" s="40" t="s">
        <v>949</v>
      </c>
      <c r="Q716" s="40" t="s">
        <v>284</v>
      </c>
      <c r="R716" s="41" t="s">
        <v>139</v>
      </c>
      <c r="S716" s="41" t="s">
        <v>139</v>
      </c>
      <c r="T716" s="41" t="s">
        <v>139</v>
      </c>
      <c r="U716" s="41" t="s">
        <v>950</v>
      </c>
      <c r="V716" s="41" t="s">
        <v>139</v>
      </c>
      <c r="W716" s="43" t="s">
        <v>139</v>
      </c>
      <c r="X716" s="41" t="s">
        <v>139</v>
      </c>
      <c r="Y716" s="41" t="s">
        <v>139</v>
      </c>
      <c r="Z716" s="41" t="s">
        <v>1634</v>
      </c>
      <c r="AA716" s="41" t="s">
        <v>139</v>
      </c>
      <c r="AB716" s="44"/>
      <c r="AC716" s="45"/>
      <c r="AD716" s="45"/>
      <c r="AE716" s="46"/>
      <c r="AF716" s="45"/>
      <c r="AG716" s="45"/>
      <c r="AH716" s="45"/>
      <c r="AI716" s="3" t="s">
        <v>1583</v>
      </c>
    </row>
    <row r="717" spans="1:35">
      <c r="A717" s="144">
        <f t="shared" si="11"/>
        <v>715</v>
      </c>
      <c r="B717" s="148"/>
      <c r="C717" s="148"/>
      <c r="D717" s="148"/>
      <c r="E717" s="148"/>
      <c r="F717" s="148"/>
      <c r="G717" s="148"/>
      <c r="H717" s="148"/>
      <c r="I717" s="148"/>
      <c r="J717" s="100" t="s">
        <v>2104</v>
      </c>
      <c r="K717" s="99" t="str">
        <f>_xlfn.XLOOKUP(L717,'99_マスタ'!$D$5:$D$18,'99_マスタ'!$C$5:$C$18,"")</f>
        <v>02_生販在</v>
      </c>
      <c r="L717" s="99" t="s">
        <v>2325</v>
      </c>
      <c r="M717" s="99" t="s">
        <v>2221</v>
      </c>
      <c r="N717" s="126" t="s">
        <v>1637</v>
      </c>
      <c r="O717" s="68" t="s">
        <v>2177</v>
      </c>
      <c r="P717" s="40"/>
      <c r="Q717" s="40" t="s">
        <v>139</v>
      </c>
      <c r="R717" s="41" t="s">
        <v>139</v>
      </c>
      <c r="S717" s="41" t="s">
        <v>139</v>
      </c>
      <c r="T717" s="41" t="s">
        <v>139</v>
      </c>
      <c r="U717" s="41" t="s">
        <v>2174</v>
      </c>
      <c r="V717" s="41" t="s">
        <v>139</v>
      </c>
      <c r="W717" s="43" t="s">
        <v>139</v>
      </c>
      <c r="X717" s="41" t="s">
        <v>139</v>
      </c>
      <c r="Y717" s="41" t="s">
        <v>139</v>
      </c>
      <c r="Z717" s="41" t="s">
        <v>2174</v>
      </c>
      <c r="AA717" s="41" t="s">
        <v>139</v>
      </c>
      <c r="AB717" s="44"/>
      <c r="AC717" s="45"/>
      <c r="AD717" s="45"/>
      <c r="AE717" s="46"/>
      <c r="AF717" s="45"/>
      <c r="AG717" s="45"/>
      <c r="AH717" s="45"/>
      <c r="AI717" s="3" t="s">
        <v>1583</v>
      </c>
    </row>
    <row r="718" spans="1:35" ht="94.5">
      <c r="A718" s="144">
        <f t="shared" si="11"/>
        <v>716</v>
      </c>
      <c r="B718" s="148"/>
      <c r="C718" s="148"/>
      <c r="D718" s="148"/>
      <c r="E718" s="148"/>
      <c r="F718" s="148"/>
      <c r="G718" s="148"/>
      <c r="H718" s="148"/>
      <c r="I718" s="148"/>
      <c r="J718" s="98" t="s">
        <v>2104</v>
      </c>
      <c r="K718" s="99" t="str">
        <f>_xlfn.XLOOKUP(L718,'99_マスタ'!$D$5:$D$18,'99_マスタ'!$C$5:$C$18,"")</f>
        <v>02_生販在</v>
      </c>
      <c r="L718" s="99" t="s">
        <v>2325</v>
      </c>
      <c r="M718" s="99" t="s">
        <v>629</v>
      </c>
      <c r="N718" s="126" t="s">
        <v>139</v>
      </c>
      <c r="O718" s="40" t="s">
        <v>1631</v>
      </c>
      <c r="P718" s="40"/>
      <c r="Q718" s="40" t="s">
        <v>139</v>
      </c>
      <c r="R718" s="41" t="s">
        <v>139</v>
      </c>
      <c r="S718" s="41" t="s">
        <v>139</v>
      </c>
      <c r="T718" s="41" t="s">
        <v>139</v>
      </c>
      <c r="U718" s="41" t="s">
        <v>630</v>
      </c>
      <c r="V718" s="41" t="s">
        <v>139</v>
      </c>
      <c r="W718" s="43" t="s">
        <v>139</v>
      </c>
      <c r="X718" s="41" t="s">
        <v>139</v>
      </c>
      <c r="Y718" s="41" t="s">
        <v>139</v>
      </c>
      <c r="Z718" s="41" t="s">
        <v>631</v>
      </c>
      <c r="AA718" s="41" t="s">
        <v>139</v>
      </c>
      <c r="AB718" s="44"/>
      <c r="AC718" s="45"/>
      <c r="AD718" s="45"/>
      <c r="AE718" s="46"/>
      <c r="AF718" s="45"/>
      <c r="AG718" s="45"/>
      <c r="AH718" s="45"/>
      <c r="AI718" s="3" t="s">
        <v>1583</v>
      </c>
    </row>
    <row r="719" spans="1:35" ht="54">
      <c r="A719" s="144">
        <f t="shared" si="11"/>
        <v>717</v>
      </c>
      <c r="B719" s="148"/>
      <c r="C719" s="148"/>
      <c r="D719" s="148"/>
      <c r="E719" s="148"/>
      <c r="F719" s="148"/>
      <c r="G719" s="148"/>
      <c r="H719" s="148"/>
      <c r="I719" s="148"/>
      <c r="J719" s="98" t="s">
        <v>2104</v>
      </c>
      <c r="K719" s="99" t="str">
        <f>_xlfn.XLOOKUP(L719,'99_マスタ'!$D$5:$D$18,'99_マスタ'!$C$5:$C$18,"")</f>
        <v>02_生販在</v>
      </c>
      <c r="L719" s="99" t="s">
        <v>2325</v>
      </c>
      <c r="M719" s="99" t="s">
        <v>324</v>
      </c>
      <c r="N719" s="126" t="s">
        <v>139</v>
      </c>
      <c r="O719" s="40" t="s">
        <v>2312</v>
      </c>
      <c r="P719" s="40"/>
      <c r="Q719" s="40" t="s">
        <v>139</v>
      </c>
      <c r="R719" s="41" t="s">
        <v>139</v>
      </c>
      <c r="S719" s="41" t="s">
        <v>139</v>
      </c>
      <c r="T719" s="41" t="s">
        <v>139</v>
      </c>
      <c r="U719" s="41" t="s">
        <v>650</v>
      </c>
      <c r="V719" s="41" t="s">
        <v>139</v>
      </c>
      <c r="W719" s="43" t="s">
        <v>139</v>
      </c>
      <c r="X719" s="41" t="s">
        <v>139</v>
      </c>
      <c r="Y719" s="41" t="s">
        <v>139</v>
      </c>
      <c r="Z719" s="41" t="s">
        <v>2315</v>
      </c>
      <c r="AA719" s="41" t="s">
        <v>139</v>
      </c>
      <c r="AB719" s="44"/>
      <c r="AC719" s="45"/>
      <c r="AD719" s="45"/>
      <c r="AE719" s="46"/>
      <c r="AF719" s="45"/>
      <c r="AG719" s="45"/>
      <c r="AH719" s="45"/>
      <c r="AI719" s="3" t="s">
        <v>1583</v>
      </c>
    </row>
    <row r="720" spans="1:35" ht="108">
      <c r="A720" s="144">
        <f t="shared" si="11"/>
        <v>718</v>
      </c>
      <c r="B720" s="148"/>
      <c r="C720" s="148"/>
      <c r="D720" s="148"/>
      <c r="E720" s="148"/>
      <c r="F720" s="148"/>
      <c r="G720" s="148"/>
      <c r="H720" s="148"/>
      <c r="I720" s="148"/>
      <c r="J720" s="98" t="s">
        <v>2104</v>
      </c>
      <c r="K720" s="99" t="str">
        <f>_xlfn.XLOOKUP(L720,'99_マスタ'!$D$5:$D$18,'99_マスタ'!$C$5:$C$18,"")</f>
        <v>02_生販在</v>
      </c>
      <c r="L720" s="99" t="s">
        <v>2325</v>
      </c>
      <c r="M720" s="99" t="s">
        <v>595</v>
      </c>
      <c r="N720" s="126" t="s">
        <v>596</v>
      </c>
      <c r="O720" s="40" t="s">
        <v>1923</v>
      </c>
      <c r="P720" s="40" t="s">
        <v>597</v>
      </c>
      <c r="Q720" s="40" t="s">
        <v>139</v>
      </c>
      <c r="R720" s="41" t="s">
        <v>139</v>
      </c>
      <c r="S720" s="41" t="s">
        <v>139</v>
      </c>
      <c r="T720" s="41" t="s">
        <v>139</v>
      </c>
      <c r="U720" s="41" t="s">
        <v>598</v>
      </c>
      <c r="V720" s="41" t="s">
        <v>139</v>
      </c>
      <c r="W720" s="43" t="s">
        <v>139</v>
      </c>
      <c r="X720" s="41" t="s">
        <v>139</v>
      </c>
      <c r="Y720" s="41" t="s">
        <v>139</v>
      </c>
      <c r="Z720" s="41" t="s">
        <v>599</v>
      </c>
      <c r="AA720" s="41" t="s">
        <v>139</v>
      </c>
      <c r="AB720" s="44"/>
      <c r="AC720" s="45"/>
      <c r="AD720" s="45"/>
      <c r="AE720" s="46"/>
      <c r="AF720" s="45"/>
      <c r="AG720" s="45"/>
      <c r="AH720" s="45"/>
      <c r="AI720" s="3" t="s">
        <v>1583</v>
      </c>
    </row>
    <row r="721" spans="1:35" ht="81">
      <c r="A721" s="144">
        <f t="shared" si="11"/>
        <v>719</v>
      </c>
      <c r="B721" s="148"/>
      <c r="C721" s="148"/>
      <c r="D721" s="148"/>
      <c r="E721" s="148"/>
      <c r="F721" s="148"/>
      <c r="G721" s="148"/>
      <c r="H721" s="148"/>
      <c r="I721" s="148"/>
      <c r="J721" s="98" t="s">
        <v>2104</v>
      </c>
      <c r="K721" s="99" t="str">
        <f>_xlfn.XLOOKUP(L721,'99_マスタ'!$D$5:$D$18,'99_マスタ'!$C$5:$C$18,"")</f>
        <v>02_生販在</v>
      </c>
      <c r="L721" s="102" t="s">
        <v>2325</v>
      </c>
      <c r="M721" s="99" t="s">
        <v>663</v>
      </c>
      <c r="N721" s="126" t="s">
        <v>664</v>
      </c>
      <c r="O721" s="40" t="s">
        <v>665</v>
      </c>
      <c r="P721" s="40" t="s">
        <v>666</v>
      </c>
      <c r="Q721" s="40" t="s">
        <v>284</v>
      </c>
      <c r="R721" s="41" t="s">
        <v>139</v>
      </c>
      <c r="S721" s="41" t="s">
        <v>139</v>
      </c>
      <c r="T721" s="41" t="s">
        <v>139</v>
      </c>
      <c r="U721" s="41" t="s">
        <v>667</v>
      </c>
      <c r="V721" s="41" t="s">
        <v>139</v>
      </c>
      <c r="W721" s="43" t="s">
        <v>139</v>
      </c>
      <c r="X721" s="41" t="s">
        <v>139</v>
      </c>
      <c r="Y721" s="41" t="s">
        <v>139</v>
      </c>
      <c r="Z721" s="41" t="s">
        <v>668</v>
      </c>
      <c r="AA721" s="41" t="s">
        <v>139</v>
      </c>
      <c r="AB721" s="44"/>
      <c r="AC721" s="45"/>
      <c r="AD721" s="45"/>
      <c r="AE721" s="46"/>
      <c r="AF721" s="45"/>
      <c r="AG721" s="45"/>
      <c r="AH721" s="45"/>
      <c r="AI721" s="3" t="s">
        <v>1583</v>
      </c>
    </row>
    <row r="722" spans="1:35" ht="27">
      <c r="A722" s="144">
        <f t="shared" si="11"/>
        <v>720</v>
      </c>
      <c r="B722" s="148"/>
      <c r="C722" s="148"/>
      <c r="D722" s="148"/>
      <c r="E722" s="148"/>
      <c r="F722" s="148"/>
      <c r="G722" s="148"/>
      <c r="H722" s="148"/>
      <c r="I722" s="148"/>
      <c r="J722" s="98" t="s">
        <v>2104</v>
      </c>
      <c r="K722" s="99" t="str">
        <f>_xlfn.XLOOKUP(L722,'99_マスタ'!$D$5:$D$18,'99_マスタ'!$C$5:$C$18,"")</f>
        <v>02_生販在</v>
      </c>
      <c r="L722" s="99" t="s">
        <v>2325</v>
      </c>
      <c r="M722" s="99" t="s">
        <v>618</v>
      </c>
      <c r="N722" s="126" t="s">
        <v>139</v>
      </c>
      <c r="O722" s="40" t="s">
        <v>619</v>
      </c>
      <c r="P722" s="40"/>
      <c r="Q722" s="40" t="s">
        <v>139</v>
      </c>
      <c r="R722" s="41" t="s">
        <v>139</v>
      </c>
      <c r="S722" s="41" t="s">
        <v>139</v>
      </c>
      <c r="T722" s="41" t="s">
        <v>139</v>
      </c>
      <c r="U722" s="41" t="s">
        <v>620</v>
      </c>
      <c r="V722" s="41" t="s">
        <v>139</v>
      </c>
      <c r="W722" s="43" t="s">
        <v>139</v>
      </c>
      <c r="X722" s="41" t="s">
        <v>139</v>
      </c>
      <c r="Y722" s="41" t="s">
        <v>139</v>
      </c>
      <c r="Z722" s="41" t="s">
        <v>532</v>
      </c>
      <c r="AA722" s="41" t="s">
        <v>139</v>
      </c>
      <c r="AB722" s="44"/>
      <c r="AC722" s="45"/>
      <c r="AD722" s="45"/>
      <c r="AE722" s="46"/>
      <c r="AF722" s="45"/>
      <c r="AG722" s="45"/>
      <c r="AH722" s="45"/>
      <c r="AI722" s="3" t="s">
        <v>1583</v>
      </c>
    </row>
    <row r="723" spans="1:35" ht="40.5">
      <c r="A723" s="144">
        <f t="shared" si="11"/>
        <v>721</v>
      </c>
      <c r="B723" s="148"/>
      <c r="C723" s="148"/>
      <c r="D723" s="148"/>
      <c r="E723" s="148"/>
      <c r="F723" s="148"/>
      <c r="G723" s="148"/>
      <c r="H723" s="148"/>
      <c r="I723" s="148"/>
      <c r="J723" s="98" t="s">
        <v>2104</v>
      </c>
      <c r="K723" s="99" t="str">
        <f>_xlfn.XLOOKUP(L723,'99_マスタ'!$D$5:$D$18,'99_マスタ'!$C$5:$C$18,"")</f>
        <v>02_生販在</v>
      </c>
      <c r="L723" s="117" t="s">
        <v>2325</v>
      </c>
      <c r="M723" s="99" t="s">
        <v>2767</v>
      </c>
      <c r="N723" s="126" t="s">
        <v>1637</v>
      </c>
      <c r="O723" s="40" t="s">
        <v>2772</v>
      </c>
      <c r="P723" s="40"/>
      <c r="Q723" s="40" t="s">
        <v>139</v>
      </c>
      <c r="R723" s="41" t="s">
        <v>139</v>
      </c>
      <c r="S723" s="41" t="s">
        <v>139</v>
      </c>
      <c r="T723" s="41" t="s">
        <v>139</v>
      </c>
      <c r="U723" s="41" t="s">
        <v>2766</v>
      </c>
      <c r="V723" s="41" t="s">
        <v>139</v>
      </c>
      <c r="W723" s="43" t="s">
        <v>139</v>
      </c>
      <c r="X723" s="41" t="s">
        <v>139</v>
      </c>
      <c r="Y723" s="41" t="s">
        <v>139</v>
      </c>
      <c r="Z723" s="41" t="s">
        <v>2765</v>
      </c>
      <c r="AA723" s="41" t="s">
        <v>139</v>
      </c>
      <c r="AB723" s="44"/>
      <c r="AC723" s="45"/>
      <c r="AD723" s="45"/>
      <c r="AE723" s="46"/>
      <c r="AF723" s="45"/>
      <c r="AG723" s="45"/>
      <c r="AH723" s="45"/>
      <c r="AI723" s="3" t="s">
        <v>1583</v>
      </c>
    </row>
    <row r="724" spans="1:35" ht="40.5">
      <c r="A724" s="144">
        <f t="shared" si="11"/>
        <v>722</v>
      </c>
      <c r="B724" s="148"/>
      <c r="C724" s="148"/>
      <c r="D724" s="148"/>
      <c r="E724" s="148"/>
      <c r="F724" s="148"/>
      <c r="G724" s="148"/>
      <c r="H724" s="148"/>
      <c r="I724" s="148"/>
      <c r="J724" s="98" t="s">
        <v>2104</v>
      </c>
      <c r="K724" s="99" t="str">
        <f>_xlfn.XLOOKUP(L724,'99_マスタ'!$D$5:$D$18,'99_マスタ'!$C$5:$C$18,"")</f>
        <v>02_生販在</v>
      </c>
      <c r="L724" s="117" t="s">
        <v>2325</v>
      </c>
      <c r="M724" s="99" t="s">
        <v>989</v>
      </c>
      <c r="N724" s="126" t="s">
        <v>990</v>
      </c>
      <c r="O724" s="40" t="s">
        <v>2773</v>
      </c>
      <c r="P724" s="40"/>
      <c r="Q724" s="40" t="s">
        <v>139</v>
      </c>
      <c r="R724" s="41" t="s">
        <v>139</v>
      </c>
      <c r="S724" s="41" t="s">
        <v>139</v>
      </c>
      <c r="T724" s="41" t="s">
        <v>139</v>
      </c>
      <c r="U724" s="41" t="s">
        <v>2763</v>
      </c>
      <c r="V724" s="41" t="s">
        <v>139</v>
      </c>
      <c r="W724" s="43" t="s">
        <v>139</v>
      </c>
      <c r="X724" s="41" t="s">
        <v>139</v>
      </c>
      <c r="Y724" s="41" t="s">
        <v>139</v>
      </c>
      <c r="Z724" s="41" t="s">
        <v>2764</v>
      </c>
      <c r="AA724" s="41" t="s">
        <v>139</v>
      </c>
      <c r="AB724" s="44"/>
      <c r="AC724" s="45"/>
      <c r="AD724" s="45"/>
      <c r="AE724" s="46"/>
      <c r="AF724" s="45"/>
      <c r="AG724" s="45"/>
      <c r="AH724" s="45"/>
      <c r="AI724" s="3" t="s">
        <v>1583</v>
      </c>
    </row>
    <row r="725" spans="1:35">
      <c r="A725" s="144">
        <f t="shared" si="11"/>
        <v>723</v>
      </c>
      <c r="B725" s="148"/>
      <c r="C725" s="148"/>
      <c r="D725" s="148"/>
      <c r="E725" s="148"/>
      <c r="F725" s="148"/>
      <c r="G725" s="148"/>
      <c r="H725" s="148"/>
      <c r="I725" s="148"/>
      <c r="J725" s="100" t="s">
        <v>2104</v>
      </c>
      <c r="K725" s="99" t="str">
        <f>_xlfn.XLOOKUP(L725,'99_マスタ'!$D$5:$D$18,'99_マスタ'!$C$5:$C$18,"")</f>
        <v>02_生販在</v>
      </c>
      <c r="L725" s="99" t="s">
        <v>2325</v>
      </c>
      <c r="M725" s="99" t="s">
        <v>2219</v>
      </c>
      <c r="N725" s="126" t="s">
        <v>1637</v>
      </c>
      <c r="O725" s="68" t="s">
        <v>2175</v>
      </c>
      <c r="P725" s="40"/>
      <c r="Q725" s="40" t="s">
        <v>139</v>
      </c>
      <c r="R725" s="41" t="s">
        <v>139</v>
      </c>
      <c r="S725" s="41" t="s">
        <v>139</v>
      </c>
      <c r="T725" s="41" t="s">
        <v>139</v>
      </c>
      <c r="U725" s="41" t="s">
        <v>2174</v>
      </c>
      <c r="V725" s="41" t="s">
        <v>139</v>
      </c>
      <c r="W725" s="43" t="s">
        <v>139</v>
      </c>
      <c r="X725" s="41" t="s">
        <v>139</v>
      </c>
      <c r="Y725" s="41" t="s">
        <v>139</v>
      </c>
      <c r="Z725" s="41" t="s">
        <v>2174</v>
      </c>
      <c r="AA725" s="41" t="s">
        <v>139</v>
      </c>
      <c r="AB725" s="44"/>
      <c r="AC725" s="45"/>
      <c r="AD725" s="45"/>
      <c r="AE725" s="46"/>
      <c r="AF725" s="45"/>
      <c r="AG725" s="45"/>
      <c r="AH725" s="45"/>
      <c r="AI725" s="3" t="s">
        <v>1583</v>
      </c>
    </row>
    <row r="726" spans="1:35">
      <c r="A726" s="144">
        <f t="shared" si="11"/>
        <v>724</v>
      </c>
      <c r="B726" s="148"/>
      <c r="C726" s="148"/>
      <c r="D726" s="148"/>
      <c r="E726" s="148"/>
      <c r="F726" s="148"/>
      <c r="G726" s="148"/>
      <c r="H726" s="148"/>
      <c r="I726" s="148"/>
      <c r="J726" s="100" t="s">
        <v>2104</v>
      </c>
      <c r="K726" s="99" t="str">
        <f>_xlfn.XLOOKUP(L726,'99_マスタ'!$D$5:$D$18,'99_マスタ'!$C$5:$C$18,"")</f>
        <v>02_生販在</v>
      </c>
      <c r="L726" s="102" t="s">
        <v>2325</v>
      </c>
      <c r="M726" s="99" t="s">
        <v>2226</v>
      </c>
      <c r="N726" s="126" t="s">
        <v>1637</v>
      </c>
      <c r="O726" s="68" t="s">
        <v>2180</v>
      </c>
      <c r="P726" s="40"/>
      <c r="Q726" s="40" t="s">
        <v>139</v>
      </c>
      <c r="R726" s="41" t="s">
        <v>139</v>
      </c>
      <c r="S726" s="41" t="s">
        <v>139</v>
      </c>
      <c r="T726" s="41" t="s">
        <v>139</v>
      </c>
      <c r="U726" s="41" t="s">
        <v>2174</v>
      </c>
      <c r="V726" s="41" t="s">
        <v>139</v>
      </c>
      <c r="W726" s="43" t="s">
        <v>139</v>
      </c>
      <c r="X726" s="41" t="s">
        <v>139</v>
      </c>
      <c r="Y726" s="41" t="s">
        <v>139</v>
      </c>
      <c r="Z726" s="41" t="s">
        <v>2174</v>
      </c>
      <c r="AA726" s="41" t="s">
        <v>139</v>
      </c>
      <c r="AB726" s="44"/>
      <c r="AC726" s="45"/>
      <c r="AD726" s="45"/>
      <c r="AE726" s="46"/>
      <c r="AF726" s="45"/>
      <c r="AG726" s="45"/>
      <c r="AH726" s="45"/>
      <c r="AI726" s="3" t="s">
        <v>1583</v>
      </c>
    </row>
    <row r="727" spans="1:35" ht="40.5">
      <c r="A727" s="144">
        <f t="shared" si="11"/>
        <v>725</v>
      </c>
      <c r="B727" s="148"/>
      <c r="C727" s="148"/>
      <c r="D727" s="148"/>
      <c r="E727" s="148"/>
      <c r="F727" s="148"/>
      <c r="G727" s="148"/>
      <c r="H727" s="148"/>
      <c r="I727" s="148"/>
      <c r="J727" s="98" t="s">
        <v>2104</v>
      </c>
      <c r="K727" s="99" t="str">
        <f>_xlfn.XLOOKUP(L727,'99_マスタ'!$D$5:$D$18,'99_マスタ'!$C$5:$C$18,"")</f>
        <v>02_生販在</v>
      </c>
      <c r="L727" s="99" t="s">
        <v>2325</v>
      </c>
      <c r="M727" s="99" t="s">
        <v>838</v>
      </c>
      <c r="N727" s="126" t="s">
        <v>839</v>
      </c>
      <c r="O727" s="40" t="s">
        <v>840</v>
      </c>
      <c r="P727" s="40"/>
      <c r="Q727" s="40" t="s">
        <v>139</v>
      </c>
      <c r="R727" s="41" t="s">
        <v>841</v>
      </c>
      <c r="S727" s="41" t="s">
        <v>139</v>
      </c>
      <c r="T727" s="41" t="s">
        <v>139</v>
      </c>
      <c r="U727" s="41" t="s">
        <v>842</v>
      </c>
      <c r="V727" s="41" t="s">
        <v>139</v>
      </c>
      <c r="W727" s="43" t="s">
        <v>200</v>
      </c>
      <c r="X727" s="41" t="s">
        <v>139</v>
      </c>
      <c r="Y727" s="41" t="s">
        <v>139</v>
      </c>
      <c r="Z727" s="41" t="s">
        <v>843</v>
      </c>
      <c r="AA727" s="41" t="s">
        <v>139</v>
      </c>
      <c r="AB727" s="44"/>
      <c r="AC727" s="45"/>
      <c r="AD727" s="45"/>
      <c r="AE727" s="46"/>
      <c r="AF727" s="45"/>
      <c r="AG727" s="45"/>
      <c r="AH727" s="45"/>
      <c r="AI727" s="3" t="s">
        <v>1583</v>
      </c>
    </row>
    <row r="728" spans="1:35" ht="27">
      <c r="A728" s="144">
        <f t="shared" si="11"/>
        <v>726</v>
      </c>
      <c r="B728" s="148"/>
      <c r="C728" s="148"/>
      <c r="D728" s="148"/>
      <c r="E728" s="148"/>
      <c r="F728" s="148"/>
      <c r="G728" s="148"/>
      <c r="H728" s="148"/>
      <c r="I728" s="148"/>
      <c r="J728" s="108" t="s">
        <v>2104</v>
      </c>
      <c r="K728" s="51" t="str">
        <f>_xlfn.XLOOKUP(L728,'99_マスタ'!$D$5:$D$18,'99_マスタ'!$C$5:$C$18,"")</f>
        <v>02_生販在</v>
      </c>
      <c r="L728" s="67" t="s">
        <v>2325</v>
      </c>
      <c r="M728" s="67" t="s">
        <v>430</v>
      </c>
      <c r="N728" s="54" t="s">
        <v>139</v>
      </c>
      <c r="O728" s="41" t="s">
        <v>431</v>
      </c>
      <c r="P728" s="41"/>
      <c r="Q728" s="41" t="s">
        <v>139</v>
      </c>
      <c r="R728" s="41" t="s">
        <v>295</v>
      </c>
      <c r="S728" s="41" t="s">
        <v>139</v>
      </c>
      <c r="T728" s="41" t="s">
        <v>139</v>
      </c>
      <c r="U728" s="41" t="s">
        <v>139</v>
      </c>
      <c r="V728" s="41" t="s">
        <v>139</v>
      </c>
      <c r="W728" s="53" t="s">
        <v>133</v>
      </c>
      <c r="X728" s="54" t="s">
        <v>139</v>
      </c>
      <c r="Y728" s="54" t="s">
        <v>139</v>
      </c>
      <c r="Z728" s="54" t="s">
        <v>139</v>
      </c>
      <c r="AA728" s="54" t="s">
        <v>139</v>
      </c>
      <c r="AB728" s="55"/>
      <c r="AC728" s="56"/>
      <c r="AD728" s="56"/>
      <c r="AE728" s="57"/>
      <c r="AF728" s="56"/>
      <c r="AG728" s="56"/>
      <c r="AH728" s="56"/>
      <c r="AI728" s="3" t="s">
        <v>1583</v>
      </c>
    </row>
    <row r="729" spans="1:35">
      <c r="A729" s="144">
        <f t="shared" si="11"/>
        <v>727</v>
      </c>
      <c r="B729" s="148"/>
      <c r="C729" s="148"/>
      <c r="D729" s="148"/>
      <c r="E729" s="148"/>
      <c r="F729" s="148"/>
      <c r="G729" s="148"/>
      <c r="H729" s="148"/>
      <c r="I729" s="148"/>
      <c r="J729" s="98" t="s">
        <v>2104</v>
      </c>
      <c r="K729" s="51" t="str">
        <f>_xlfn.XLOOKUP(L729,'99_マスタ'!$D$5:$D$18,'99_マスタ'!$C$5:$C$18,"")</f>
        <v>02_生販在</v>
      </c>
      <c r="L729" s="114" t="s">
        <v>2325</v>
      </c>
      <c r="M729" s="66" t="s">
        <v>492</v>
      </c>
      <c r="N729" s="54" t="s">
        <v>139</v>
      </c>
      <c r="O729" s="41" t="s">
        <v>493</v>
      </c>
      <c r="P729" s="41"/>
      <c r="Q729" s="41" t="s">
        <v>139</v>
      </c>
      <c r="R729" s="41" t="s">
        <v>441</v>
      </c>
      <c r="S729" s="41" t="s">
        <v>139</v>
      </c>
      <c r="T729" s="41" t="s">
        <v>139</v>
      </c>
      <c r="U729" s="41" t="s">
        <v>139</v>
      </c>
      <c r="V729" s="41" t="s">
        <v>139</v>
      </c>
      <c r="W729" s="53" t="s">
        <v>438</v>
      </c>
      <c r="X729" s="54" t="s">
        <v>139</v>
      </c>
      <c r="Y729" s="54" t="s">
        <v>139</v>
      </c>
      <c r="Z729" s="54" t="s">
        <v>139</v>
      </c>
      <c r="AA729" s="54" t="s">
        <v>139</v>
      </c>
      <c r="AB729" s="55"/>
      <c r="AC729" s="56"/>
      <c r="AD729" s="56"/>
      <c r="AE729" s="57"/>
      <c r="AF729" s="56"/>
      <c r="AG729" s="56"/>
      <c r="AH729" s="56"/>
      <c r="AI729" s="3" t="s">
        <v>1583</v>
      </c>
    </row>
    <row r="730" spans="1:35" ht="40.5">
      <c r="A730" s="144">
        <f t="shared" si="11"/>
        <v>728</v>
      </c>
      <c r="B730" s="148"/>
      <c r="C730" s="148"/>
      <c r="D730" s="148"/>
      <c r="E730" s="148"/>
      <c r="F730" s="148"/>
      <c r="G730" s="148"/>
      <c r="H730" s="148"/>
      <c r="I730" s="148"/>
      <c r="J730" s="98" t="s">
        <v>2104</v>
      </c>
      <c r="K730" s="117" t="str">
        <f>_xlfn.XLOOKUP(L730,'99_マスタ'!$D$5:$D$18,'99_マスタ'!$C$5:$C$18,"")</f>
        <v>02_生販在</v>
      </c>
      <c r="L730" s="117" t="s">
        <v>2325</v>
      </c>
      <c r="M730" s="117" t="s">
        <v>771</v>
      </c>
      <c r="N730" s="126" t="s">
        <v>139</v>
      </c>
      <c r="O730" s="40" t="s">
        <v>2774</v>
      </c>
      <c r="P730" s="40"/>
      <c r="Q730" s="40" t="s">
        <v>139</v>
      </c>
      <c r="R730" s="41" t="s">
        <v>139</v>
      </c>
      <c r="S730" s="41" t="s">
        <v>139</v>
      </c>
      <c r="T730" s="41" t="s">
        <v>139</v>
      </c>
      <c r="U730" s="41" t="s">
        <v>2762</v>
      </c>
      <c r="V730" s="41" t="s">
        <v>139</v>
      </c>
      <c r="W730" s="43" t="s">
        <v>139</v>
      </c>
      <c r="X730" s="41" t="s">
        <v>139</v>
      </c>
      <c r="Y730" s="41" t="s">
        <v>139</v>
      </c>
      <c r="Z730" s="41" t="s">
        <v>229</v>
      </c>
      <c r="AA730" s="41" t="s">
        <v>139</v>
      </c>
      <c r="AB730" s="44"/>
      <c r="AC730" s="45"/>
      <c r="AD730" s="45"/>
      <c r="AE730" s="46"/>
      <c r="AF730" s="45"/>
      <c r="AG730" s="45"/>
      <c r="AH730" s="45"/>
      <c r="AI730" s="3" t="s">
        <v>1583</v>
      </c>
    </row>
    <row r="731" spans="1:35" ht="67.5">
      <c r="A731" s="144">
        <f t="shared" si="11"/>
        <v>729</v>
      </c>
      <c r="B731" s="148"/>
      <c r="C731" s="148"/>
      <c r="D731" s="148"/>
      <c r="E731" s="148"/>
      <c r="F731" s="148"/>
      <c r="G731" s="148"/>
      <c r="H731" s="148"/>
      <c r="I731" s="148"/>
      <c r="J731" s="98" t="s">
        <v>2104</v>
      </c>
      <c r="K731" s="99" t="str">
        <f>_xlfn.XLOOKUP(L731,'99_マスタ'!$D$5:$D$18,'99_マスタ'!$C$5:$C$18,"")</f>
        <v>02_生販在</v>
      </c>
      <c r="L731" s="99" t="s">
        <v>2325</v>
      </c>
      <c r="M731" s="99" t="s">
        <v>2111</v>
      </c>
      <c r="N731" s="126" t="s">
        <v>1637</v>
      </c>
      <c r="O731" s="40" t="s">
        <v>2113</v>
      </c>
      <c r="P731" s="40"/>
      <c r="Q731" s="40" t="s">
        <v>408</v>
      </c>
      <c r="R731" s="41" t="s">
        <v>139</v>
      </c>
      <c r="S731" s="41" t="s">
        <v>139</v>
      </c>
      <c r="T731" s="41" t="s">
        <v>139</v>
      </c>
      <c r="U731" s="41" t="s">
        <v>686</v>
      </c>
      <c r="V731" s="41" t="s">
        <v>139</v>
      </c>
      <c r="W731" s="43" t="s">
        <v>139</v>
      </c>
      <c r="X731" s="41" t="s">
        <v>139</v>
      </c>
      <c r="Y731" s="41" t="s">
        <v>139</v>
      </c>
      <c r="Z731" s="41" t="s">
        <v>668</v>
      </c>
      <c r="AA731" s="41" t="s">
        <v>139</v>
      </c>
      <c r="AB731" s="44"/>
      <c r="AC731" s="45"/>
      <c r="AD731" s="45"/>
      <c r="AE731" s="46"/>
      <c r="AF731" s="45"/>
      <c r="AG731" s="45"/>
      <c r="AH731" s="45"/>
      <c r="AI731" s="3" t="s">
        <v>1583</v>
      </c>
    </row>
    <row r="732" spans="1:35" ht="27">
      <c r="A732" s="144">
        <f t="shared" si="11"/>
        <v>730</v>
      </c>
      <c r="B732" s="148"/>
      <c r="C732" s="148"/>
      <c r="D732" s="148"/>
      <c r="E732" s="148"/>
      <c r="F732" s="148"/>
      <c r="G732" s="148"/>
      <c r="H732" s="148"/>
      <c r="I732" s="148"/>
      <c r="J732" s="108" t="s">
        <v>2104</v>
      </c>
      <c r="K732" s="51" t="str">
        <f>_xlfn.XLOOKUP(L732,'99_マスタ'!$D$5:$D$18,'99_マスタ'!$C$5:$C$18,"")</f>
        <v>02_生販在</v>
      </c>
      <c r="L732" s="114" t="s">
        <v>2325</v>
      </c>
      <c r="M732" s="109" t="s">
        <v>1200</v>
      </c>
      <c r="N732" s="126" t="s">
        <v>1201</v>
      </c>
      <c r="O732" s="40" t="s">
        <v>1202</v>
      </c>
      <c r="P732" s="40" t="s">
        <v>1203</v>
      </c>
      <c r="Q732" s="40" t="s">
        <v>192</v>
      </c>
      <c r="R732" s="41" t="s">
        <v>1204</v>
      </c>
      <c r="S732" s="41" t="s">
        <v>139</v>
      </c>
      <c r="T732" s="41" t="s">
        <v>139</v>
      </c>
      <c r="U732" s="41" t="s">
        <v>139</v>
      </c>
      <c r="V732" s="41" t="s">
        <v>139</v>
      </c>
      <c r="W732" s="43" t="s">
        <v>163</v>
      </c>
      <c r="X732" s="41" t="s">
        <v>139</v>
      </c>
      <c r="Y732" s="41" t="s">
        <v>139</v>
      </c>
      <c r="Z732" s="41" t="s">
        <v>139</v>
      </c>
      <c r="AA732" s="41" t="s">
        <v>139</v>
      </c>
      <c r="AB732" s="44"/>
      <c r="AC732" s="45"/>
      <c r="AD732" s="45"/>
      <c r="AE732" s="46"/>
      <c r="AF732" s="45"/>
      <c r="AG732" s="45"/>
      <c r="AH732" s="45"/>
      <c r="AI732" s="3" t="s">
        <v>1583</v>
      </c>
    </row>
    <row r="733" spans="1:35" ht="40.5">
      <c r="A733" s="144">
        <f t="shared" si="11"/>
        <v>731</v>
      </c>
      <c r="B733" s="148"/>
      <c r="C733" s="148"/>
      <c r="D733" s="148"/>
      <c r="E733" s="148"/>
      <c r="F733" s="148"/>
      <c r="G733" s="148"/>
      <c r="H733" s="148"/>
      <c r="I733" s="148"/>
      <c r="J733" s="98" t="s">
        <v>2104</v>
      </c>
      <c r="K733" s="51" t="str">
        <f>_xlfn.XLOOKUP(L733,'99_マスタ'!$D$5:$D$18,'99_マスタ'!$C$5:$C$18,"")</f>
        <v>02_生販在</v>
      </c>
      <c r="L733" s="114" t="s">
        <v>2325</v>
      </c>
      <c r="M733" s="66" t="s">
        <v>2889</v>
      </c>
      <c r="N733" s="54" t="s">
        <v>1637</v>
      </c>
      <c r="O733" s="41" t="s">
        <v>2891</v>
      </c>
      <c r="P733" s="41"/>
      <c r="Q733" s="41" t="s">
        <v>139</v>
      </c>
      <c r="R733" s="41" t="s">
        <v>494</v>
      </c>
      <c r="S733" s="41" t="s">
        <v>139</v>
      </c>
      <c r="T733" s="41" t="s">
        <v>139</v>
      </c>
      <c r="U733" s="41" t="s">
        <v>139</v>
      </c>
      <c r="V733" s="41" t="s">
        <v>139</v>
      </c>
      <c r="W733" s="53" t="s">
        <v>235</v>
      </c>
      <c r="X733" s="54" t="s">
        <v>139</v>
      </c>
      <c r="Y733" s="54" t="s">
        <v>139</v>
      </c>
      <c r="Z733" s="54" t="s">
        <v>139</v>
      </c>
      <c r="AA733" s="54" t="s">
        <v>139</v>
      </c>
      <c r="AB733" s="55"/>
      <c r="AC733" s="56"/>
      <c r="AD733" s="56"/>
      <c r="AE733" s="57"/>
      <c r="AF733" s="56"/>
      <c r="AG733" s="56"/>
      <c r="AH733" s="56"/>
      <c r="AI733" s="3" t="s">
        <v>1583</v>
      </c>
    </row>
    <row r="734" spans="1:35" ht="40.5">
      <c r="A734" s="144">
        <f t="shared" si="11"/>
        <v>732</v>
      </c>
      <c r="B734" s="148"/>
      <c r="C734" s="148"/>
      <c r="D734" s="148"/>
      <c r="E734" s="148"/>
      <c r="F734" s="148"/>
      <c r="G734" s="148"/>
      <c r="H734" s="148"/>
      <c r="I734" s="148"/>
      <c r="J734" s="98" t="s">
        <v>2104</v>
      </c>
      <c r="K734" s="101" t="str">
        <f>_xlfn.XLOOKUP(L734,'99_マスタ'!$D$5:$D$18,'99_マスタ'!$C$5:$C$18,"")</f>
        <v>02_生販在</v>
      </c>
      <c r="L734" s="111" t="s">
        <v>2325</v>
      </c>
      <c r="M734" s="111" t="s">
        <v>789</v>
      </c>
      <c r="N734" s="126" t="s">
        <v>790</v>
      </c>
      <c r="O734" s="62" t="s">
        <v>791</v>
      </c>
      <c r="P734" s="40"/>
      <c r="Q734" s="40" t="s">
        <v>792</v>
      </c>
      <c r="R734" s="41" t="s">
        <v>139</v>
      </c>
      <c r="S734" s="41" t="s">
        <v>139</v>
      </c>
      <c r="T734" s="41" t="s">
        <v>139</v>
      </c>
      <c r="U734" s="41" t="s">
        <v>793</v>
      </c>
      <c r="V734" s="41" t="s">
        <v>139</v>
      </c>
      <c r="W734" s="43" t="s">
        <v>139</v>
      </c>
      <c r="X734" s="41" t="s">
        <v>139</v>
      </c>
      <c r="Y734" s="41" t="s">
        <v>139</v>
      </c>
      <c r="Z734" s="41" t="s">
        <v>241</v>
      </c>
      <c r="AA734" s="41" t="s">
        <v>139</v>
      </c>
      <c r="AB734" s="44"/>
      <c r="AC734" s="45"/>
      <c r="AD734" s="45"/>
      <c r="AE734" s="46"/>
      <c r="AF734" s="45"/>
      <c r="AG734" s="45"/>
      <c r="AH734" s="45"/>
      <c r="AI734" s="3" t="s">
        <v>1583</v>
      </c>
    </row>
    <row r="735" spans="1:35" ht="40.5">
      <c r="A735" s="144">
        <f t="shared" si="11"/>
        <v>733</v>
      </c>
      <c r="B735" s="148"/>
      <c r="C735" s="148"/>
      <c r="D735" s="148"/>
      <c r="E735" s="148"/>
      <c r="F735" s="148"/>
      <c r="G735" s="148"/>
      <c r="H735" s="148"/>
      <c r="I735" s="148"/>
      <c r="J735" s="98" t="s">
        <v>2104</v>
      </c>
      <c r="K735" s="104" t="str">
        <f>_xlfn.XLOOKUP(L735,'99_マスタ'!$D$5:$D$18,'99_マスタ'!$C$5:$C$18,"")</f>
        <v>02_生販在</v>
      </c>
      <c r="L735" s="104" t="s">
        <v>2325</v>
      </c>
      <c r="M735" s="104" t="s">
        <v>886</v>
      </c>
      <c r="N735" s="126" t="s">
        <v>139</v>
      </c>
      <c r="O735" s="40" t="s">
        <v>887</v>
      </c>
      <c r="P735" s="40"/>
      <c r="Q735" s="40" t="s">
        <v>2137</v>
      </c>
      <c r="R735" s="41" t="s">
        <v>139</v>
      </c>
      <c r="S735" s="41" t="s">
        <v>139</v>
      </c>
      <c r="T735" s="41" t="s">
        <v>139</v>
      </c>
      <c r="U735" s="41" t="s">
        <v>885</v>
      </c>
      <c r="V735" s="41" t="s">
        <v>139</v>
      </c>
      <c r="W735" s="43" t="s">
        <v>139</v>
      </c>
      <c r="X735" s="41" t="s">
        <v>139</v>
      </c>
      <c r="Y735" s="41" t="s">
        <v>139</v>
      </c>
      <c r="Z735" s="41" t="s">
        <v>876</v>
      </c>
      <c r="AA735" s="41" t="s">
        <v>139</v>
      </c>
      <c r="AB735" s="44"/>
      <c r="AC735" s="45"/>
      <c r="AD735" s="45"/>
      <c r="AE735" s="46"/>
      <c r="AF735" s="45"/>
      <c r="AG735" s="45"/>
      <c r="AH735" s="45"/>
      <c r="AI735" s="3" t="s">
        <v>1583</v>
      </c>
    </row>
    <row r="736" spans="1:35" ht="40.5">
      <c r="A736" s="144">
        <f t="shared" si="11"/>
        <v>734</v>
      </c>
      <c r="B736" s="148"/>
      <c r="C736" s="148"/>
      <c r="D736" s="148"/>
      <c r="E736" s="148"/>
      <c r="F736" s="148"/>
      <c r="G736" s="148"/>
      <c r="H736" s="148"/>
      <c r="I736" s="148"/>
      <c r="J736" s="98" t="s">
        <v>2104</v>
      </c>
      <c r="K736" s="117" t="str">
        <f>_xlfn.XLOOKUP(L736,'99_マスタ'!$D$5:$D$18,'99_マスタ'!$C$5:$C$18,"")</f>
        <v>02_生販在</v>
      </c>
      <c r="L736" s="113" t="s">
        <v>2325</v>
      </c>
      <c r="M736" s="117" t="s">
        <v>3276</v>
      </c>
      <c r="N736" s="126" t="s">
        <v>772</v>
      </c>
      <c r="O736" s="40" t="s">
        <v>773</v>
      </c>
      <c r="P736" s="40"/>
      <c r="Q736" s="40" t="s">
        <v>139</v>
      </c>
      <c r="R736" s="41" t="s">
        <v>139</v>
      </c>
      <c r="S736" s="41" t="s">
        <v>139</v>
      </c>
      <c r="T736" s="41" t="s">
        <v>139</v>
      </c>
      <c r="U736" s="41" t="s">
        <v>774</v>
      </c>
      <c r="V736" s="41" t="s">
        <v>139</v>
      </c>
      <c r="W736" s="43" t="s">
        <v>139</v>
      </c>
      <c r="X736" s="41" t="s">
        <v>139</v>
      </c>
      <c r="Y736" s="41" t="s">
        <v>139</v>
      </c>
      <c r="Z736" s="41" t="s">
        <v>229</v>
      </c>
      <c r="AA736" s="41" t="s">
        <v>139</v>
      </c>
      <c r="AB736" s="44"/>
      <c r="AC736" s="45"/>
      <c r="AD736" s="45"/>
      <c r="AE736" s="46"/>
      <c r="AF736" s="45"/>
      <c r="AG736" s="45"/>
      <c r="AH736" s="45"/>
      <c r="AI736" s="3" t="s">
        <v>1583</v>
      </c>
    </row>
    <row r="737" spans="1:35" ht="40.5">
      <c r="A737" s="144">
        <f t="shared" si="11"/>
        <v>735</v>
      </c>
      <c r="B737" s="148"/>
      <c r="C737" s="148"/>
      <c r="D737" s="148"/>
      <c r="E737" s="148"/>
      <c r="F737" s="148"/>
      <c r="G737" s="148"/>
      <c r="H737" s="148"/>
      <c r="I737" s="148"/>
      <c r="J737" s="98" t="s">
        <v>2104</v>
      </c>
      <c r="K737" s="99" t="str">
        <f>_xlfn.XLOOKUP(L737,'99_マスタ'!$D$5:$D$18,'99_マスタ'!$C$5:$C$18,"")</f>
        <v>02_生販在</v>
      </c>
      <c r="L737" s="99" t="s">
        <v>2325</v>
      </c>
      <c r="M737" s="99" t="s">
        <v>626</v>
      </c>
      <c r="N737" s="126" t="s">
        <v>627</v>
      </c>
      <c r="O737" s="40" t="s">
        <v>1630</v>
      </c>
      <c r="P737" s="40"/>
      <c r="Q737" s="40" t="s">
        <v>139</v>
      </c>
      <c r="R737" s="41" t="s">
        <v>139</v>
      </c>
      <c r="S737" s="41" t="s">
        <v>139</v>
      </c>
      <c r="T737" s="41" t="s">
        <v>139</v>
      </c>
      <c r="U737" s="41" t="s">
        <v>628</v>
      </c>
      <c r="V737" s="41" t="s">
        <v>139</v>
      </c>
      <c r="W737" s="43" t="s">
        <v>139</v>
      </c>
      <c r="X737" s="41" t="s">
        <v>139</v>
      </c>
      <c r="Y737" s="41" t="s">
        <v>139</v>
      </c>
      <c r="Z737" s="41" t="s">
        <v>532</v>
      </c>
      <c r="AA737" s="41" t="s">
        <v>139</v>
      </c>
      <c r="AB737" s="44"/>
      <c r="AC737" s="45"/>
      <c r="AD737" s="45"/>
      <c r="AE737" s="46"/>
      <c r="AF737" s="45"/>
      <c r="AG737" s="45"/>
      <c r="AH737" s="45"/>
      <c r="AI737" s="3" t="s">
        <v>1583</v>
      </c>
    </row>
    <row r="738" spans="1:35" ht="27">
      <c r="A738" s="144">
        <f t="shared" si="11"/>
        <v>736</v>
      </c>
      <c r="B738" s="148"/>
      <c r="C738" s="148"/>
      <c r="D738" s="148"/>
      <c r="E738" s="148"/>
      <c r="F738" s="148"/>
      <c r="G738" s="148"/>
      <c r="H738" s="148"/>
      <c r="I738" s="148"/>
      <c r="J738" s="98" t="s">
        <v>2104</v>
      </c>
      <c r="K738" s="99" t="str">
        <f>_xlfn.XLOOKUP(L738,'99_マスタ'!$D$5:$D$18,'99_マスタ'!$C$5:$C$18,"")</f>
        <v>02_生販在</v>
      </c>
      <c r="L738" s="99" t="s">
        <v>2325</v>
      </c>
      <c r="M738" s="99" t="s">
        <v>862</v>
      </c>
      <c r="N738" s="126" t="s">
        <v>139</v>
      </c>
      <c r="O738" s="40" t="s">
        <v>863</v>
      </c>
      <c r="P738" s="40"/>
      <c r="Q738" s="40" t="s">
        <v>139</v>
      </c>
      <c r="R738" s="41" t="s">
        <v>139</v>
      </c>
      <c r="S738" s="41" t="s">
        <v>139</v>
      </c>
      <c r="T738" s="41" t="s">
        <v>139</v>
      </c>
      <c r="U738" s="41" t="s">
        <v>864</v>
      </c>
      <c r="V738" s="41" t="s">
        <v>139</v>
      </c>
      <c r="W738" s="43" t="s">
        <v>139</v>
      </c>
      <c r="X738" s="41" t="s">
        <v>139</v>
      </c>
      <c r="Y738" s="41" t="s">
        <v>139</v>
      </c>
      <c r="Z738" s="41" t="s">
        <v>865</v>
      </c>
      <c r="AA738" s="41" t="s">
        <v>139</v>
      </c>
      <c r="AB738" s="44"/>
      <c r="AC738" s="45"/>
      <c r="AD738" s="45"/>
      <c r="AE738" s="46"/>
      <c r="AF738" s="45"/>
      <c r="AG738" s="45"/>
      <c r="AH738" s="45"/>
      <c r="AI738" s="3" t="s">
        <v>1583</v>
      </c>
    </row>
    <row r="739" spans="1:35" ht="27">
      <c r="A739" s="144">
        <f t="shared" si="11"/>
        <v>737</v>
      </c>
      <c r="B739" s="148"/>
      <c r="C739" s="148"/>
      <c r="D739" s="148"/>
      <c r="E739" s="148"/>
      <c r="F739" s="148"/>
      <c r="G739" s="148"/>
      <c r="H739" s="148"/>
      <c r="I739" s="148"/>
      <c r="J739" s="98" t="s">
        <v>2104</v>
      </c>
      <c r="K739" s="102" t="str">
        <f>_xlfn.XLOOKUP(L739,'99_マスタ'!$D$5:$D$18,'99_マスタ'!$C$5:$C$18,"")</f>
        <v>02_生販在</v>
      </c>
      <c r="L739" s="102" t="s">
        <v>2325</v>
      </c>
      <c r="M739" s="102" t="s">
        <v>1105</v>
      </c>
      <c r="N739" s="126" t="s">
        <v>1106</v>
      </c>
      <c r="O739" s="40" t="s">
        <v>1107</v>
      </c>
      <c r="P739" s="40"/>
      <c r="Q739" s="40" t="s">
        <v>139</v>
      </c>
      <c r="R739" s="41" t="s">
        <v>139</v>
      </c>
      <c r="S739" s="41" t="s">
        <v>139</v>
      </c>
      <c r="T739" s="41" t="s">
        <v>1108</v>
      </c>
      <c r="U739" s="41" t="s">
        <v>139</v>
      </c>
      <c r="V739" s="41" t="s">
        <v>139</v>
      </c>
      <c r="W739" s="43" t="s">
        <v>139</v>
      </c>
      <c r="X739" s="41" t="s">
        <v>139</v>
      </c>
      <c r="Y739" s="41" t="s">
        <v>1607</v>
      </c>
      <c r="Z739" s="41" t="s">
        <v>139</v>
      </c>
      <c r="AA739" s="41" t="s">
        <v>139</v>
      </c>
      <c r="AB739" s="44"/>
      <c r="AC739" s="45"/>
      <c r="AD739" s="45"/>
      <c r="AE739" s="46"/>
      <c r="AF739" s="45"/>
      <c r="AG739" s="45"/>
      <c r="AH739" s="45"/>
      <c r="AI739" s="3" t="s">
        <v>1583</v>
      </c>
    </row>
    <row r="740" spans="1:35" ht="40.5">
      <c r="A740" s="144">
        <f t="shared" si="11"/>
        <v>738</v>
      </c>
      <c r="B740" s="148"/>
      <c r="C740" s="148"/>
      <c r="D740" s="148"/>
      <c r="E740" s="148"/>
      <c r="F740" s="148"/>
      <c r="G740" s="148"/>
      <c r="H740" s="148"/>
      <c r="I740" s="148"/>
      <c r="J740" s="98" t="s">
        <v>2104</v>
      </c>
      <c r="K740" s="104" t="str">
        <f>_xlfn.XLOOKUP(L740,'99_マスタ'!$D$5:$D$18,'99_マスタ'!$C$5:$C$18,"")</f>
        <v>02_生販在</v>
      </c>
      <c r="L740" s="104" t="s">
        <v>2325</v>
      </c>
      <c r="M740" s="104" t="s">
        <v>888</v>
      </c>
      <c r="N740" s="126" t="s">
        <v>889</v>
      </c>
      <c r="O740" s="40" t="s">
        <v>890</v>
      </c>
      <c r="P740" s="40"/>
      <c r="Q740" s="40" t="s">
        <v>2137</v>
      </c>
      <c r="R740" s="41" t="s">
        <v>139</v>
      </c>
      <c r="S740" s="41" t="s">
        <v>139</v>
      </c>
      <c r="T740" s="41" t="s">
        <v>139</v>
      </c>
      <c r="U740" s="41" t="s">
        <v>891</v>
      </c>
      <c r="V740" s="41" t="s">
        <v>139</v>
      </c>
      <c r="W740" s="43" t="s">
        <v>139</v>
      </c>
      <c r="X740" s="41" t="s">
        <v>139</v>
      </c>
      <c r="Y740" s="41" t="s">
        <v>139</v>
      </c>
      <c r="Z740" s="41" t="s">
        <v>2750</v>
      </c>
      <c r="AA740" s="41" t="s">
        <v>139</v>
      </c>
      <c r="AB740" s="44"/>
      <c r="AC740" s="45"/>
      <c r="AD740" s="45"/>
      <c r="AE740" s="46"/>
      <c r="AF740" s="45"/>
      <c r="AG740" s="45"/>
      <c r="AH740" s="45"/>
      <c r="AI740" s="3" t="s">
        <v>1583</v>
      </c>
    </row>
    <row r="741" spans="1:35" ht="27">
      <c r="A741" s="144">
        <f t="shared" si="11"/>
        <v>739</v>
      </c>
      <c r="B741" s="148"/>
      <c r="C741" s="148"/>
      <c r="D741" s="148"/>
      <c r="E741" s="148"/>
      <c r="F741" s="148"/>
      <c r="G741" s="148"/>
      <c r="H741" s="148"/>
      <c r="I741" s="148"/>
      <c r="J741" s="100" t="s">
        <v>2104</v>
      </c>
      <c r="K741" s="51" t="str">
        <f>_xlfn.XLOOKUP(L741,'99_マスタ'!$D$5:$D$18,'99_マスタ'!$C$5:$C$18,"")</f>
        <v>02_生販在</v>
      </c>
      <c r="L741" s="52" t="s">
        <v>2305</v>
      </c>
      <c r="M741" s="52" t="s">
        <v>3046</v>
      </c>
      <c r="N741" s="54" t="s">
        <v>3047</v>
      </c>
      <c r="O741" s="41" t="s">
        <v>470</v>
      </c>
      <c r="P741" s="41"/>
      <c r="Q741" s="41" t="s">
        <v>139</v>
      </c>
      <c r="R741" s="41" t="s">
        <v>378</v>
      </c>
      <c r="S741" s="41" t="s">
        <v>139</v>
      </c>
      <c r="T741" s="41" t="s">
        <v>139</v>
      </c>
      <c r="U741" s="41" t="s">
        <v>139</v>
      </c>
      <c r="V741" s="41" t="s">
        <v>139</v>
      </c>
      <c r="W741" s="53" t="s">
        <v>163</v>
      </c>
      <c r="X741" s="54" t="s">
        <v>139</v>
      </c>
      <c r="Y741" s="54" t="s">
        <v>139</v>
      </c>
      <c r="Z741" s="54" t="s">
        <v>139</v>
      </c>
      <c r="AA741" s="54" t="s">
        <v>139</v>
      </c>
      <c r="AB741" s="55"/>
      <c r="AC741" s="56"/>
      <c r="AD741" s="56"/>
      <c r="AE741" s="57"/>
      <c r="AF741" s="56"/>
      <c r="AG741" s="56"/>
      <c r="AH741" s="56"/>
      <c r="AI741" s="3" t="s">
        <v>1583</v>
      </c>
    </row>
    <row r="742" spans="1:35" ht="27">
      <c r="A742" s="144">
        <f t="shared" si="11"/>
        <v>740</v>
      </c>
      <c r="B742" s="148"/>
      <c r="C742" s="148"/>
      <c r="D742" s="148"/>
      <c r="E742" s="148"/>
      <c r="F742" s="148"/>
      <c r="G742" s="148"/>
      <c r="H742" s="148"/>
      <c r="I742" s="148"/>
      <c r="J742" s="108" t="s">
        <v>2104</v>
      </c>
      <c r="K742" s="51" t="str">
        <f>_xlfn.XLOOKUP(L742,'99_マスタ'!$D$5:$D$18,'99_マスタ'!$C$5:$C$18,"")</f>
        <v>02_生販在</v>
      </c>
      <c r="L742" s="52" t="s">
        <v>2305</v>
      </c>
      <c r="M742" s="52" t="s">
        <v>3048</v>
      </c>
      <c r="N742" s="54" t="s">
        <v>139</v>
      </c>
      <c r="O742" s="41" t="s">
        <v>450</v>
      </c>
      <c r="P742" s="41"/>
      <c r="Q742" s="41" t="s">
        <v>139</v>
      </c>
      <c r="R742" s="41" t="s">
        <v>451</v>
      </c>
      <c r="S742" s="41" t="s">
        <v>139</v>
      </c>
      <c r="T742" s="41" t="s">
        <v>139</v>
      </c>
      <c r="U742" s="41" t="s">
        <v>139</v>
      </c>
      <c r="V742" s="41" t="s">
        <v>139</v>
      </c>
      <c r="W742" s="53" t="s">
        <v>163</v>
      </c>
      <c r="X742" s="54" t="s">
        <v>139</v>
      </c>
      <c r="Y742" s="54" t="s">
        <v>139</v>
      </c>
      <c r="Z742" s="54" t="s">
        <v>139</v>
      </c>
      <c r="AA742" s="54" t="s">
        <v>139</v>
      </c>
      <c r="AB742" s="55"/>
      <c r="AC742" s="56"/>
      <c r="AD742" s="56"/>
      <c r="AE742" s="57"/>
      <c r="AF742" s="56"/>
      <c r="AG742" s="56"/>
      <c r="AH742" s="56"/>
      <c r="AI742" s="3" t="s">
        <v>1583</v>
      </c>
    </row>
    <row r="743" spans="1:35">
      <c r="A743" s="144">
        <f t="shared" si="11"/>
        <v>741</v>
      </c>
      <c r="B743" s="148"/>
      <c r="C743" s="148"/>
      <c r="D743" s="148"/>
      <c r="E743" s="148"/>
      <c r="F743" s="148"/>
      <c r="G743" s="148"/>
      <c r="H743" s="148"/>
      <c r="I743" s="148"/>
      <c r="J743" s="98" t="s">
        <v>2104</v>
      </c>
      <c r="K743" s="51" t="str">
        <f>_xlfn.XLOOKUP(L743,'99_マスタ'!$D$5:$D$18,'99_マスタ'!$C$5:$C$18,"")</f>
        <v>02_生販在</v>
      </c>
      <c r="L743" s="52" t="s">
        <v>2305</v>
      </c>
      <c r="M743" s="52" t="s">
        <v>3050</v>
      </c>
      <c r="N743" s="54" t="s">
        <v>3049</v>
      </c>
      <c r="O743" s="41" t="s">
        <v>467</v>
      </c>
      <c r="P743" s="41"/>
      <c r="Q743" s="41" t="s">
        <v>139</v>
      </c>
      <c r="R743" s="41" t="s">
        <v>468</v>
      </c>
      <c r="S743" s="41" t="s">
        <v>139</v>
      </c>
      <c r="T743" s="41" t="s">
        <v>139</v>
      </c>
      <c r="U743" s="41" t="s">
        <v>139</v>
      </c>
      <c r="V743" s="41" t="s">
        <v>139</v>
      </c>
      <c r="W743" s="53" t="s">
        <v>469</v>
      </c>
      <c r="X743" s="54" t="s">
        <v>139</v>
      </c>
      <c r="Y743" s="54" t="s">
        <v>139</v>
      </c>
      <c r="Z743" s="54" t="s">
        <v>139</v>
      </c>
      <c r="AA743" s="54" t="s">
        <v>139</v>
      </c>
      <c r="AB743" s="55"/>
      <c r="AC743" s="56"/>
      <c r="AD743" s="56"/>
      <c r="AE743" s="57"/>
      <c r="AF743" s="56"/>
      <c r="AG743" s="56"/>
      <c r="AH743" s="56"/>
      <c r="AI743" s="3" t="s">
        <v>1583</v>
      </c>
    </row>
    <row r="744" spans="1:35">
      <c r="A744" s="144">
        <f t="shared" si="11"/>
        <v>742</v>
      </c>
      <c r="B744" s="148"/>
      <c r="C744" s="148"/>
      <c r="D744" s="148"/>
      <c r="E744" s="148"/>
      <c r="F744" s="148"/>
      <c r="G744" s="148"/>
      <c r="H744" s="148"/>
      <c r="I744" s="148"/>
      <c r="J744" s="98" t="s">
        <v>2104</v>
      </c>
      <c r="K744" s="51" t="str">
        <f>_xlfn.XLOOKUP(L744,'99_マスタ'!$D$5:$D$18,'99_マスタ'!$C$5:$C$18,"")</f>
        <v>02_生販在</v>
      </c>
      <c r="L744" s="52" t="s">
        <v>2305</v>
      </c>
      <c r="M744" s="52" t="s">
        <v>2998</v>
      </c>
      <c r="N744" s="54" t="s">
        <v>2999</v>
      </c>
      <c r="O744" s="41" t="s">
        <v>446</v>
      </c>
      <c r="P744" s="41"/>
      <c r="Q744" s="41" t="s">
        <v>408</v>
      </c>
      <c r="R744" s="41" t="s">
        <v>447</v>
      </c>
      <c r="S744" s="41" t="s">
        <v>139</v>
      </c>
      <c r="T744" s="41" t="s">
        <v>139</v>
      </c>
      <c r="U744" s="41" t="s">
        <v>139</v>
      </c>
      <c r="V744" s="41" t="s">
        <v>139</v>
      </c>
      <c r="W744" s="53" t="s">
        <v>133</v>
      </c>
      <c r="X744" s="54" t="s">
        <v>139</v>
      </c>
      <c r="Y744" s="54" t="s">
        <v>139</v>
      </c>
      <c r="Z744" s="54" t="s">
        <v>139</v>
      </c>
      <c r="AA744" s="54" t="s">
        <v>139</v>
      </c>
      <c r="AB744" s="55"/>
      <c r="AC744" s="56"/>
      <c r="AD744" s="56"/>
      <c r="AE744" s="57"/>
      <c r="AF744" s="56"/>
      <c r="AG744" s="56"/>
      <c r="AH744" s="56"/>
      <c r="AI744" s="3" t="s">
        <v>1583</v>
      </c>
    </row>
    <row r="745" spans="1:35">
      <c r="A745" s="144">
        <f t="shared" si="11"/>
        <v>743</v>
      </c>
      <c r="B745" s="148"/>
      <c r="C745" s="148"/>
      <c r="D745" s="148"/>
      <c r="E745" s="148"/>
      <c r="F745" s="148"/>
      <c r="G745" s="148"/>
      <c r="H745" s="148"/>
      <c r="I745" s="148"/>
      <c r="J745" s="98" t="s">
        <v>2104</v>
      </c>
      <c r="K745" s="105" t="str">
        <f>_xlfn.XLOOKUP(L745,'99_マスタ'!$D$5:$D$18,'99_マスタ'!$C$5:$C$18,"")</f>
        <v>03_会社運営</v>
      </c>
      <c r="L745" s="105" t="s">
        <v>2836</v>
      </c>
      <c r="M745" s="83" t="s">
        <v>561</v>
      </c>
      <c r="N745" s="54" t="s">
        <v>139</v>
      </c>
      <c r="O745" s="41" t="s">
        <v>562</v>
      </c>
      <c r="P745" s="41"/>
      <c r="Q745" s="41" t="s">
        <v>139</v>
      </c>
      <c r="R745" s="41" t="s">
        <v>563</v>
      </c>
      <c r="S745" s="41" t="s">
        <v>139</v>
      </c>
      <c r="T745" s="41" t="s">
        <v>139</v>
      </c>
      <c r="U745" s="41" t="s">
        <v>139</v>
      </c>
      <c r="V745" s="41" t="s">
        <v>139</v>
      </c>
      <c r="W745" s="53" t="s">
        <v>213</v>
      </c>
      <c r="X745" s="54" t="s">
        <v>139</v>
      </c>
      <c r="Y745" s="54" t="s">
        <v>139</v>
      </c>
      <c r="Z745" s="54" t="s">
        <v>139</v>
      </c>
      <c r="AA745" s="54" t="s">
        <v>139</v>
      </c>
      <c r="AB745" s="55"/>
      <c r="AC745" s="56"/>
      <c r="AD745" s="56"/>
      <c r="AE745" s="57"/>
      <c r="AF745" s="56"/>
      <c r="AG745" s="56"/>
      <c r="AH745" s="56"/>
      <c r="AI745" s="3" t="s">
        <v>1583</v>
      </c>
    </row>
    <row r="746" spans="1:35">
      <c r="A746" s="144">
        <f t="shared" si="11"/>
        <v>744</v>
      </c>
      <c r="B746" s="148"/>
      <c r="C746" s="148"/>
      <c r="D746" s="148"/>
      <c r="E746" s="148"/>
      <c r="F746" s="148"/>
      <c r="G746" s="148"/>
      <c r="H746" s="148"/>
      <c r="I746" s="148"/>
      <c r="J746" s="98" t="s">
        <v>2104</v>
      </c>
      <c r="K746" s="105" t="str">
        <f>_xlfn.XLOOKUP(L746,'99_マスタ'!$D$5:$D$18,'99_マスタ'!$C$5:$C$18,"")</f>
        <v>03_会社運営</v>
      </c>
      <c r="L746" s="105" t="s">
        <v>2836</v>
      </c>
      <c r="M746" s="83" t="s">
        <v>339</v>
      </c>
      <c r="N746" s="54" t="s">
        <v>528</v>
      </c>
      <c r="O746" s="41" t="s">
        <v>529</v>
      </c>
      <c r="P746" s="41"/>
      <c r="Q746" s="41" t="s">
        <v>139</v>
      </c>
      <c r="R746" s="41" t="s">
        <v>339</v>
      </c>
      <c r="S746" s="41" t="s">
        <v>139</v>
      </c>
      <c r="T746" s="41" t="s">
        <v>139</v>
      </c>
      <c r="U746" s="41" t="s">
        <v>139</v>
      </c>
      <c r="V746" s="41" t="s">
        <v>139</v>
      </c>
      <c r="W746" s="53" t="s">
        <v>410</v>
      </c>
      <c r="X746" s="54" t="s">
        <v>139</v>
      </c>
      <c r="Y746" s="54" t="s">
        <v>139</v>
      </c>
      <c r="Z746" s="54" t="s">
        <v>139</v>
      </c>
      <c r="AA746" s="54" t="s">
        <v>139</v>
      </c>
      <c r="AB746" s="55"/>
      <c r="AC746" s="56"/>
      <c r="AD746" s="56"/>
      <c r="AE746" s="57"/>
      <c r="AF746" s="56"/>
      <c r="AG746" s="56"/>
      <c r="AH746" s="56"/>
      <c r="AI746" s="3" t="s">
        <v>1583</v>
      </c>
    </row>
    <row r="747" spans="1:35" ht="27">
      <c r="A747" s="144">
        <f t="shared" si="11"/>
        <v>745</v>
      </c>
      <c r="B747" s="148"/>
      <c r="C747" s="148"/>
      <c r="D747" s="148"/>
      <c r="E747" s="148"/>
      <c r="F747" s="148"/>
      <c r="G747" s="148"/>
      <c r="H747" s="148"/>
      <c r="I747" s="148"/>
      <c r="J747" s="98" t="s">
        <v>2104</v>
      </c>
      <c r="K747" s="105" t="str">
        <f>_xlfn.XLOOKUP(L747,'99_マスタ'!$D$5:$D$18,'99_マスタ'!$C$5:$C$18,"")</f>
        <v>03_会社運営</v>
      </c>
      <c r="L747" s="105" t="s">
        <v>2836</v>
      </c>
      <c r="M747" s="107" t="s">
        <v>605</v>
      </c>
      <c r="N747" s="126" t="s">
        <v>606</v>
      </c>
      <c r="O747" s="40" t="s">
        <v>607</v>
      </c>
      <c r="P747" s="40"/>
      <c r="Q747" s="40" t="s">
        <v>139</v>
      </c>
      <c r="R747" s="41" t="s">
        <v>139</v>
      </c>
      <c r="S747" s="41" t="s">
        <v>139</v>
      </c>
      <c r="T747" s="41" t="s">
        <v>139</v>
      </c>
      <c r="U747" s="41" t="s">
        <v>608</v>
      </c>
      <c r="V747" s="41" t="s">
        <v>139</v>
      </c>
      <c r="W747" s="43" t="s">
        <v>139</v>
      </c>
      <c r="X747" s="41" t="s">
        <v>139</v>
      </c>
      <c r="Y747" s="41" t="s">
        <v>139</v>
      </c>
      <c r="Z747" s="41" t="s">
        <v>532</v>
      </c>
      <c r="AA747" s="41" t="s">
        <v>139</v>
      </c>
      <c r="AB747" s="44"/>
      <c r="AC747" s="45"/>
      <c r="AD747" s="45"/>
      <c r="AE747" s="46"/>
      <c r="AF747" s="45"/>
      <c r="AG747" s="45"/>
      <c r="AH747" s="45"/>
      <c r="AI747" s="3" t="s">
        <v>1583</v>
      </c>
    </row>
    <row r="748" spans="1:35" ht="40.5">
      <c r="A748" s="144">
        <f t="shared" si="11"/>
        <v>746</v>
      </c>
      <c r="B748" s="148"/>
      <c r="C748" s="148"/>
      <c r="D748" s="148"/>
      <c r="E748" s="148"/>
      <c r="F748" s="148"/>
      <c r="G748" s="148"/>
      <c r="H748" s="148"/>
      <c r="I748" s="148"/>
      <c r="J748" s="98" t="s">
        <v>2104</v>
      </c>
      <c r="K748" s="105" t="str">
        <f>_xlfn.XLOOKUP(L748,'99_マスタ'!$D$5:$D$18,'99_マスタ'!$C$5:$C$18,"")</f>
        <v>03_会社運営</v>
      </c>
      <c r="L748" s="105" t="s">
        <v>2836</v>
      </c>
      <c r="M748" s="100" t="s">
        <v>609</v>
      </c>
      <c r="N748" s="126" t="s">
        <v>139</v>
      </c>
      <c r="O748" s="40" t="s">
        <v>1598</v>
      </c>
      <c r="P748" s="40"/>
      <c r="Q748" s="40" t="s">
        <v>139</v>
      </c>
      <c r="R748" s="41" t="s">
        <v>139</v>
      </c>
      <c r="S748" s="41" t="s">
        <v>610</v>
      </c>
      <c r="T748" s="41" t="s">
        <v>139</v>
      </c>
      <c r="U748" s="41" t="s">
        <v>611</v>
      </c>
      <c r="V748" s="41" t="s">
        <v>612</v>
      </c>
      <c r="W748" s="43" t="s">
        <v>139</v>
      </c>
      <c r="X748" s="41" t="s">
        <v>613</v>
      </c>
      <c r="Y748" s="41" t="s">
        <v>139</v>
      </c>
      <c r="Z748" s="41" t="s">
        <v>532</v>
      </c>
      <c r="AA748" s="41" t="s">
        <v>614</v>
      </c>
      <c r="AB748" s="44"/>
      <c r="AC748" s="45"/>
      <c r="AD748" s="45"/>
      <c r="AE748" s="46"/>
      <c r="AF748" s="45"/>
      <c r="AG748" s="45"/>
      <c r="AH748" s="45"/>
      <c r="AI748" s="3" t="s">
        <v>1583</v>
      </c>
    </row>
    <row r="749" spans="1:35">
      <c r="A749" s="144">
        <f t="shared" si="11"/>
        <v>747</v>
      </c>
      <c r="B749" s="148"/>
      <c r="C749" s="148"/>
      <c r="D749" s="148"/>
      <c r="E749" s="148"/>
      <c r="F749" s="148"/>
      <c r="G749" s="148"/>
      <c r="H749" s="148"/>
      <c r="I749" s="148"/>
      <c r="J749" s="98" t="s">
        <v>2104</v>
      </c>
      <c r="K749" s="105" t="str">
        <f>_xlfn.XLOOKUP(L749,'99_マスタ'!$D$5:$D$18,'99_マスタ'!$C$5:$C$18,"")</f>
        <v>03_会社運営</v>
      </c>
      <c r="L749" s="105" t="s">
        <v>2836</v>
      </c>
      <c r="M749" s="83" t="s">
        <v>275</v>
      </c>
      <c r="N749" s="54" t="s">
        <v>139</v>
      </c>
      <c r="O749" s="41" t="s">
        <v>526</v>
      </c>
      <c r="P749" s="41"/>
      <c r="Q749" s="41" t="s">
        <v>139</v>
      </c>
      <c r="R749" s="41" t="s">
        <v>527</v>
      </c>
      <c r="S749" s="41" t="s">
        <v>139</v>
      </c>
      <c r="T749" s="41" t="s">
        <v>139</v>
      </c>
      <c r="U749" s="41" t="s">
        <v>139</v>
      </c>
      <c r="V749" s="41" t="s">
        <v>139</v>
      </c>
      <c r="W749" s="53" t="s">
        <v>410</v>
      </c>
      <c r="X749" s="54" t="s">
        <v>139</v>
      </c>
      <c r="Y749" s="54" t="s">
        <v>139</v>
      </c>
      <c r="Z749" s="54" t="s">
        <v>139</v>
      </c>
      <c r="AA749" s="54" t="s">
        <v>139</v>
      </c>
      <c r="AB749" s="55"/>
      <c r="AC749" s="56"/>
      <c r="AD749" s="56"/>
      <c r="AE749" s="57"/>
      <c r="AF749" s="56"/>
      <c r="AG749" s="56"/>
      <c r="AH749" s="56"/>
      <c r="AI749" s="3" t="s">
        <v>1583</v>
      </c>
    </row>
    <row r="750" spans="1:35">
      <c r="A750" s="144">
        <f t="shared" si="11"/>
        <v>748</v>
      </c>
      <c r="B750" s="148"/>
      <c r="C750" s="148"/>
      <c r="D750" s="148"/>
      <c r="E750" s="148"/>
      <c r="F750" s="148"/>
      <c r="G750" s="148"/>
      <c r="H750" s="148"/>
      <c r="I750" s="148"/>
      <c r="J750" s="98" t="s">
        <v>2104</v>
      </c>
      <c r="K750" s="105" t="str">
        <f>_xlfn.XLOOKUP(L750,'99_マスタ'!$D$5:$D$18,'99_マスタ'!$C$5:$C$18,"")</f>
        <v>03_会社運営</v>
      </c>
      <c r="L750" s="105" t="s">
        <v>2836</v>
      </c>
      <c r="M750" s="83" t="s">
        <v>521</v>
      </c>
      <c r="N750" s="54" t="s">
        <v>139</v>
      </c>
      <c r="O750" s="41" t="s">
        <v>522</v>
      </c>
      <c r="P750" s="41"/>
      <c r="Q750" s="41" t="s">
        <v>139</v>
      </c>
      <c r="R750" s="41" t="s">
        <v>523</v>
      </c>
      <c r="S750" s="41" t="s">
        <v>139</v>
      </c>
      <c r="T750" s="41" t="s">
        <v>139</v>
      </c>
      <c r="U750" s="41" t="s">
        <v>139</v>
      </c>
      <c r="V750" s="41" t="s">
        <v>139</v>
      </c>
      <c r="W750" s="53" t="s">
        <v>410</v>
      </c>
      <c r="X750" s="54" t="s">
        <v>139</v>
      </c>
      <c r="Y750" s="54" t="s">
        <v>139</v>
      </c>
      <c r="Z750" s="54" t="s">
        <v>139</v>
      </c>
      <c r="AA750" s="54" t="s">
        <v>139</v>
      </c>
      <c r="AB750" s="55"/>
      <c r="AC750" s="56"/>
      <c r="AD750" s="56"/>
      <c r="AE750" s="57"/>
      <c r="AF750" s="56"/>
      <c r="AG750" s="56"/>
      <c r="AH750" s="56"/>
      <c r="AI750" s="3" t="s">
        <v>1583</v>
      </c>
    </row>
    <row r="751" spans="1:35" ht="40.5">
      <c r="A751" s="144">
        <f t="shared" si="11"/>
        <v>749</v>
      </c>
      <c r="B751" s="148"/>
      <c r="C751" s="148"/>
      <c r="D751" s="148"/>
      <c r="E751" s="148"/>
      <c r="F751" s="148"/>
      <c r="G751" s="148"/>
      <c r="H751" s="148"/>
      <c r="I751" s="148"/>
      <c r="J751" s="98" t="s">
        <v>2104</v>
      </c>
      <c r="K751" s="105" t="str">
        <f>_xlfn.XLOOKUP(L751,'99_マスタ'!$D$5:$D$18,'99_マスタ'!$C$5:$C$18,"")</f>
        <v>03_会社運営</v>
      </c>
      <c r="L751" s="105" t="s">
        <v>2836</v>
      </c>
      <c r="M751" s="106" t="s">
        <v>3224</v>
      </c>
      <c r="N751" s="126" t="s">
        <v>976</v>
      </c>
      <c r="O751" s="40" t="s">
        <v>977</v>
      </c>
      <c r="P751" s="40"/>
      <c r="Q751" s="40" t="s">
        <v>139</v>
      </c>
      <c r="R751" s="41" t="s">
        <v>139</v>
      </c>
      <c r="S751" s="41" t="s">
        <v>139</v>
      </c>
      <c r="T751" s="41" t="s">
        <v>139</v>
      </c>
      <c r="U751" s="41" t="s">
        <v>978</v>
      </c>
      <c r="V751" s="41" t="s">
        <v>139</v>
      </c>
      <c r="W751" s="43" t="s">
        <v>139</v>
      </c>
      <c r="X751" s="41" t="s">
        <v>139</v>
      </c>
      <c r="Y751" s="41" t="s">
        <v>139</v>
      </c>
      <c r="Z751" s="41" t="s">
        <v>979</v>
      </c>
      <c r="AA751" s="41" t="s">
        <v>139</v>
      </c>
      <c r="AB751" s="44"/>
      <c r="AC751" s="45"/>
      <c r="AD751" s="45"/>
      <c r="AE751" s="46"/>
      <c r="AF751" s="45"/>
      <c r="AG751" s="45"/>
      <c r="AH751" s="45"/>
      <c r="AI751" s="3" t="s">
        <v>1583</v>
      </c>
    </row>
    <row r="752" spans="1:35" ht="27">
      <c r="A752" s="144">
        <f t="shared" si="11"/>
        <v>750</v>
      </c>
      <c r="B752" s="148"/>
      <c r="C752" s="148"/>
      <c r="D752" s="148"/>
      <c r="E752" s="148"/>
      <c r="F752" s="148"/>
      <c r="G752" s="148"/>
      <c r="H752" s="148"/>
      <c r="I752" s="148"/>
      <c r="J752" s="98" t="s">
        <v>2104</v>
      </c>
      <c r="K752" s="105" t="str">
        <f>_xlfn.XLOOKUP(L752,'99_マスタ'!$D$5:$D$18,'99_マスタ'!$C$5:$C$18,"")</f>
        <v>03_会社運営</v>
      </c>
      <c r="L752" s="105" t="s">
        <v>2836</v>
      </c>
      <c r="M752" s="107" t="s">
        <v>3222</v>
      </c>
      <c r="N752" s="126" t="s">
        <v>3223</v>
      </c>
      <c r="O752" s="40" t="s">
        <v>600</v>
      </c>
      <c r="P752" s="40"/>
      <c r="Q752" s="40" t="s">
        <v>139</v>
      </c>
      <c r="R752" s="41" t="s">
        <v>139</v>
      </c>
      <c r="S752" s="41" t="s">
        <v>139</v>
      </c>
      <c r="T752" s="41" t="s">
        <v>139</v>
      </c>
      <c r="U752" s="41" t="s">
        <v>601</v>
      </c>
      <c r="V752" s="41" t="s">
        <v>139</v>
      </c>
      <c r="W752" s="43" t="s">
        <v>139</v>
      </c>
      <c r="X752" s="41" t="s">
        <v>139</v>
      </c>
      <c r="Y752" s="41" t="s">
        <v>139</v>
      </c>
      <c r="Z752" s="41" t="s">
        <v>532</v>
      </c>
      <c r="AA752" s="41" t="s">
        <v>139</v>
      </c>
      <c r="AB752" s="44"/>
      <c r="AC752" s="45"/>
      <c r="AD752" s="45"/>
      <c r="AE752" s="46"/>
      <c r="AF752" s="45"/>
      <c r="AG752" s="45"/>
      <c r="AH752" s="45"/>
      <c r="AI752" s="3" t="s">
        <v>1583</v>
      </c>
    </row>
    <row r="753" spans="1:35" ht="27">
      <c r="A753" s="144">
        <f t="shared" si="11"/>
        <v>751</v>
      </c>
      <c r="B753" s="148"/>
      <c r="C753" s="148"/>
      <c r="D753" s="148"/>
      <c r="E753" s="148"/>
      <c r="F753" s="148"/>
      <c r="G753" s="148"/>
      <c r="H753" s="148"/>
      <c r="I753" s="148"/>
      <c r="J753" s="98" t="s">
        <v>2104</v>
      </c>
      <c r="K753" s="105" t="str">
        <f>_xlfn.XLOOKUP(L753,'99_マスタ'!$D$5:$D$18,'99_マスタ'!$C$5:$C$18,"")</f>
        <v>03_会社運営</v>
      </c>
      <c r="L753" s="105" t="s">
        <v>2836</v>
      </c>
      <c r="M753" s="107" t="s">
        <v>615</v>
      </c>
      <c r="N753" s="126" t="s">
        <v>139</v>
      </c>
      <c r="O753" s="40" t="s">
        <v>616</v>
      </c>
      <c r="P753" s="40"/>
      <c r="Q753" s="40" t="s">
        <v>139</v>
      </c>
      <c r="R753" s="41" t="s">
        <v>139</v>
      </c>
      <c r="S753" s="41" t="s">
        <v>139</v>
      </c>
      <c r="T753" s="41" t="s">
        <v>139</v>
      </c>
      <c r="U753" s="41" t="s">
        <v>617</v>
      </c>
      <c r="V753" s="41" t="s">
        <v>139</v>
      </c>
      <c r="W753" s="43" t="s">
        <v>139</v>
      </c>
      <c r="X753" s="41" t="s">
        <v>139</v>
      </c>
      <c r="Y753" s="41" t="s">
        <v>139</v>
      </c>
      <c r="Z753" s="41" t="s">
        <v>532</v>
      </c>
      <c r="AA753" s="41" t="s">
        <v>139</v>
      </c>
      <c r="AB753" s="44"/>
      <c r="AC753" s="45"/>
      <c r="AD753" s="45"/>
      <c r="AE753" s="46"/>
      <c r="AF753" s="45"/>
      <c r="AG753" s="45"/>
      <c r="AH753" s="45"/>
      <c r="AI753" s="3" t="s">
        <v>1583</v>
      </c>
    </row>
    <row r="754" spans="1:35">
      <c r="A754" s="144">
        <f t="shared" si="11"/>
        <v>752</v>
      </c>
      <c r="B754" s="148"/>
      <c r="C754" s="148"/>
      <c r="D754" s="148"/>
      <c r="E754" s="148"/>
      <c r="F754" s="148"/>
      <c r="G754" s="148"/>
      <c r="H754" s="148"/>
      <c r="I754" s="148"/>
      <c r="J754" s="98" t="s">
        <v>2104</v>
      </c>
      <c r="K754" s="105" t="str">
        <f>_xlfn.XLOOKUP(L754,'99_マスタ'!$D$5:$D$18,'99_マスタ'!$C$5:$C$18,"")</f>
        <v>03_会社運営</v>
      </c>
      <c r="L754" s="105" t="s">
        <v>2836</v>
      </c>
      <c r="M754" s="83" t="s">
        <v>535</v>
      </c>
      <c r="N754" s="54" t="s">
        <v>139</v>
      </c>
      <c r="O754" s="41" t="s">
        <v>536</v>
      </c>
      <c r="P754" s="41"/>
      <c r="Q754" s="41" t="s">
        <v>139</v>
      </c>
      <c r="R754" s="41" t="s">
        <v>537</v>
      </c>
      <c r="S754" s="41" t="s">
        <v>139</v>
      </c>
      <c r="T754" s="41" t="s">
        <v>139</v>
      </c>
      <c r="U754" s="41" t="s">
        <v>139</v>
      </c>
      <c r="V754" s="41" t="s">
        <v>139</v>
      </c>
      <c r="W754" s="53" t="s">
        <v>133</v>
      </c>
      <c r="X754" s="54" t="s">
        <v>139</v>
      </c>
      <c r="Y754" s="54" t="s">
        <v>139</v>
      </c>
      <c r="Z754" s="54" t="s">
        <v>139</v>
      </c>
      <c r="AA754" s="54" t="s">
        <v>139</v>
      </c>
      <c r="AB754" s="55"/>
      <c r="AC754" s="56"/>
      <c r="AD754" s="56"/>
      <c r="AE754" s="57"/>
      <c r="AF754" s="56"/>
      <c r="AG754" s="56"/>
      <c r="AH754" s="56"/>
      <c r="AI754" s="3" t="s">
        <v>1583</v>
      </c>
    </row>
    <row r="755" spans="1:35" ht="40.5">
      <c r="A755" s="144">
        <f t="shared" si="11"/>
        <v>753</v>
      </c>
      <c r="B755" s="148"/>
      <c r="C755" s="148"/>
      <c r="D755" s="148"/>
      <c r="E755" s="148"/>
      <c r="F755" s="148"/>
      <c r="G755" s="148"/>
      <c r="H755" s="148"/>
      <c r="I755" s="148"/>
      <c r="J755" s="98" t="s">
        <v>2104</v>
      </c>
      <c r="K755" s="105" t="str">
        <f>_xlfn.XLOOKUP(L755,'99_マスタ'!$D$5:$D$18,'99_マスタ'!$C$5:$C$18,"")</f>
        <v>03_会社運営</v>
      </c>
      <c r="L755" s="105" t="s">
        <v>2836</v>
      </c>
      <c r="M755" s="105" t="s">
        <v>1383</v>
      </c>
      <c r="N755" s="126" t="s">
        <v>1384</v>
      </c>
      <c r="O755" s="40" t="s">
        <v>1385</v>
      </c>
      <c r="P755" s="40"/>
      <c r="Q755" s="40" t="s">
        <v>139</v>
      </c>
      <c r="R755" s="41" t="s">
        <v>139</v>
      </c>
      <c r="S755" s="41" t="s">
        <v>139</v>
      </c>
      <c r="T755" s="41" t="s">
        <v>139</v>
      </c>
      <c r="U755" s="41" t="s">
        <v>1386</v>
      </c>
      <c r="V755" s="41" t="s">
        <v>139</v>
      </c>
      <c r="W755" s="43" t="s">
        <v>139</v>
      </c>
      <c r="X755" s="41" t="s">
        <v>139</v>
      </c>
      <c r="Y755" s="41" t="s">
        <v>139</v>
      </c>
      <c r="Z755" s="41" t="s">
        <v>806</v>
      </c>
      <c r="AA755" s="41" t="s">
        <v>139</v>
      </c>
      <c r="AB755" s="44"/>
      <c r="AC755" s="45"/>
      <c r="AD755" s="45"/>
      <c r="AE755" s="46"/>
      <c r="AF755" s="45"/>
      <c r="AG755" s="45"/>
      <c r="AH755" s="45"/>
      <c r="AI755" s="3" t="s">
        <v>1583</v>
      </c>
    </row>
    <row r="756" spans="1:35" ht="27">
      <c r="A756" s="144">
        <f t="shared" si="11"/>
        <v>754</v>
      </c>
      <c r="B756" s="148"/>
      <c r="C756" s="148"/>
      <c r="D756" s="148"/>
      <c r="E756" s="148"/>
      <c r="F756" s="148"/>
      <c r="G756" s="148"/>
      <c r="H756" s="148"/>
      <c r="I756" s="148"/>
      <c r="J756" s="98" t="s">
        <v>2104</v>
      </c>
      <c r="K756" s="105" t="str">
        <f>_xlfn.XLOOKUP(L756,'99_マスタ'!$D$5:$D$18,'99_マスタ'!$C$5:$C$18,"")</f>
        <v>03_会社運営</v>
      </c>
      <c r="L756" s="105" t="s">
        <v>2836</v>
      </c>
      <c r="M756" s="100" t="s">
        <v>3219</v>
      </c>
      <c r="N756" s="126" t="s">
        <v>3220</v>
      </c>
      <c r="O756" s="40" t="s">
        <v>1051</v>
      </c>
      <c r="P756" s="40"/>
      <c r="Q756" s="40" t="s">
        <v>139</v>
      </c>
      <c r="R756" s="41" t="s">
        <v>139</v>
      </c>
      <c r="S756" s="41" t="s">
        <v>139</v>
      </c>
      <c r="T756" s="41" t="s">
        <v>139</v>
      </c>
      <c r="U756" s="41" t="s">
        <v>139</v>
      </c>
      <c r="V756" s="41" t="s">
        <v>1052</v>
      </c>
      <c r="W756" s="43" t="s">
        <v>139</v>
      </c>
      <c r="X756" s="41" t="s">
        <v>139</v>
      </c>
      <c r="Y756" s="41" t="s">
        <v>139</v>
      </c>
      <c r="Z756" s="41" t="s">
        <v>139</v>
      </c>
      <c r="AA756" s="41" t="s">
        <v>614</v>
      </c>
      <c r="AB756" s="44"/>
      <c r="AC756" s="45"/>
      <c r="AD756" s="45"/>
      <c r="AE756" s="46"/>
      <c r="AF756" s="45"/>
      <c r="AG756" s="45"/>
      <c r="AH756" s="45"/>
      <c r="AI756" s="3" t="s">
        <v>1583</v>
      </c>
    </row>
    <row r="757" spans="1:35" ht="27">
      <c r="A757" s="144">
        <f t="shared" si="11"/>
        <v>755</v>
      </c>
      <c r="B757" s="148"/>
      <c r="C757" s="148"/>
      <c r="D757" s="148"/>
      <c r="E757" s="148"/>
      <c r="F757" s="148"/>
      <c r="G757" s="148"/>
      <c r="H757" s="148"/>
      <c r="I757" s="148"/>
      <c r="J757" s="98" t="s">
        <v>2104</v>
      </c>
      <c r="K757" s="105" t="str">
        <f>_xlfn.XLOOKUP(L757,'99_マスタ'!$D$5:$D$18,'99_マスタ'!$C$5:$C$18,"")</f>
        <v>03_会社運営</v>
      </c>
      <c r="L757" s="105" t="s">
        <v>2836</v>
      </c>
      <c r="M757" s="100" t="s">
        <v>1053</v>
      </c>
      <c r="N757" s="126" t="s">
        <v>139</v>
      </c>
      <c r="O757" s="40" t="s">
        <v>1054</v>
      </c>
      <c r="P757" s="40"/>
      <c r="Q757" s="40" t="s">
        <v>139</v>
      </c>
      <c r="R757" s="41" t="s">
        <v>139</v>
      </c>
      <c r="S757" s="41" t="s">
        <v>139</v>
      </c>
      <c r="T757" s="41" t="s">
        <v>139</v>
      </c>
      <c r="U757" s="41" t="s">
        <v>139</v>
      </c>
      <c r="V757" s="41" t="s">
        <v>1055</v>
      </c>
      <c r="W757" s="43" t="s">
        <v>139</v>
      </c>
      <c r="X757" s="41" t="s">
        <v>139</v>
      </c>
      <c r="Y757" s="41" t="s">
        <v>139</v>
      </c>
      <c r="Z757" s="41" t="s">
        <v>139</v>
      </c>
      <c r="AA757" s="41" t="s">
        <v>614</v>
      </c>
      <c r="AB757" s="44"/>
      <c r="AC757" s="45"/>
      <c r="AD757" s="45"/>
      <c r="AE757" s="46"/>
      <c r="AF757" s="45"/>
      <c r="AG757" s="45"/>
      <c r="AH757" s="45"/>
      <c r="AI757" s="3" t="s">
        <v>1583</v>
      </c>
    </row>
    <row r="758" spans="1:35">
      <c r="A758" s="144">
        <f t="shared" si="11"/>
        <v>756</v>
      </c>
      <c r="B758" s="148"/>
      <c r="C758" s="148"/>
      <c r="D758" s="148"/>
      <c r="E758" s="148"/>
      <c r="F758" s="148"/>
      <c r="G758" s="148"/>
      <c r="H758" s="148"/>
      <c r="I758" s="148"/>
      <c r="J758" s="98" t="s">
        <v>2104</v>
      </c>
      <c r="K758" s="105" t="str">
        <f>_xlfn.XLOOKUP(L758,'99_マスタ'!$D$5:$D$18,'99_マスタ'!$C$5:$C$18,"")</f>
        <v>03_会社運営</v>
      </c>
      <c r="L758" s="105" t="s">
        <v>2836</v>
      </c>
      <c r="M758" s="83" t="s">
        <v>3228</v>
      </c>
      <c r="N758" s="54" t="s">
        <v>3229</v>
      </c>
      <c r="O758" s="41" t="s">
        <v>519</v>
      </c>
      <c r="P758" s="41"/>
      <c r="Q758" s="41" t="s">
        <v>139</v>
      </c>
      <c r="R758" s="41" t="s">
        <v>520</v>
      </c>
      <c r="S758" s="41" t="s">
        <v>139</v>
      </c>
      <c r="T758" s="41" t="s">
        <v>139</v>
      </c>
      <c r="U758" s="41" t="s">
        <v>139</v>
      </c>
      <c r="V758" s="41" t="s">
        <v>139</v>
      </c>
      <c r="W758" s="53" t="s">
        <v>410</v>
      </c>
      <c r="X758" s="54" t="s">
        <v>139</v>
      </c>
      <c r="Y758" s="54" t="s">
        <v>139</v>
      </c>
      <c r="Z758" s="54" t="s">
        <v>139</v>
      </c>
      <c r="AA758" s="54" t="s">
        <v>139</v>
      </c>
      <c r="AB758" s="55"/>
      <c r="AC758" s="56"/>
      <c r="AD758" s="56"/>
      <c r="AE758" s="57"/>
      <c r="AF758" s="56"/>
      <c r="AG758" s="56"/>
      <c r="AH758" s="56"/>
      <c r="AI758" s="3" t="s">
        <v>1583</v>
      </c>
    </row>
    <row r="759" spans="1:35">
      <c r="A759" s="144">
        <f t="shared" si="11"/>
        <v>757</v>
      </c>
      <c r="B759" s="148"/>
      <c r="C759" s="148"/>
      <c r="D759" s="148"/>
      <c r="E759" s="148"/>
      <c r="F759" s="148"/>
      <c r="G759" s="148"/>
      <c r="H759" s="148"/>
      <c r="I759" s="148"/>
      <c r="J759" s="98" t="s">
        <v>2104</v>
      </c>
      <c r="K759" s="105" t="str">
        <f>_xlfn.XLOOKUP(L759,'99_マスタ'!$D$5:$D$18,'99_マスタ'!$C$5:$C$18,"")</f>
        <v>03_会社運営</v>
      </c>
      <c r="L759" s="105" t="s">
        <v>2836</v>
      </c>
      <c r="M759" s="83" t="s">
        <v>552</v>
      </c>
      <c r="N759" s="54" t="s">
        <v>139</v>
      </c>
      <c r="O759" s="41" t="s">
        <v>553</v>
      </c>
      <c r="P759" s="41"/>
      <c r="Q759" s="41" t="s">
        <v>139</v>
      </c>
      <c r="R759" s="41" t="s">
        <v>554</v>
      </c>
      <c r="S759" s="41" t="s">
        <v>139</v>
      </c>
      <c r="T759" s="41" t="s">
        <v>139</v>
      </c>
      <c r="U759" s="41" t="s">
        <v>139</v>
      </c>
      <c r="V759" s="41" t="s">
        <v>139</v>
      </c>
      <c r="W759" s="53" t="s">
        <v>435</v>
      </c>
      <c r="X759" s="54" t="s">
        <v>139</v>
      </c>
      <c r="Y759" s="54" t="s">
        <v>139</v>
      </c>
      <c r="Z759" s="54" t="s">
        <v>139</v>
      </c>
      <c r="AA759" s="54" t="s">
        <v>139</v>
      </c>
      <c r="AB759" s="55"/>
      <c r="AC759" s="56"/>
      <c r="AD759" s="56"/>
      <c r="AE759" s="57"/>
      <c r="AF759" s="56"/>
      <c r="AG759" s="56"/>
      <c r="AH759" s="56"/>
      <c r="AI759" s="3" t="s">
        <v>1583</v>
      </c>
    </row>
    <row r="760" spans="1:35">
      <c r="A760" s="144">
        <f t="shared" si="11"/>
        <v>758</v>
      </c>
      <c r="B760" s="148"/>
      <c r="C760" s="148"/>
      <c r="D760" s="148"/>
      <c r="E760" s="148"/>
      <c r="F760" s="148"/>
      <c r="G760" s="148"/>
      <c r="H760" s="148"/>
      <c r="I760" s="148"/>
      <c r="J760" s="98" t="s">
        <v>2104</v>
      </c>
      <c r="K760" s="105" t="str">
        <f>_xlfn.XLOOKUP(L760,'99_マスタ'!$D$5:$D$18,'99_マスタ'!$C$5:$C$18,"")</f>
        <v>03_会社運営</v>
      </c>
      <c r="L760" s="105" t="s">
        <v>2836</v>
      </c>
      <c r="M760" s="83" t="s">
        <v>545</v>
      </c>
      <c r="N760" s="54" t="s">
        <v>139</v>
      </c>
      <c r="O760" s="41" t="s">
        <v>546</v>
      </c>
      <c r="P760" s="41"/>
      <c r="Q760" s="41" t="s">
        <v>139</v>
      </c>
      <c r="R760" s="41" t="s">
        <v>547</v>
      </c>
      <c r="S760" s="41" t="s">
        <v>139</v>
      </c>
      <c r="T760" s="41" t="s">
        <v>139</v>
      </c>
      <c r="U760" s="41" t="s">
        <v>139</v>
      </c>
      <c r="V760" s="41" t="s">
        <v>139</v>
      </c>
      <c r="W760" s="53" t="s">
        <v>218</v>
      </c>
      <c r="X760" s="54" t="s">
        <v>139</v>
      </c>
      <c r="Y760" s="54" t="s">
        <v>139</v>
      </c>
      <c r="Z760" s="54" t="s">
        <v>139</v>
      </c>
      <c r="AA760" s="54" t="s">
        <v>139</v>
      </c>
      <c r="AB760" s="55"/>
      <c r="AC760" s="56"/>
      <c r="AD760" s="56"/>
      <c r="AE760" s="57"/>
      <c r="AF760" s="56"/>
      <c r="AG760" s="56"/>
      <c r="AH760" s="56"/>
      <c r="AI760" s="3" t="s">
        <v>1583</v>
      </c>
    </row>
    <row r="761" spans="1:35">
      <c r="A761" s="144">
        <f t="shared" si="11"/>
        <v>759</v>
      </c>
      <c r="B761" s="148"/>
      <c r="C761" s="148"/>
      <c r="D761" s="148"/>
      <c r="E761" s="148"/>
      <c r="F761" s="148"/>
      <c r="G761" s="148"/>
      <c r="H761" s="148"/>
      <c r="I761" s="148"/>
      <c r="J761" s="98" t="s">
        <v>2104</v>
      </c>
      <c r="K761" s="105" t="str">
        <f>_xlfn.XLOOKUP(L761,'99_マスタ'!$D$5:$D$18,'99_マスタ'!$C$5:$C$18,"")</f>
        <v>03_会社運営</v>
      </c>
      <c r="L761" s="105" t="s">
        <v>2836</v>
      </c>
      <c r="M761" s="83" t="s">
        <v>3230</v>
      </c>
      <c r="N761" s="54" t="s">
        <v>3231</v>
      </c>
      <c r="O761" s="41" t="s">
        <v>530</v>
      </c>
      <c r="P761" s="41"/>
      <c r="Q761" s="41" t="s">
        <v>139</v>
      </c>
      <c r="R761" s="41" t="s">
        <v>503</v>
      </c>
      <c r="S761" s="41" t="s">
        <v>139</v>
      </c>
      <c r="T761" s="41" t="s">
        <v>139</v>
      </c>
      <c r="U761" s="41" t="s">
        <v>139</v>
      </c>
      <c r="V761" s="41" t="s">
        <v>139</v>
      </c>
      <c r="W761" s="53" t="s">
        <v>531</v>
      </c>
      <c r="X761" s="54" t="s">
        <v>139</v>
      </c>
      <c r="Y761" s="54" t="s">
        <v>139</v>
      </c>
      <c r="Z761" s="54" t="s">
        <v>139</v>
      </c>
      <c r="AA761" s="54" t="s">
        <v>139</v>
      </c>
      <c r="AB761" s="55"/>
      <c r="AC761" s="56"/>
      <c r="AD761" s="56"/>
      <c r="AE761" s="57"/>
      <c r="AF761" s="56"/>
      <c r="AG761" s="56"/>
      <c r="AH761" s="56"/>
      <c r="AI761" s="3" t="s">
        <v>1583</v>
      </c>
    </row>
    <row r="762" spans="1:35" ht="40.5">
      <c r="A762" s="144">
        <f t="shared" si="11"/>
        <v>760</v>
      </c>
      <c r="B762" s="148"/>
      <c r="C762" s="148"/>
      <c r="D762" s="148"/>
      <c r="E762" s="148"/>
      <c r="F762" s="148"/>
      <c r="G762" s="148"/>
      <c r="H762" s="148"/>
      <c r="I762" s="148"/>
      <c r="J762" s="98" t="s">
        <v>2104</v>
      </c>
      <c r="K762" s="105" t="str">
        <f>_xlfn.XLOOKUP(L762,'99_マスタ'!$D$5:$D$18,'99_マスタ'!$C$5:$C$18,"")</f>
        <v>03_会社運営</v>
      </c>
      <c r="L762" s="105" t="s">
        <v>2836</v>
      </c>
      <c r="M762" s="107" t="s">
        <v>3225</v>
      </c>
      <c r="N762" s="126" t="s">
        <v>3226</v>
      </c>
      <c r="O762" s="40" t="s">
        <v>624</v>
      </c>
      <c r="P762" s="40"/>
      <c r="Q762" s="40" t="s">
        <v>139</v>
      </c>
      <c r="R762" s="41" t="s">
        <v>139</v>
      </c>
      <c r="S762" s="41" t="s">
        <v>139</v>
      </c>
      <c r="T762" s="41" t="s">
        <v>139</v>
      </c>
      <c r="U762" s="41" t="s">
        <v>625</v>
      </c>
      <c r="V762" s="41" t="s">
        <v>139</v>
      </c>
      <c r="W762" s="43" t="s">
        <v>139</v>
      </c>
      <c r="X762" s="41" t="s">
        <v>139</v>
      </c>
      <c r="Y762" s="41" t="s">
        <v>139</v>
      </c>
      <c r="Z762" s="41" t="s">
        <v>532</v>
      </c>
      <c r="AA762" s="41" t="s">
        <v>139</v>
      </c>
      <c r="AB762" s="44"/>
      <c r="AC762" s="45"/>
      <c r="AD762" s="45"/>
      <c r="AE762" s="46"/>
      <c r="AF762" s="45"/>
      <c r="AG762" s="45"/>
      <c r="AH762" s="45"/>
      <c r="AI762" s="3" t="s">
        <v>1583</v>
      </c>
    </row>
    <row r="763" spans="1:35">
      <c r="A763" s="144">
        <f t="shared" si="11"/>
        <v>761</v>
      </c>
      <c r="B763" s="148"/>
      <c r="C763" s="148"/>
      <c r="D763" s="148"/>
      <c r="E763" s="148"/>
      <c r="F763" s="148"/>
      <c r="G763" s="148"/>
      <c r="H763" s="148"/>
      <c r="I763" s="148"/>
      <c r="J763" s="98" t="s">
        <v>2104</v>
      </c>
      <c r="K763" s="105" t="str">
        <f>_xlfn.XLOOKUP(L763,'99_マスタ'!$D$5:$D$18,'99_マスタ'!$C$5:$C$18,"")</f>
        <v>03_会社運営</v>
      </c>
      <c r="L763" s="105" t="s">
        <v>2836</v>
      </c>
      <c r="M763" s="83" t="s">
        <v>558</v>
      </c>
      <c r="N763" s="54" t="s">
        <v>139</v>
      </c>
      <c r="O763" s="41" t="s">
        <v>559</v>
      </c>
      <c r="P763" s="41"/>
      <c r="Q763" s="41" t="s">
        <v>139</v>
      </c>
      <c r="R763" s="41" t="s">
        <v>560</v>
      </c>
      <c r="S763" s="41" t="s">
        <v>139</v>
      </c>
      <c r="T763" s="41" t="s">
        <v>139</v>
      </c>
      <c r="U763" s="41" t="s">
        <v>139</v>
      </c>
      <c r="V763" s="41" t="s">
        <v>139</v>
      </c>
      <c r="W763" s="53" t="s">
        <v>218</v>
      </c>
      <c r="X763" s="54" t="s">
        <v>139</v>
      </c>
      <c r="Y763" s="54" t="s">
        <v>139</v>
      </c>
      <c r="Z763" s="54" t="s">
        <v>139</v>
      </c>
      <c r="AA763" s="54" t="s">
        <v>139</v>
      </c>
      <c r="AB763" s="55"/>
      <c r="AC763" s="56"/>
      <c r="AD763" s="56"/>
      <c r="AE763" s="57"/>
      <c r="AF763" s="56"/>
      <c r="AG763" s="56"/>
      <c r="AH763" s="56"/>
      <c r="AI763" s="3" t="s">
        <v>1583</v>
      </c>
    </row>
    <row r="764" spans="1:35">
      <c r="A764" s="144">
        <f t="shared" si="11"/>
        <v>762</v>
      </c>
      <c r="B764" s="148"/>
      <c r="C764" s="148"/>
      <c r="D764" s="148"/>
      <c r="E764" s="148"/>
      <c r="F764" s="148"/>
      <c r="G764" s="148"/>
      <c r="H764" s="148"/>
      <c r="I764" s="148"/>
      <c r="J764" s="98" t="s">
        <v>2104</v>
      </c>
      <c r="K764" s="105" t="str">
        <f>_xlfn.XLOOKUP(L764,'99_マスタ'!$D$5:$D$18,'99_マスタ'!$C$5:$C$18,"")</f>
        <v>03_会社運営</v>
      </c>
      <c r="L764" s="105" t="s">
        <v>2836</v>
      </c>
      <c r="M764" s="83" t="s">
        <v>548</v>
      </c>
      <c r="N764" s="54" t="s">
        <v>139</v>
      </c>
      <c r="O764" s="41" t="s">
        <v>549</v>
      </c>
      <c r="P764" s="41"/>
      <c r="Q764" s="41" t="s">
        <v>139</v>
      </c>
      <c r="R764" s="41" t="s">
        <v>550</v>
      </c>
      <c r="S764" s="41" t="s">
        <v>139</v>
      </c>
      <c r="T764" s="41" t="s">
        <v>139</v>
      </c>
      <c r="U764" s="41" t="s">
        <v>139</v>
      </c>
      <c r="V764" s="41" t="s">
        <v>139</v>
      </c>
      <c r="W764" s="53" t="s">
        <v>551</v>
      </c>
      <c r="X764" s="54" t="s">
        <v>139</v>
      </c>
      <c r="Y764" s="54" t="s">
        <v>139</v>
      </c>
      <c r="Z764" s="54" t="s">
        <v>139</v>
      </c>
      <c r="AA764" s="54" t="s">
        <v>139</v>
      </c>
      <c r="AB764" s="55"/>
      <c r="AC764" s="56"/>
      <c r="AD764" s="56"/>
      <c r="AE764" s="57"/>
      <c r="AF764" s="56"/>
      <c r="AG764" s="56"/>
      <c r="AH764" s="56"/>
      <c r="AI764" s="3" t="s">
        <v>1583</v>
      </c>
    </row>
    <row r="765" spans="1:35">
      <c r="A765" s="144">
        <f t="shared" si="11"/>
        <v>763</v>
      </c>
      <c r="B765" s="148"/>
      <c r="C765" s="148"/>
      <c r="D765" s="148"/>
      <c r="E765" s="148"/>
      <c r="F765" s="148"/>
      <c r="G765" s="148"/>
      <c r="H765" s="148"/>
      <c r="I765" s="148"/>
      <c r="J765" s="98" t="s">
        <v>2104</v>
      </c>
      <c r="K765" s="105" t="str">
        <f>_xlfn.XLOOKUP(L765,'99_マスタ'!$D$5:$D$18,'99_マスタ'!$C$5:$C$18,"")</f>
        <v>03_会社運営</v>
      </c>
      <c r="L765" s="105" t="s">
        <v>2836</v>
      </c>
      <c r="M765" s="83" t="s">
        <v>555</v>
      </c>
      <c r="N765" s="54" t="s">
        <v>139</v>
      </c>
      <c r="O765" s="41" t="s">
        <v>556</v>
      </c>
      <c r="P765" s="41"/>
      <c r="Q765" s="41" t="s">
        <v>139</v>
      </c>
      <c r="R765" s="41" t="s">
        <v>557</v>
      </c>
      <c r="S765" s="41" t="s">
        <v>139</v>
      </c>
      <c r="T765" s="41" t="s">
        <v>139</v>
      </c>
      <c r="U765" s="41" t="s">
        <v>139</v>
      </c>
      <c r="V765" s="41" t="s">
        <v>139</v>
      </c>
      <c r="W765" s="53" t="s">
        <v>218</v>
      </c>
      <c r="X765" s="54" t="s">
        <v>139</v>
      </c>
      <c r="Y765" s="54" t="s">
        <v>139</v>
      </c>
      <c r="Z765" s="54" t="s">
        <v>139</v>
      </c>
      <c r="AA765" s="54" t="s">
        <v>139</v>
      </c>
      <c r="AB765" s="55"/>
      <c r="AC765" s="56"/>
      <c r="AD765" s="56"/>
      <c r="AE765" s="57"/>
      <c r="AF765" s="56"/>
      <c r="AG765" s="56"/>
      <c r="AH765" s="56"/>
      <c r="AI765" s="3" t="s">
        <v>1583</v>
      </c>
    </row>
    <row r="766" spans="1:35" ht="67.5">
      <c r="A766" s="144">
        <f t="shared" si="11"/>
        <v>764</v>
      </c>
      <c r="B766" s="148"/>
      <c r="C766" s="148"/>
      <c r="D766" s="148"/>
      <c r="E766" s="148"/>
      <c r="F766" s="148"/>
      <c r="G766" s="148"/>
      <c r="H766" s="148"/>
      <c r="I766" s="148"/>
      <c r="J766" s="98" t="s">
        <v>2104</v>
      </c>
      <c r="K766" s="105" t="str">
        <f>_xlfn.XLOOKUP(L766,'99_マスタ'!$D$5:$D$18,'99_マスタ'!$C$5:$C$18,"")</f>
        <v>03_会社運営</v>
      </c>
      <c r="L766" s="105" t="s">
        <v>2836</v>
      </c>
      <c r="M766" s="107" t="s">
        <v>3232</v>
      </c>
      <c r="N766" s="126" t="s">
        <v>3233</v>
      </c>
      <c r="O766" s="40" t="s">
        <v>3130</v>
      </c>
      <c r="P766" s="40"/>
      <c r="Q766" s="40" t="s">
        <v>139</v>
      </c>
      <c r="R766" s="41" t="s">
        <v>139</v>
      </c>
      <c r="S766" s="41" t="s">
        <v>139</v>
      </c>
      <c r="T766" s="41" t="s">
        <v>139</v>
      </c>
      <c r="U766" s="41" t="s">
        <v>590</v>
      </c>
      <c r="V766" s="41" t="s">
        <v>139</v>
      </c>
      <c r="W766" s="43" t="s">
        <v>139</v>
      </c>
      <c r="X766" s="41" t="s">
        <v>139</v>
      </c>
      <c r="Y766" s="41" t="s">
        <v>139</v>
      </c>
      <c r="Z766" s="41" t="s">
        <v>591</v>
      </c>
      <c r="AA766" s="41" t="s">
        <v>139</v>
      </c>
      <c r="AB766" s="44"/>
      <c r="AC766" s="45"/>
      <c r="AD766" s="45"/>
      <c r="AE766" s="46"/>
      <c r="AF766" s="45"/>
      <c r="AG766" s="45"/>
      <c r="AH766" s="45"/>
      <c r="AI766" s="3" t="s">
        <v>1583</v>
      </c>
    </row>
    <row r="767" spans="1:35" ht="40.5">
      <c r="A767" s="144">
        <f t="shared" si="11"/>
        <v>765</v>
      </c>
      <c r="B767" s="148"/>
      <c r="C767" s="148"/>
      <c r="D767" s="148"/>
      <c r="E767" s="148"/>
      <c r="F767" s="148"/>
      <c r="G767" s="148"/>
      <c r="H767" s="148"/>
      <c r="I767" s="148"/>
      <c r="J767" s="98" t="s">
        <v>2104</v>
      </c>
      <c r="K767" s="105" t="str">
        <f>_xlfn.XLOOKUP(L767,'99_マスタ'!$D$5:$D$18,'99_マスタ'!$C$5:$C$18,"")</f>
        <v>03_会社運営</v>
      </c>
      <c r="L767" s="105" t="s">
        <v>2836</v>
      </c>
      <c r="M767" s="105" t="s">
        <v>3227</v>
      </c>
      <c r="N767" s="126" t="s">
        <v>831</v>
      </c>
      <c r="O767" s="40" t="s">
        <v>832</v>
      </c>
      <c r="P767" s="40"/>
      <c r="Q767" s="40" t="s">
        <v>833</v>
      </c>
      <c r="R767" s="41" t="s">
        <v>139</v>
      </c>
      <c r="S767" s="41" t="s">
        <v>139</v>
      </c>
      <c r="T767" s="41" t="s">
        <v>139</v>
      </c>
      <c r="U767" s="41" t="s">
        <v>2855</v>
      </c>
      <c r="V767" s="41" t="s">
        <v>139</v>
      </c>
      <c r="W767" s="43" t="s">
        <v>139</v>
      </c>
      <c r="X767" s="41" t="s">
        <v>139</v>
      </c>
      <c r="Y767" s="41" t="s">
        <v>139</v>
      </c>
      <c r="Z767" s="41" t="s">
        <v>830</v>
      </c>
      <c r="AA767" s="41" t="s">
        <v>139</v>
      </c>
      <c r="AB767" s="44"/>
      <c r="AC767" s="45"/>
      <c r="AD767" s="45"/>
      <c r="AE767" s="46"/>
      <c r="AF767" s="45"/>
      <c r="AG767" s="45"/>
      <c r="AH767" s="45"/>
      <c r="AI767" s="3" t="s">
        <v>1583</v>
      </c>
    </row>
    <row r="768" spans="1:35">
      <c r="A768" s="144">
        <f t="shared" si="11"/>
        <v>766</v>
      </c>
      <c r="B768" s="148"/>
      <c r="C768" s="148"/>
      <c r="D768" s="148"/>
      <c r="E768" s="148"/>
      <c r="F768" s="148"/>
      <c r="G768" s="148"/>
      <c r="H768" s="148"/>
      <c r="I768" s="148"/>
      <c r="J768" s="98" t="s">
        <v>2104</v>
      </c>
      <c r="K768" s="105" t="str">
        <f>_xlfn.XLOOKUP(L768,'99_マスタ'!$D$5:$D$18,'99_マスタ'!$C$5:$C$18,"")</f>
        <v>03_会社運営</v>
      </c>
      <c r="L768" s="105" t="s">
        <v>2836</v>
      </c>
      <c r="M768" s="83" t="s">
        <v>416</v>
      </c>
      <c r="N768" s="54" t="s">
        <v>139</v>
      </c>
      <c r="O768" s="41" t="s">
        <v>533</v>
      </c>
      <c r="P768" s="41"/>
      <c r="Q768" s="41" t="s">
        <v>139</v>
      </c>
      <c r="R768" s="41" t="s">
        <v>534</v>
      </c>
      <c r="S768" s="41" t="s">
        <v>139</v>
      </c>
      <c r="T768" s="41" t="s">
        <v>139</v>
      </c>
      <c r="U768" s="41" t="s">
        <v>139</v>
      </c>
      <c r="V768" s="41" t="s">
        <v>139</v>
      </c>
      <c r="W768" s="53" t="s">
        <v>133</v>
      </c>
      <c r="X768" s="54" t="s">
        <v>139</v>
      </c>
      <c r="Y768" s="54" t="s">
        <v>139</v>
      </c>
      <c r="Z768" s="54" t="s">
        <v>139</v>
      </c>
      <c r="AA768" s="54" t="s">
        <v>139</v>
      </c>
      <c r="AB768" s="55"/>
      <c r="AC768" s="56"/>
      <c r="AD768" s="56"/>
      <c r="AE768" s="57"/>
      <c r="AF768" s="56"/>
      <c r="AG768" s="56"/>
      <c r="AH768" s="56"/>
      <c r="AI768" s="3" t="s">
        <v>1583</v>
      </c>
    </row>
    <row r="769" spans="1:35" ht="40.5">
      <c r="A769" s="144">
        <f t="shared" si="11"/>
        <v>767</v>
      </c>
      <c r="B769" s="148"/>
      <c r="C769" s="148"/>
      <c r="D769" s="148"/>
      <c r="E769" s="148"/>
      <c r="F769" s="148"/>
      <c r="G769" s="148"/>
      <c r="H769" s="148"/>
      <c r="I769" s="148"/>
      <c r="J769" s="98" t="s">
        <v>2104</v>
      </c>
      <c r="K769" s="99" t="str">
        <f>_xlfn.XLOOKUP(L769,'99_マスタ'!$D$5:$D$18,'99_マスタ'!$C$5:$C$18,"")</f>
        <v>03_会社運営</v>
      </c>
      <c r="L769" s="99" t="s">
        <v>2836</v>
      </c>
      <c r="M769" s="99" t="s">
        <v>632</v>
      </c>
      <c r="N769" s="126" t="s">
        <v>139</v>
      </c>
      <c r="O769" s="40" t="s">
        <v>1632</v>
      </c>
      <c r="P769" s="40"/>
      <c r="Q769" s="40" t="s">
        <v>139</v>
      </c>
      <c r="R769" s="41" t="s">
        <v>139</v>
      </c>
      <c r="S769" s="41" t="s">
        <v>139</v>
      </c>
      <c r="T769" s="41" t="s">
        <v>139</v>
      </c>
      <c r="U769" s="41" t="s">
        <v>633</v>
      </c>
      <c r="V769" s="41" t="s">
        <v>139</v>
      </c>
      <c r="W769" s="43" t="s">
        <v>139</v>
      </c>
      <c r="X769" s="41" t="s">
        <v>139</v>
      </c>
      <c r="Y769" s="41" t="s">
        <v>139</v>
      </c>
      <c r="Z769" s="41" t="s">
        <v>532</v>
      </c>
      <c r="AA769" s="41" t="s">
        <v>139</v>
      </c>
      <c r="AB769" s="44"/>
      <c r="AC769" s="45"/>
      <c r="AD769" s="45"/>
      <c r="AE769" s="46"/>
      <c r="AF769" s="45"/>
      <c r="AG769" s="45"/>
      <c r="AH769" s="45"/>
      <c r="AI769" s="3" t="s">
        <v>1583</v>
      </c>
    </row>
    <row r="770" spans="1:35" ht="40.5">
      <c r="A770" s="144">
        <f t="shared" si="11"/>
        <v>768</v>
      </c>
      <c r="B770" s="148"/>
      <c r="C770" s="148"/>
      <c r="D770" s="148"/>
      <c r="E770" s="148"/>
      <c r="F770" s="148"/>
      <c r="G770" s="148"/>
      <c r="H770" s="148"/>
      <c r="I770" s="148"/>
      <c r="J770" s="98" t="s">
        <v>2104</v>
      </c>
      <c r="K770" s="51" t="str">
        <f>_xlfn.XLOOKUP(L770,'99_マスタ'!$D$5:$D$18,'99_マスタ'!$C$5:$C$18,"")</f>
        <v>03_会社運営</v>
      </c>
      <c r="L770" s="114" t="s">
        <v>2836</v>
      </c>
      <c r="M770" s="114" t="s">
        <v>1342</v>
      </c>
      <c r="N770" s="126" t="s">
        <v>1343</v>
      </c>
      <c r="O770" s="40" t="s">
        <v>1344</v>
      </c>
      <c r="P770" s="40" t="s">
        <v>1345</v>
      </c>
      <c r="Q770" s="40" t="s">
        <v>139</v>
      </c>
      <c r="R770" s="41" t="s">
        <v>1346</v>
      </c>
      <c r="S770" s="41" t="s">
        <v>139</v>
      </c>
      <c r="T770" s="41" t="s">
        <v>139</v>
      </c>
      <c r="U770" s="41" t="s">
        <v>139</v>
      </c>
      <c r="V770" s="41" t="s">
        <v>139</v>
      </c>
      <c r="W770" s="43" t="s">
        <v>438</v>
      </c>
      <c r="X770" s="41" t="s">
        <v>139</v>
      </c>
      <c r="Y770" s="41" t="s">
        <v>139</v>
      </c>
      <c r="Z770" s="41" t="s">
        <v>139</v>
      </c>
      <c r="AA770" s="41" t="s">
        <v>139</v>
      </c>
      <c r="AB770" s="44"/>
      <c r="AC770" s="45"/>
      <c r="AD770" s="45"/>
      <c r="AE770" s="46"/>
      <c r="AF770" s="45"/>
      <c r="AG770" s="45"/>
      <c r="AH770" s="45"/>
      <c r="AI770" s="3" t="s">
        <v>1583</v>
      </c>
    </row>
    <row r="771" spans="1:35" ht="40.5">
      <c r="A771" s="144">
        <f t="shared" ref="A771:A793" si="12">ROW()-2</f>
        <v>769</v>
      </c>
      <c r="B771" s="148"/>
      <c r="C771" s="148"/>
      <c r="D771" s="148"/>
      <c r="E771" s="148"/>
      <c r="F771" s="148"/>
      <c r="G771" s="148"/>
      <c r="H771" s="148"/>
      <c r="I771" s="148"/>
      <c r="J771" s="98" t="s">
        <v>2104</v>
      </c>
      <c r="K771" s="105" t="str">
        <f>_xlfn.XLOOKUP(L771,'99_マスタ'!$D$5:$D$18,'99_マスタ'!$C$5:$C$18,"")</f>
        <v>03_会社運営</v>
      </c>
      <c r="L771" s="105" t="s">
        <v>2836</v>
      </c>
      <c r="M771" s="107" t="s">
        <v>602</v>
      </c>
      <c r="N771" s="126" t="s">
        <v>139</v>
      </c>
      <c r="O771" s="40" t="s">
        <v>603</v>
      </c>
      <c r="P771" s="40"/>
      <c r="Q771" s="40" t="s">
        <v>139</v>
      </c>
      <c r="R771" s="41" t="s">
        <v>139</v>
      </c>
      <c r="S771" s="41" t="s">
        <v>139</v>
      </c>
      <c r="T771" s="41" t="s">
        <v>139</v>
      </c>
      <c r="U771" s="41" t="s">
        <v>604</v>
      </c>
      <c r="V771" s="41" t="s">
        <v>139</v>
      </c>
      <c r="W771" s="43" t="s">
        <v>139</v>
      </c>
      <c r="X771" s="41" t="s">
        <v>139</v>
      </c>
      <c r="Y771" s="41" t="s">
        <v>139</v>
      </c>
      <c r="Z771" s="41" t="s">
        <v>532</v>
      </c>
      <c r="AA771" s="41" t="s">
        <v>139</v>
      </c>
      <c r="AB771" s="44"/>
      <c r="AC771" s="45"/>
      <c r="AD771" s="45"/>
      <c r="AE771" s="46"/>
      <c r="AF771" s="45"/>
      <c r="AG771" s="45"/>
      <c r="AH771" s="45"/>
      <c r="AI771" s="3" t="s">
        <v>1583</v>
      </c>
    </row>
    <row r="772" spans="1:35">
      <c r="A772" s="144">
        <f t="shared" si="12"/>
        <v>770</v>
      </c>
      <c r="B772" s="148"/>
      <c r="C772" s="148"/>
      <c r="D772" s="148"/>
      <c r="E772" s="148"/>
      <c r="F772" s="148"/>
      <c r="G772" s="148"/>
      <c r="H772" s="148"/>
      <c r="I772" s="148"/>
      <c r="J772" s="98" t="s">
        <v>2104</v>
      </c>
      <c r="K772" s="105" t="str">
        <f>_xlfn.XLOOKUP(L772,'99_マスタ'!$D$5:$D$18,'99_マスタ'!$C$5:$C$18,"")</f>
        <v>03_会社運営</v>
      </c>
      <c r="L772" s="105" t="s">
        <v>2836</v>
      </c>
      <c r="M772" s="83" t="s">
        <v>541</v>
      </c>
      <c r="N772" s="54" t="s">
        <v>542</v>
      </c>
      <c r="O772" s="41" t="s">
        <v>543</v>
      </c>
      <c r="P772" s="41"/>
      <c r="Q772" s="41" t="s">
        <v>139</v>
      </c>
      <c r="R772" s="41" t="s">
        <v>544</v>
      </c>
      <c r="S772" s="41" t="s">
        <v>139</v>
      </c>
      <c r="T772" s="41" t="s">
        <v>139</v>
      </c>
      <c r="U772" s="41" t="s">
        <v>139</v>
      </c>
      <c r="V772" s="41" t="s">
        <v>139</v>
      </c>
      <c r="W772" s="53" t="s">
        <v>410</v>
      </c>
      <c r="X772" s="54" t="s">
        <v>139</v>
      </c>
      <c r="Y772" s="54" t="s">
        <v>139</v>
      </c>
      <c r="Z772" s="54" t="s">
        <v>139</v>
      </c>
      <c r="AA772" s="54" t="s">
        <v>139</v>
      </c>
      <c r="AB772" s="55"/>
      <c r="AC772" s="56"/>
      <c r="AD772" s="56"/>
      <c r="AE772" s="57"/>
      <c r="AF772" s="56"/>
      <c r="AG772" s="56"/>
      <c r="AH772" s="56"/>
      <c r="AI772" s="3" t="s">
        <v>1583</v>
      </c>
    </row>
    <row r="773" spans="1:35" ht="27">
      <c r="A773" s="144">
        <f t="shared" si="12"/>
        <v>771</v>
      </c>
      <c r="B773" s="148"/>
      <c r="C773" s="148"/>
      <c r="D773" s="148"/>
      <c r="E773" s="148"/>
      <c r="F773" s="148"/>
      <c r="G773" s="148"/>
      <c r="H773" s="148"/>
      <c r="I773" s="148"/>
      <c r="J773" s="98" t="s">
        <v>2104</v>
      </c>
      <c r="K773" s="99" t="str">
        <f>_xlfn.XLOOKUP(L773,'99_マスタ'!$D$5:$D$18,'99_マスタ'!$C$5:$C$18,"")</f>
        <v>03_会社運営</v>
      </c>
      <c r="L773" s="99" t="s">
        <v>2836</v>
      </c>
      <c r="M773" s="99" t="s">
        <v>2235</v>
      </c>
      <c r="N773" s="126" t="s">
        <v>1637</v>
      </c>
      <c r="O773" s="40" t="s">
        <v>2236</v>
      </c>
      <c r="P773" s="40"/>
      <c r="Q773" s="41" t="s">
        <v>1637</v>
      </c>
      <c r="R773" s="41" t="s">
        <v>139</v>
      </c>
      <c r="S773" s="41" t="s">
        <v>139</v>
      </c>
      <c r="T773" s="41" t="s">
        <v>139</v>
      </c>
      <c r="U773" s="41" t="s">
        <v>2237</v>
      </c>
      <c r="V773" s="41" t="s">
        <v>139</v>
      </c>
      <c r="W773" s="43" t="s">
        <v>139</v>
      </c>
      <c r="X773" s="41" t="s">
        <v>139</v>
      </c>
      <c r="Y773" s="41" t="s">
        <v>139</v>
      </c>
      <c r="Z773" s="41" t="s">
        <v>2234</v>
      </c>
      <c r="AA773" s="41" t="s">
        <v>139</v>
      </c>
      <c r="AB773" s="44"/>
      <c r="AC773" s="45"/>
      <c r="AD773" s="45"/>
      <c r="AE773" s="46"/>
      <c r="AF773" s="45"/>
      <c r="AG773" s="45"/>
      <c r="AH773" s="45"/>
      <c r="AI773" s="3" t="s">
        <v>1583</v>
      </c>
    </row>
    <row r="774" spans="1:35">
      <c r="A774" s="144">
        <f t="shared" si="12"/>
        <v>772</v>
      </c>
      <c r="B774" s="148"/>
      <c r="C774" s="148"/>
      <c r="D774" s="148"/>
      <c r="E774" s="148"/>
      <c r="F774" s="148"/>
      <c r="G774" s="148"/>
      <c r="H774" s="148"/>
      <c r="I774" s="148"/>
      <c r="J774" s="98" t="s">
        <v>2104</v>
      </c>
      <c r="K774" s="100" t="str">
        <f>_xlfn.XLOOKUP(L774,'99_マスタ'!$D$5:$D$18,'99_マスタ'!$C$5:$C$18,"")</f>
        <v>03_会社運営</v>
      </c>
      <c r="L774" s="83" t="s">
        <v>2836</v>
      </c>
      <c r="M774" s="83" t="s">
        <v>538</v>
      </c>
      <c r="N774" s="54" t="s">
        <v>139</v>
      </c>
      <c r="O774" s="41" t="s">
        <v>539</v>
      </c>
      <c r="P774" s="41"/>
      <c r="Q774" s="41" t="s">
        <v>139</v>
      </c>
      <c r="R774" s="41" t="s">
        <v>540</v>
      </c>
      <c r="S774" s="41" t="s">
        <v>139</v>
      </c>
      <c r="T774" s="41" t="s">
        <v>139</v>
      </c>
      <c r="U774" s="41" t="s">
        <v>139</v>
      </c>
      <c r="V774" s="41" t="s">
        <v>139</v>
      </c>
      <c r="W774" s="53" t="s">
        <v>133</v>
      </c>
      <c r="X774" s="54" t="s">
        <v>139</v>
      </c>
      <c r="Y774" s="54" t="s">
        <v>139</v>
      </c>
      <c r="Z774" s="54" t="s">
        <v>139</v>
      </c>
      <c r="AA774" s="54" t="s">
        <v>139</v>
      </c>
      <c r="AB774" s="55"/>
      <c r="AC774" s="56"/>
      <c r="AD774" s="56"/>
      <c r="AE774" s="57"/>
      <c r="AF774" s="56"/>
      <c r="AG774" s="56"/>
      <c r="AH774" s="56"/>
      <c r="AI774" s="3" t="s">
        <v>1583</v>
      </c>
    </row>
    <row r="775" spans="1:35" ht="40.5">
      <c r="A775" s="144">
        <f t="shared" si="12"/>
        <v>773</v>
      </c>
      <c r="B775" s="148"/>
      <c r="C775" s="148"/>
      <c r="D775" s="148"/>
      <c r="E775" s="148"/>
      <c r="F775" s="148"/>
      <c r="G775" s="148"/>
      <c r="H775" s="148"/>
      <c r="I775" s="148"/>
      <c r="J775" s="98" t="s">
        <v>2104</v>
      </c>
      <c r="K775" s="105" t="str">
        <f>_xlfn.XLOOKUP(L775,'99_マスタ'!$D$5:$D$18,'99_マスタ'!$C$5:$C$18,"")</f>
        <v>03_会社運営</v>
      </c>
      <c r="L775" s="105" t="s">
        <v>2836</v>
      </c>
      <c r="M775" s="105" t="s">
        <v>3234</v>
      </c>
      <c r="N775" s="126" t="s">
        <v>995</v>
      </c>
      <c r="O775" s="40" t="s">
        <v>996</v>
      </c>
      <c r="P775" s="40"/>
      <c r="Q775" s="40" t="s">
        <v>139</v>
      </c>
      <c r="R775" s="41" t="s">
        <v>139</v>
      </c>
      <c r="S775" s="41" t="s">
        <v>139</v>
      </c>
      <c r="T775" s="41" t="s">
        <v>139</v>
      </c>
      <c r="U775" s="41" t="s">
        <v>997</v>
      </c>
      <c r="V775" s="41" t="s">
        <v>139</v>
      </c>
      <c r="W775" s="43" t="s">
        <v>139</v>
      </c>
      <c r="X775" s="41" t="s">
        <v>139</v>
      </c>
      <c r="Y775" s="41" t="s">
        <v>139</v>
      </c>
      <c r="Z775" s="41" t="s">
        <v>998</v>
      </c>
      <c r="AA775" s="41" t="s">
        <v>139</v>
      </c>
      <c r="AB775" s="44"/>
      <c r="AC775" s="45"/>
      <c r="AD775" s="45"/>
      <c r="AE775" s="46"/>
      <c r="AF775" s="45"/>
      <c r="AG775" s="45"/>
      <c r="AH775" s="45"/>
      <c r="AI775" s="3" t="s">
        <v>1583</v>
      </c>
    </row>
    <row r="776" spans="1:35">
      <c r="A776" s="144">
        <f t="shared" si="12"/>
        <v>774</v>
      </c>
      <c r="B776" s="148"/>
      <c r="C776" s="148"/>
      <c r="D776" s="148"/>
      <c r="E776" s="148"/>
      <c r="F776" s="148"/>
      <c r="G776" s="148"/>
      <c r="H776" s="148"/>
      <c r="I776" s="148"/>
      <c r="J776" s="98" t="s">
        <v>2104</v>
      </c>
      <c r="K776" s="100" t="str">
        <f>_xlfn.XLOOKUP(L776,'99_マスタ'!$D$5:$D$18,'99_マスタ'!$C$5:$C$18,"")</f>
        <v>03_会社運営</v>
      </c>
      <c r="L776" s="83" t="s">
        <v>2836</v>
      </c>
      <c r="M776" s="83" t="s">
        <v>295</v>
      </c>
      <c r="N776" s="54" t="s">
        <v>139</v>
      </c>
      <c r="O776" s="41" t="s">
        <v>524</v>
      </c>
      <c r="P776" s="41"/>
      <c r="Q776" s="41" t="s">
        <v>139</v>
      </c>
      <c r="R776" s="41" t="s">
        <v>525</v>
      </c>
      <c r="S776" s="41" t="s">
        <v>139</v>
      </c>
      <c r="T776" s="41" t="s">
        <v>139</v>
      </c>
      <c r="U776" s="41" t="s">
        <v>139</v>
      </c>
      <c r="V776" s="41" t="s">
        <v>139</v>
      </c>
      <c r="W776" s="53" t="s">
        <v>133</v>
      </c>
      <c r="X776" s="54" t="s">
        <v>139</v>
      </c>
      <c r="Y776" s="54" t="s">
        <v>139</v>
      </c>
      <c r="Z776" s="54" t="s">
        <v>139</v>
      </c>
      <c r="AA776" s="54" t="s">
        <v>139</v>
      </c>
      <c r="AB776" s="55"/>
      <c r="AC776" s="56"/>
      <c r="AD776" s="56"/>
      <c r="AE776" s="57"/>
      <c r="AF776" s="56"/>
      <c r="AG776" s="56"/>
      <c r="AH776" s="56"/>
      <c r="AI776" s="3" t="s">
        <v>1583</v>
      </c>
    </row>
    <row r="777" spans="1:35" ht="27">
      <c r="A777" s="144">
        <f t="shared" si="12"/>
        <v>775</v>
      </c>
      <c r="B777" s="148"/>
      <c r="C777" s="148"/>
      <c r="D777" s="148"/>
      <c r="E777" s="148"/>
      <c r="F777" s="148"/>
      <c r="G777" s="148"/>
      <c r="H777" s="148"/>
      <c r="I777" s="148"/>
      <c r="J777" s="98" t="s">
        <v>2104</v>
      </c>
      <c r="K777" s="99" t="str">
        <f>_xlfn.XLOOKUP(L777,'99_マスタ'!$D$5:$D$18,'99_マスタ'!$C$5:$C$18,"")</f>
        <v>03_会社運営</v>
      </c>
      <c r="L777" s="99" t="s">
        <v>2836</v>
      </c>
      <c r="M777" s="99" t="s">
        <v>835</v>
      </c>
      <c r="N777" s="126" t="s">
        <v>139</v>
      </c>
      <c r="O777" s="40" t="s">
        <v>836</v>
      </c>
      <c r="P777" s="40"/>
      <c r="Q777" s="40" t="s">
        <v>139</v>
      </c>
      <c r="R777" s="41" t="s">
        <v>139</v>
      </c>
      <c r="S777" s="41" t="s">
        <v>139</v>
      </c>
      <c r="T777" s="41" t="s">
        <v>139</v>
      </c>
      <c r="U777" s="41" t="s">
        <v>837</v>
      </c>
      <c r="V777" s="41" t="s">
        <v>139</v>
      </c>
      <c r="W777" s="43" t="s">
        <v>139</v>
      </c>
      <c r="X777" s="41" t="s">
        <v>139</v>
      </c>
      <c r="Y777" s="41" t="s">
        <v>139</v>
      </c>
      <c r="Z777" s="41" t="s">
        <v>830</v>
      </c>
      <c r="AA777" s="41" t="s">
        <v>139</v>
      </c>
      <c r="AB777" s="44"/>
      <c r="AC777" s="45"/>
      <c r="AD777" s="45"/>
      <c r="AE777" s="46"/>
      <c r="AF777" s="45"/>
      <c r="AG777" s="45"/>
      <c r="AH777" s="45"/>
      <c r="AI777" s="3" t="s">
        <v>1583</v>
      </c>
    </row>
    <row r="778" spans="1:35" ht="54">
      <c r="A778" s="144">
        <f t="shared" si="12"/>
        <v>776</v>
      </c>
      <c r="B778" s="148"/>
      <c r="C778" s="148"/>
      <c r="D778" s="148"/>
      <c r="E778" s="148"/>
      <c r="F778" s="148"/>
      <c r="G778" s="148"/>
      <c r="H778" s="148"/>
      <c r="I778" s="148"/>
      <c r="J778" s="98" t="s">
        <v>2104</v>
      </c>
      <c r="K778" s="100" t="str">
        <f>_xlfn.XLOOKUP(L778,'99_マスタ'!$D$5:$D$18,'99_マスタ'!$C$5:$C$18,"")</f>
        <v>03_会社運営</v>
      </c>
      <c r="L778" s="100" t="s">
        <v>2307</v>
      </c>
      <c r="M778" s="100" t="s">
        <v>3244</v>
      </c>
      <c r="N778" s="126" t="s">
        <v>1397</v>
      </c>
      <c r="O778" s="40" t="s">
        <v>1398</v>
      </c>
      <c r="P778" s="40"/>
      <c r="Q778" s="40" t="s">
        <v>139</v>
      </c>
      <c r="R778" s="41" t="s">
        <v>139</v>
      </c>
      <c r="S778" s="41" t="s">
        <v>139</v>
      </c>
      <c r="T778" s="41" t="s">
        <v>139</v>
      </c>
      <c r="U778" s="41" t="s">
        <v>139</v>
      </c>
      <c r="V778" s="41" t="s">
        <v>1399</v>
      </c>
      <c r="W778" s="43" t="s">
        <v>139</v>
      </c>
      <c r="X778" s="41" t="s">
        <v>139</v>
      </c>
      <c r="Y778" s="41" t="s">
        <v>139</v>
      </c>
      <c r="Z778" s="41" t="s">
        <v>139</v>
      </c>
      <c r="AA778" s="41" t="s">
        <v>302</v>
      </c>
      <c r="AB778" s="44"/>
      <c r="AC778" s="45"/>
      <c r="AD778" s="45"/>
      <c r="AE778" s="46"/>
      <c r="AF778" s="45"/>
      <c r="AG778" s="45"/>
      <c r="AH778" s="45"/>
      <c r="AI778" s="3" t="s">
        <v>1583</v>
      </c>
    </row>
    <row r="779" spans="1:35" ht="27">
      <c r="A779" s="144">
        <f t="shared" si="12"/>
        <v>777</v>
      </c>
      <c r="B779" s="148"/>
      <c r="C779" s="148"/>
      <c r="D779" s="148"/>
      <c r="E779" s="148"/>
      <c r="F779" s="148"/>
      <c r="G779" s="148"/>
      <c r="H779" s="148"/>
      <c r="I779" s="148"/>
      <c r="J779" s="98" t="s">
        <v>2104</v>
      </c>
      <c r="K779" s="65" t="str">
        <f>_xlfn.XLOOKUP(L779,'99_マスタ'!$D$5:$D$18,'99_マスタ'!$C$5:$C$18,"")</f>
        <v>03_会社運営</v>
      </c>
      <c r="L779" s="100" t="s">
        <v>2307</v>
      </c>
      <c r="M779" s="81" t="s">
        <v>315</v>
      </c>
      <c r="N779" s="54" t="s">
        <v>316</v>
      </c>
      <c r="O779" s="41" t="s">
        <v>317</v>
      </c>
      <c r="P779" s="41" t="s">
        <v>318</v>
      </c>
      <c r="Q779" s="41" t="s">
        <v>139</v>
      </c>
      <c r="R779" s="41" t="s">
        <v>319</v>
      </c>
      <c r="S779" s="41" t="s">
        <v>139</v>
      </c>
      <c r="T779" s="41" t="s">
        <v>139</v>
      </c>
      <c r="U779" s="41" t="s">
        <v>139</v>
      </c>
      <c r="V779" s="42" t="s">
        <v>139</v>
      </c>
      <c r="W779" s="53" t="s">
        <v>133</v>
      </c>
      <c r="X779" s="54" t="s">
        <v>139</v>
      </c>
      <c r="Y779" s="54" t="s">
        <v>139</v>
      </c>
      <c r="Z779" s="54" t="s">
        <v>139</v>
      </c>
      <c r="AA779" s="54" t="s">
        <v>139</v>
      </c>
      <c r="AB779" s="55"/>
      <c r="AC779" s="56"/>
      <c r="AD779" s="56"/>
      <c r="AE779" s="57"/>
      <c r="AF779" s="56"/>
      <c r="AG779" s="56"/>
      <c r="AH779" s="56"/>
      <c r="AI779" s="3" t="s">
        <v>1583</v>
      </c>
    </row>
    <row r="780" spans="1:35">
      <c r="A780" s="144">
        <f t="shared" si="12"/>
        <v>778</v>
      </c>
      <c r="B780" s="148"/>
      <c r="C780" s="148"/>
      <c r="D780" s="148"/>
      <c r="E780" s="148"/>
      <c r="F780" s="148"/>
      <c r="G780" s="148"/>
      <c r="H780" s="148"/>
      <c r="I780" s="148"/>
      <c r="J780" s="98" t="s">
        <v>2104</v>
      </c>
      <c r="K780" s="100" t="str">
        <f>_xlfn.XLOOKUP(L780,'99_マスタ'!$D$5:$D$18,'99_マスタ'!$C$5:$C$18,"")</f>
        <v>03_会社運営</v>
      </c>
      <c r="L780" s="100" t="s">
        <v>2307</v>
      </c>
      <c r="M780" s="82" t="s">
        <v>582</v>
      </c>
      <c r="N780" s="54" t="s">
        <v>583</v>
      </c>
      <c r="O780" s="41" t="s">
        <v>584</v>
      </c>
      <c r="P780" s="41"/>
      <c r="Q780" s="41" t="s">
        <v>139</v>
      </c>
      <c r="R780" s="41" t="s">
        <v>585</v>
      </c>
      <c r="S780" s="41" t="s">
        <v>139</v>
      </c>
      <c r="T780" s="41" t="s">
        <v>139</v>
      </c>
      <c r="U780" s="41" t="s">
        <v>139</v>
      </c>
      <c r="V780" s="42" t="s">
        <v>139</v>
      </c>
      <c r="W780" s="53" t="s">
        <v>133</v>
      </c>
      <c r="X780" s="54" t="s">
        <v>139</v>
      </c>
      <c r="Y780" s="54" t="s">
        <v>139</v>
      </c>
      <c r="Z780" s="54" t="s">
        <v>139</v>
      </c>
      <c r="AA780" s="54" t="s">
        <v>139</v>
      </c>
      <c r="AB780" s="55"/>
      <c r="AC780" s="56"/>
      <c r="AD780" s="56"/>
      <c r="AE780" s="57"/>
      <c r="AF780" s="56"/>
      <c r="AG780" s="56"/>
      <c r="AH780" s="56"/>
      <c r="AI780" s="3" t="s">
        <v>1583</v>
      </c>
    </row>
    <row r="781" spans="1:35" ht="27">
      <c r="A781" s="144">
        <f t="shared" si="12"/>
        <v>779</v>
      </c>
      <c r="B781" s="148"/>
      <c r="C781" s="148"/>
      <c r="D781" s="148"/>
      <c r="E781" s="148"/>
      <c r="F781" s="148"/>
      <c r="G781" s="148"/>
      <c r="H781" s="148"/>
      <c r="I781" s="148"/>
      <c r="J781" s="98" t="s">
        <v>2104</v>
      </c>
      <c r="K781" s="100" t="str">
        <f>_xlfn.XLOOKUP(L781,'99_マスタ'!$D$5:$D$18,'99_マスタ'!$C$5:$C$18,"")</f>
        <v>03_会社運営</v>
      </c>
      <c r="L781" s="100" t="s">
        <v>2307</v>
      </c>
      <c r="M781" s="100" t="s">
        <v>1056</v>
      </c>
      <c r="N781" s="126" t="s">
        <v>1057</v>
      </c>
      <c r="O781" s="40" t="s">
        <v>1058</v>
      </c>
      <c r="P781" s="40"/>
      <c r="Q781" s="40" t="s">
        <v>139</v>
      </c>
      <c r="R781" s="41" t="s">
        <v>139</v>
      </c>
      <c r="S781" s="41" t="s">
        <v>139</v>
      </c>
      <c r="T781" s="41" t="s">
        <v>139</v>
      </c>
      <c r="U781" s="41" t="s">
        <v>139</v>
      </c>
      <c r="V781" s="41" t="s">
        <v>1059</v>
      </c>
      <c r="W781" s="43" t="s">
        <v>139</v>
      </c>
      <c r="X781" s="41" t="s">
        <v>139</v>
      </c>
      <c r="Y781" s="41" t="s">
        <v>139</v>
      </c>
      <c r="Z781" s="41" t="s">
        <v>139</v>
      </c>
      <c r="AA781" s="41" t="s">
        <v>1060</v>
      </c>
      <c r="AB781" s="44"/>
      <c r="AC781" s="45"/>
      <c r="AD781" s="45"/>
      <c r="AE781" s="46"/>
      <c r="AF781" s="45"/>
      <c r="AG781" s="45"/>
      <c r="AH781" s="45"/>
      <c r="AI781" s="3" t="s">
        <v>1583</v>
      </c>
    </row>
    <row r="782" spans="1:35">
      <c r="A782" s="144">
        <f t="shared" si="12"/>
        <v>780</v>
      </c>
      <c r="B782" s="148"/>
      <c r="C782" s="148"/>
      <c r="D782" s="148"/>
      <c r="E782" s="148"/>
      <c r="F782" s="148"/>
      <c r="G782" s="148"/>
      <c r="H782" s="148"/>
      <c r="I782" s="148"/>
      <c r="J782" s="98" t="s">
        <v>2104</v>
      </c>
      <c r="K782" s="100" t="str">
        <f>_xlfn.XLOOKUP(L782,'99_マスタ'!$D$5:$D$18,'99_マスタ'!$C$5:$C$18,"")</f>
        <v>03_会社運営</v>
      </c>
      <c r="L782" s="52" t="s">
        <v>2307</v>
      </c>
      <c r="M782" s="82" t="s">
        <v>572</v>
      </c>
      <c r="N782" s="54" t="s">
        <v>139</v>
      </c>
      <c r="O782" s="41" t="s">
        <v>573</v>
      </c>
      <c r="P782" s="41"/>
      <c r="Q782" s="41" t="s">
        <v>139</v>
      </c>
      <c r="R782" s="41" t="s">
        <v>442</v>
      </c>
      <c r="S782" s="41" t="s">
        <v>139</v>
      </c>
      <c r="T782" s="41" t="s">
        <v>139</v>
      </c>
      <c r="U782" s="41" t="s">
        <v>139</v>
      </c>
      <c r="V782" s="41" t="s">
        <v>139</v>
      </c>
      <c r="W782" s="53" t="s">
        <v>133</v>
      </c>
      <c r="X782" s="54" t="s">
        <v>139</v>
      </c>
      <c r="Y782" s="54" t="s">
        <v>139</v>
      </c>
      <c r="Z782" s="54" t="s">
        <v>139</v>
      </c>
      <c r="AA782" s="54" t="s">
        <v>139</v>
      </c>
      <c r="AB782" s="55"/>
      <c r="AC782" s="56"/>
      <c r="AD782" s="56"/>
      <c r="AE782" s="57"/>
      <c r="AF782" s="56"/>
      <c r="AG782" s="56"/>
      <c r="AH782" s="56"/>
      <c r="AI782" s="3" t="s">
        <v>1583</v>
      </c>
    </row>
    <row r="783" spans="1:35" ht="27">
      <c r="A783" s="144">
        <f t="shared" si="12"/>
        <v>781</v>
      </c>
      <c r="B783" s="148"/>
      <c r="C783" s="148"/>
      <c r="D783" s="149"/>
      <c r="E783" s="149"/>
      <c r="F783" s="149"/>
      <c r="G783" s="149"/>
      <c r="H783" s="149"/>
      <c r="I783" s="149"/>
      <c r="J783" s="119" t="s">
        <v>2104</v>
      </c>
      <c r="K783" s="122" t="str">
        <f>_xlfn.XLOOKUP(L783,'99_マスタ'!$D$5:$D$18,'99_マスタ'!$C$5:$C$18,"")</f>
        <v>03_会社運営</v>
      </c>
      <c r="L783" s="135" t="s">
        <v>2307</v>
      </c>
      <c r="M783" s="135" t="s">
        <v>570</v>
      </c>
      <c r="N783" s="88" t="s">
        <v>139</v>
      </c>
      <c r="O783" s="87" t="s">
        <v>571</v>
      </c>
      <c r="P783" s="87"/>
      <c r="Q783" s="87" t="s">
        <v>139</v>
      </c>
      <c r="R783" s="87" t="s">
        <v>434</v>
      </c>
      <c r="S783" s="87" t="s">
        <v>139</v>
      </c>
      <c r="T783" s="87" t="s">
        <v>139</v>
      </c>
      <c r="U783" s="87" t="s">
        <v>139</v>
      </c>
      <c r="V783" s="41" t="s">
        <v>139</v>
      </c>
      <c r="W783" s="53" t="s">
        <v>121</v>
      </c>
      <c r="X783" s="88" t="s">
        <v>139</v>
      </c>
      <c r="Y783" s="88" t="s">
        <v>139</v>
      </c>
      <c r="Z783" s="88" t="s">
        <v>139</v>
      </c>
      <c r="AA783" s="88" t="s">
        <v>139</v>
      </c>
      <c r="AB783" s="89"/>
      <c r="AC783" s="56"/>
      <c r="AD783" s="56"/>
      <c r="AE783" s="57"/>
      <c r="AF783" s="56"/>
      <c r="AG783" s="56"/>
      <c r="AH783" s="56"/>
      <c r="AI783" s="3" t="s">
        <v>1583</v>
      </c>
    </row>
    <row r="784" spans="1:35" ht="40.5">
      <c r="A784" s="144">
        <f t="shared" si="12"/>
        <v>782</v>
      </c>
      <c r="B784" s="148"/>
      <c r="C784" s="148"/>
      <c r="D784" s="149"/>
      <c r="E784" s="149"/>
      <c r="F784" s="149"/>
      <c r="G784" s="149"/>
      <c r="H784" s="149"/>
      <c r="I784" s="149"/>
      <c r="J784" s="119" t="s">
        <v>2104</v>
      </c>
      <c r="K784" s="122" t="str">
        <f>_xlfn.XLOOKUP(L784,'99_マスタ'!$D$5:$D$18,'99_マスタ'!$C$5:$C$18,"")</f>
        <v>03_会社運営</v>
      </c>
      <c r="L784" s="122" t="s">
        <v>2307</v>
      </c>
      <c r="M784" s="122" t="s">
        <v>3299</v>
      </c>
      <c r="N784" s="130" t="s">
        <v>3298</v>
      </c>
      <c r="O784" s="90" t="s">
        <v>1077</v>
      </c>
      <c r="P784" s="90"/>
      <c r="Q784" s="90" t="s">
        <v>139</v>
      </c>
      <c r="R784" s="87" t="s">
        <v>139</v>
      </c>
      <c r="S784" s="87" t="s">
        <v>139</v>
      </c>
      <c r="T784" s="87" t="s">
        <v>139</v>
      </c>
      <c r="U784" s="87" t="s">
        <v>1078</v>
      </c>
      <c r="V784" s="41" t="s">
        <v>1050</v>
      </c>
      <c r="W784" s="43" t="s">
        <v>139</v>
      </c>
      <c r="X784" s="87" t="s">
        <v>139</v>
      </c>
      <c r="Y784" s="87" t="s">
        <v>139</v>
      </c>
      <c r="Z784" s="87" t="s">
        <v>1079</v>
      </c>
      <c r="AA784" s="87" t="s">
        <v>614</v>
      </c>
      <c r="AB784" s="91"/>
      <c r="AC784" s="45"/>
      <c r="AD784" s="45"/>
      <c r="AE784" s="46"/>
      <c r="AF784" s="45"/>
      <c r="AG784" s="45"/>
      <c r="AH784" s="45"/>
      <c r="AI784" s="3" t="s">
        <v>1583</v>
      </c>
    </row>
    <row r="785" spans="1:35">
      <c r="A785" s="144">
        <f t="shared" si="12"/>
        <v>783</v>
      </c>
      <c r="B785" s="148"/>
      <c r="C785" s="148"/>
      <c r="D785" s="149"/>
      <c r="E785" s="149"/>
      <c r="F785" s="149"/>
      <c r="G785" s="149"/>
      <c r="H785" s="149"/>
      <c r="I785" s="149"/>
      <c r="J785" s="119" t="s">
        <v>2104</v>
      </c>
      <c r="K785" s="122" t="str">
        <f>_xlfn.XLOOKUP(L785,'99_マスタ'!$D$5:$D$18,'99_マスタ'!$C$5:$C$18,"")</f>
        <v>03_会社運営</v>
      </c>
      <c r="L785" s="135" t="s">
        <v>2307</v>
      </c>
      <c r="M785" s="135" t="s">
        <v>576</v>
      </c>
      <c r="N785" s="88" t="s">
        <v>139</v>
      </c>
      <c r="O785" s="87" t="s">
        <v>577</v>
      </c>
      <c r="P785" s="87"/>
      <c r="Q785" s="87" t="s">
        <v>139</v>
      </c>
      <c r="R785" s="87" t="s">
        <v>578</v>
      </c>
      <c r="S785" s="87" t="s">
        <v>139</v>
      </c>
      <c r="T785" s="87" t="s">
        <v>139</v>
      </c>
      <c r="U785" s="87" t="s">
        <v>139</v>
      </c>
      <c r="V785" s="41" t="s">
        <v>139</v>
      </c>
      <c r="W785" s="53" t="s">
        <v>133</v>
      </c>
      <c r="X785" s="88" t="s">
        <v>139</v>
      </c>
      <c r="Y785" s="88" t="s">
        <v>139</v>
      </c>
      <c r="Z785" s="88" t="s">
        <v>139</v>
      </c>
      <c r="AA785" s="88" t="s">
        <v>139</v>
      </c>
      <c r="AB785" s="89"/>
      <c r="AC785" s="56"/>
      <c r="AD785" s="56"/>
      <c r="AE785" s="57"/>
      <c r="AF785" s="56"/>
      <c r="AG785" s="56"/>
      <c r="AH785" s="56"/>
      <c r="AI785" s="3" t="s">
        <v>1583</v>
      </c>
    </row>
    <row r="786" spans="1:35">
      <c r="A786" s="144">
        <f t="shared" si="12"/>
        <v>784</v>
      </c>
      <c r="B786" s="148"/>
      <c r="C786" s="148"/>
      <c r="D786" s="149"/>
      <c r="E786" s="149"/>
      <c r="F786" s="149"/>
      <c r="G786" s="149"/>
      <c r="H786" s="149"/>
      <c r="I786" s="149"/>
      <c r="J786" s="121" t="s">
        <v>2104</v>
      </c>
      <c r="K786" s="120" t="str">
        <f>_xlfn.XLOOKUP(L786,'99_マスタ'!$D$5:$D$18,'99_マスタ'!$C$5:$C$18,"")</f>
        <v>03_会社運営</v>
      </c>
      <c r="L786" s="120" t="s">
        <v>2307</v>
      </c>
      <c r="M786" s="142" t="s">
        <v>564</v>
      </c>
      <c r="N786" s="130" t="s">
        <v>139</v>
      </c>
      <c r="O786" s="90" t="s">
        <v>565</v>
      </c>
      <c r="P786" s="90"/>
      <c r="Q786" s="87" t="s">
        <v>139</v>
      </c>
      <c r="R786" s="87" t="s">
        <v>566</v>
      </c>
      <c r="S786" s="87" t="s">
        <v>139</v>
      </c>
      <c r="T786" s="87" t="s">
        <v>139</v>
      </c>
      <c r="U786" s="87" t="s">
        <v>139</v>
      </c>
      <c r="V786" s="41" t="s">
        <v>139</v>
      </c>
      <c r="W786" s="43" t="s">
        <v>133</v>
      </c>
      <c r="X786" s="87" t="s">
        <v>139</v>
      </c>
      <c r="Y786" s="87" t="s">
        <v>139</v>
      </c>
      <c r="Z786" s="87" t="s">
        <v>139</v>
      </c>
      <c r="AA786" s="45" t="s">
        <v>139</v>
      </c>
      <c r="AB786" s="91"/>
      <c r="AC786" s="45"/>
      <c r="AD786" s="45"/>
      <c r="AE786" s="46"/>
      <c r="AF786" s="45"/>
      <c r="AG786" s="45"/>
      <c r="AH786" s="45"/>
      <c r="AI786" s="3" t="s">
        <v>1583</v>
      </c>
    </row>
    <row r="787" spans="1:35" ht="27">
      <c r="A787" s="144">
        <f t="shared" si="12"/>
        <v>785</v>
      </c>
      <c r="B787" s="148"/>
      <c r="C787" s="148"/>
      <c r="D787" s="149"/>
      <c r="E787" s="149"/>
      <c r="F787" s="149"/>
      <c r="G787" s="149"/>
      <c r="H787" s="149"/>
      <c r="I787" s="149"/>
      <c r="J787" s="119" t="s">
        <v>2104</v>
      </c>
      <c r="K787" s="122" t="str">
        <f>_xlfn.XLOOKUP(L787,'99_マスタ'!$D$5:$D$18,'99_マスタ'!$C$5:$C$18,"")</f>
        <v>03_会社運営</v>
      </c>
      <c r="L787" s="122" t="s">
        <v>3131</v>
      </c>
      <c r="M787" s="122" t="s">
        <v>1064</v>
      </c>
      <c r="N787" s="130" t="s">
        <v>139</v>
      </c>
      <c r="O787" s="90" t="s">
        <v>1065</v>
      </c>
      <c r="P787" s="90"/>
      <c r="Q787" s="90" t="s">
        <v>139</v>
      </c>
      <c r="R787" s="87" t="s">
        <v>139</v>
      </c>
      <c r="S787" s="87" t="s">
        <v>139</v>
      </c>
      <c r="T787" s="87" t="s">
        <v>139</v>
      </c>
      <c r="U787" s="87" t="s">
        <v>139</v>
      </c>
      <c r="V787" s="41" t="s">
        <v>1066</v>
      </c>
      <c r="W787" s="43" t="s">
        <v>139</v>
      </c>
      <c r="X787" s="87" t="s">
        <v>139</v>
      </c>
      <c r="Y787" s="87" t="s">
        <v>139</v>
      </c>
      <c r="Z787" s="87" t="s">
        <v>139</v>
      </c>
      <c r="AA787" s="87" t="s">
        <v>1596</v>
      </c>
      <c r="AB787" s="91"/>
      <c r="AC787" s="45"/>
      <c r="AD787" s="45"/>
      <c r="AE787" s="46"/>
      <c r="AF787" s="45"/>
      <c r="AG787" s="45"/>
      <c r="AH787" s="45"/>
      <c r="AI787" s="3" t="s">
        <v>1583</v>
      </c>
    </row>
    <row r="788" spans="1:35">
      <c r="A788" s="144">
        <f t="shared" si="12"/>
        <v>786</v>
      </c>
      <c r="B788" s="148"/>
      <c r="C788" s="148"/>
      <c r="D788" s="149"/>
      <c r="E788" s="149"/>
      <c r="F788" s="149"/>
      <c r="G788" s="149"/>
      <c r="H788" s="149"/>
      <c r="I788" s="149"/>
      <c r="J788" s="119" t="s">
        <v>2104</v>
      </c>
      <c r="K788" s="122" t="str">
        <f>_xlfn.XLOOKUP(L788,'99_マスタ'!$D$5:$D$18,'99_マスタ'!$C$5:$C$18,"")</f>
        <v>03_会社運営</v>
      </c>
      <c r="L788" s="122" t="s">
        <v>3131</v>
      </c>
      <c r="M788" s="135" t="s">
        <v>311</v>
      </c>
      <c r="N788" s="88" t="s">
        <v>139</v>
      </c>
      <c r="O788" s="87" t="s">
        <v>574</v>
      </c>
      <c r="P788" s="87"/>
      <c r="Q788" s="87" t="s">
        <v>139</v>
      </c>
      <c r="R788" s="87" t="s">
        <v>575</v>
      </c>
      <c r="S788" s="87" t="s">
        <v>139</v>
      </c>
      <c r="T788" s="87" t="s">
        <v>139</v>
      </c>
      <c r="U788" s="87" t="s">
        <v>139</v>
      </c>
      <c r="V788" s="41" t="s">
        <v>139</v>
      </c>
      <c r="W788" s="53" t="s">
        <v>133</v>
      </c>
      <c r="X788" s="88" t="s">
        <v>139</v>
      </c>
      <c r="Y788" s="88" t="s">
        <v>139</v>
      </c>
      <c r="Z788" s="88" t="s">
        <v>139</v>
      </c>
      <c r="AA788" s="88" t="s">
        <v>139</v>
      </c>
      <c r="AB788" s="89"/>
      <c r="AC788" s="56"/>
      <c r="AD788" s="56"/>
      <c r="AE788" s="57"/>
      <c r="AF788" s="56"/>
      <c r="AG788" s="56"/>
      <c r="AH788" s="56"/>
      <c r="AI788" s="3" t="s">
        <v>1583</v>
      </c>
    </row>
    <row r="789" spans="1:35" ht="27">
      <c r="A789" s="144">
        <f t="shared" si="12"/>
        <v>787</v>
      </c>
      <c r="B789" s="148"/>
      <c r="C789" s="148"/>
      <c r="D789" s="149"/>
      <c r="E789" s="149"/>
      <c r="F789" s="149"/>
      <c r="G789" s="149"/>
      <c r="H789" s="149"/>
      <c r="I789" s="149"/>
      <c r="J789" s="119" t="s">
        <v>2104</v>
      </c>
      <c r="K789" s="122" t="str">
        <f>_xlfn.XLOOKUP(L789,'99_マスタ'!$D$5:$D$18,'99_マスタ'!$C$5:$C$18,"")</f>
        <v>03_会社運営</v>
      </c>
      <c r="L789" s="122" t="s">
        <v>2308</v>
      </c>
      <c r="M789" s="122" t="s">
        <v>1061</v>
      </c>
      <c r="N789" s="130" t="s">
        <v>139</v>
      </c>
      <c r="O789" s="90" t="s">
        <v>1062</v>
      </c>
      <c r="P789" s="90"/>
      <c r="Q789" s="90" t="s">
        <v>139</v>
      </c>
      <c r="R789" s="87" t="s">
        <v>139</v>
      </c>
      <c r="S789" s="87" t="s">
        <v>139</v>
      </c>
      <c r="T789" s="87" t="s">
        <v>139</v>
      </c>
      <c r="U789" s="87" t="s">
        <v>139</v>
      </c>
      <c r="V789" s="41" t="s">
        <v>1063</v>
      </c>
      <c r="W789" s="43" t="s">
        <v>139</v>
      </c>
      <c r="X789" s="87" t="s">
        <v>139</v>
      </c>
      <c r="Y789" s="87" t="s">
        <v>139</v>
      </c>
      <c r="Z789" s="87" t="s">
        <v>139</v>
      </c>
      <c r="AA789" s="87" t="s">
        <v>1599</v>
      </c>
      <c r="AB789" s="91"/>
      <c r="AC789" s="45"/>
      <c r="AD789" s="45"/>
      <c r="AE789" s="46"/>
      <c r="AF789" s="45"/>
      <c r="AG789" s="45"/>
      <c r="AH789" s="45"/>
      <c r="AI789" s="3" t="s">
        <v>1583</v>
      </c>
    </row>
    <row r="790" spans="1:35" ht="27">
      <c r="A790" s="144">
        <f t="shared" si="12"/>
        <v>788</v>
      </c>
      <c r="B790" s="148"/>
      <c r="C790" s="148"/>
      <c r="D790" s="149"/>
      <c r="E790" s="149"/>
      <c r="F790" s="149"/>
      <c r="G790" s="149"/>
      <c r="H790" s="149"/>
      <c r="I790" s="149"/>
      <c r="J790" s="119" t="s">
        <v>2104</v>
      </c>
      <c r="K790" s="122" t="str">
        <f>_xlfn.XLOOKUP(L790,'99_マスタ'!$D$5:$D$18,'99_マスタ'!$C$5:$C$18,"")</f>
        <v>03_会社運営</v>
      </c>
      <c r="L790" s="122" t="s">
        <v>2308</v>
      </c>
      <c r="M790" s="122" t="s">
        <v>3266</v>
      </c>
      <c r="N790" s="130" t="s">
        <v>1395</v>
      </c>
      <c r="O790" s="90" t="s">
        <v>1396</v>
      </c>
      <c r="P790" s="90"/>
      <c r="Q790" s="90" t="s">
        <v>139</v>
      </c>
      <c r="R790" s="87" t="s">
        <v>139</v>
      </c>
      <c r="S790" s="87" t="s">
        <v>139</v>
      </c>
      <c r="T790" s="87" t="s">
        <v>139</v>
      </c>
      <c r="U790" s="87" t="s">
        <v>139</v>
      </c>
      <c r="V790" s="41" t="s">
        <v>1688</v>
      </c>
      <c r="W790" s="43" t="s">
        <v>139</v>
      </c>
      <c r="X790" s="87" t="s">
        <v>139</v>
      </c>
      <c r="Y790" s="87" t="s">
        <v>139</v>
      </c>
      <c r="Z790" s="87" t="s">
        <v>139</v>
      </c>
      <c r="AA790" s="87" t="s">
        <v>157</v>
      </c>
      <c r="AB790" s="91"/>
      <c r="AC790" s="45"/>
      <c r="AD790" s="45"/>
      <c r="AE790" s="46"/>
      <c r="AF790" s="45"/>
      <c r="AG790" s="45"/>
      <c r="AH790" s="45"/>
      <c r="AI790" s="3" t="s">
        <v>1583</v>
      </c>
    </row>
    <row r="791" spans="1:35" ht="27">
      <c r="A791" s="144">
        <f t="shared" si="12"/>
        <v>789</v>
      </c>
      <c r="B791" s="148"/>
      <c r="C791" s="148"/>
      <c r="D791" s="149"/>
      <c r="E791" s="149"/>
      <c r="F791" s="149"/>
      <c r="G791" s="149"/>
      <c r="H791" s="149"/>
      <c r="I791" s="149"/>
      <c r="J791" s="119" t="s">
        <v>2104</v>
      </c>
      <c r="K791" s="135" t="str">
        <f>_xlfn.XLOOKUP(L791,'99_マスタ'!$D$5:$D$18,'99_マスタ'!$C$5:$C$18,"")</f>
        <v>03_会社運営</v>
      </c>
      <c r="L791" s="122" t="s">
        <v>2310</v>
      </c>
      <c r="M791" s="122" t="s">
        <v>1393</v>
      </c>
      <c r="N791" s="130" t="s">
        <v>1394</v>
      </c>
      <c r="O791" s="90" t="s">
        <v>1595</v>
      </c>
      <c r="P791" s="90"/>
      <c r="Q791" s="90" t="s">
        <v>139</v>
      </c>
      <c r="R791" s="87" t="s">
        <v>139</v>
      </c>
      <c r="S791" s="87" t="s">
        <v>139</v>
      </c>
      <c r="T791" s="87" t="s">
        <v>139</v>
      </c>
      <c r="U791" s="87" t="s">
        <v>139</v>
      </c>
      <c r="V791" s="41" t="s">
        <v>1688</v>
      </c>
      <c r="W791" s="43" t="s">
        <v>139</v>
      </c>
      <c r="X791" s="87" t="s">
        <v>139</v>
      </c>
      <c r="Y791" s="87" t="s">
        <v>139</v>
      </c>
      <c r="Z791" s="87" t="s">
        <v>139</v>
      </c>
      <c r="AA791" s="87" t="s">
        <v>1392</v>
      </c>
      <c r="AB791" s="91"/>
      <c r="AC791" s="45"/>
      <c r="AD791" s="45"/>
      <c r="AE791" s="46"/>
      <c r="AF791" s="45"/>
      <c r="AG791" s="45"/>
      <c r="AH791" s="45"/>
      <c r="AI791" s="3" t="s">
        <v>1583</v>
      </c>
    </row>
    <row r="792" spans="1:35" ht="27">
      <c r="A792" s="144">
        <f t="shared" si="12"/>
        <v>790</v>
      </c>
      <c r="B792" s="148"/>
      <c r="C792" s="148"/>
      <c r="D792" s="149"/>
      <c r="E792" s="149"/>
      <c r="F792" s="149"/>
      <c r="G792" s="149"/>
      <c r="H792" s="149"/>
      <c r="I792" s="149"/>
      <c r="J792" s="133" t="s">
        <v>2104</v>
      </c>
      <c r="K792" s="122" t="str">
        <f>_xlfn.XLOOKUP(L792,'99_マスタ'!$D$5:$D$18,'99_マスタ'!$C$5:$C$18,"")</f>
        <v>03_会社運営</v>
      </c>
      <c r="L792" s="122" t="s">
        <v>2310</v>
      </c>
      <c r="M792" s="122" t="s">
        <v>1025</v>
      </c>
      <c r="N792" s="130" t="s">
        <v>139</v>
      </c>
      <c r="O792" s="90" t="s">
        <v>1026</v>
      </c>
      <c r="P792" s="90"/>
      <c r="Q792" s="90" t="s">
        <v>192</v>
      </c>
      <c r="R792" s="87" t="s">
        <v>139</v>
      </c>
      <c r="S792" s="87" t="s">
        <v>139</v>
      </c>
      <c r="T792" s="87" t="s">
        <v>139</v>
      </c>
      <c r="U792" s="87" t="s">
        <v>139</v>
      </c>
      <c r="V792" s="92" t="s">
        <v>1027</v>
      </c>
      <c r="W792" s="93" t="s">
        <v>139</v>
      </c>
      <c r="X792" s="87" t="s">
        <v>139</v>
      </c>
      <c r="Y792" s="87" t="s">
        <v>139</v>
      </c>
      <c r="Z792" s="87" t="s">
        <v>139</v>
      </c>
      <c r="AA792" s="87" t="s">
        <v>1597</v>
      </c>
      <c r="AB792" s="91"/>
      <c r="AC792" s="45"/>
      <c r="AD792" s="45"/>
      <c r="AE792" s="46"/>
      <c r="AF792" s="45"/>
      <c r="AG792" s="45"/>
      <c r="AH792" s="45"/>
      <c r="AI792" s="3" t="s">
        <v>1583</v>
      </c>
    </row>
    <row r="793" spans="1:35">
      <c r="A793" s="144">
        <f t="shared" si="12"/>
        <v>791</v>
      </c>
      <c r="B793" s="148"/>
      <c r="C793" s="148"/>
      <c r="D793" s="150"/>
      <c r="E793" s="150"/>
      <c r="F793" s="150"/>
      <c r="G793" s="150"/>
      <c r="H793" s="150"/>
      <c r="I793" s="150"/>
      <c r="J793" s="132" t="s">
        <v>2104</v>
      </c>
      <c r="K793" s="140" t="str">
        <f>_xlfn.XLOOKUP(L793,'99_マスタ'!$D$5:$D$18,'99_マスタ'!$C$5:$C$18,"")</f>
        <v>03_会社運営</v>
      </c>
      <c r="L793" s="141" t="s">
        <v>2310</v>
      </c>
      <c r="M793" s="143" t="s">
        <v>329</v>
      </c>
      <c r="N793" s="136" t="s">
        <v>139</v>
      </c>
      <c r="O793" s="94" t="s">
        <v>330</v>
      </c>
      <c r="P793" s="94" t="s">
        <v>331</v>
      </c>
      <c r="Q793" s="94" t="s">
        <v>1140</v>
      </c>
      <c r="R793" s="94" t="s">
        <v>328</v>
      </c>
      <c r="S793" s="94" t="s">
        <v>139</v>
      </c>
      <c r="T793" s="95" t="s">
        <v>139</v>
      </c>
      <c r="U793" s="95" t="s">
        <v>139</v>
      </c>
      <c r="V793" s="131" t="s">
        <v>139</v>
      </c>
      <c r="W793" s="137" t="s">
        <v>117</v>
      </c>
      <c r="X793" s="136" t="s">
        <v>139</v>
      </c>
      <c r="Y793" s="136" t="s">
        <v>139</v>
      </c>
      <c r="Z793" s="136" t="s">
        <v>139</v>
      </c>
      <c r="AA793" s="136" t="s">
        <v>139</v>
      </c>
      <c r="AB793" s="138"/>
      <c r="AC793" s="138"/>
      <c r="AD793" s="139"/>
      <c r="AE793" s="138"/>
      <c r="AF793" s="138"/>
      <c r="AG793" s="138"/>
      <c r="AH793" s="138"/>
      <c r="AI793" s="3" t="s">
        <v>1583</v>
      </c>
    </row>
    <row r="794" spans="1:35">
      <c r="A794" s="3" t="s">
        <v>1583</v>
      </c>
      <c r="B794" s="3"/>
      <c r="C794" s="3"/>
      <c r="D794" s="3"/>
      <c r="E794" s="3"/>
      <c r="F794" s="3"/>
      <c r="G794" s="3"/>
      <c r="H794" s="3"/>
      <c r="I794" s="3"/>
      <c r="J794" s="3" t="s">
        <v>1583</v>
      </c>
      <c r="K794" s="3" t="s">
        <v>1583</v>
      </c>
      <c r="L794" s="3" t="s">
        <v>1583</v>
      </c>
      <c r="M794" s="3" t="s">
        <v>1583</v>
      </c>
      <c r="N794" s="3" t="s">
        <v>1583</v>
      </c>
      <c r="O794" s="3" t="s">
        <v>1583</v>
      </c>
      <c r="P794" s="3" t="s">
        <v>1583</v>
      </c>
      <c r="Q794" s="3" t="s">
        <v>1583</v>
      </c>
      <c r="R794" s="3" t="s">
        <v>1583</v>
      </c>
      <c r="S794" s="3" t="s">
        <v>1583</v>
      </c>
      <c r="T794" s="3" t="s">
        <v>1583</v>
      </c>
      <c r="U794" s="3" t="s">
        <v>1583</v>
      </c>
      <c r="V794" s="3" t="s">
        <v>1583</v>
      </c>
      <c r="W794" s="3" t="s">
        <v>1583</v>
      </c>
      <c r="X794" s="3" t="s">
        <v>1583</v>
      </c>
      <c r="Y794" s="3" t="s">
        <v>1583</v>
      </c>
      <c r="Z794" s="3" t="s">
        <v>1583</v>
      </c>
      <c r="AA794" s="3" t="s">
        <v>1583</v>
      </c>
      <c r="AB794" s="3" t="s">
        <v>1583</v>
      </c>
      <c r="AC794" s="3" t="s">
        <v>1583</v>
      </c>
      <c r="AD794" s="3" t="s">
        <v>1583</v>
      </c>
      <c r="AE794" s="3" t="s">
        <v>1583</v>
      </c>
      <c r="AF794" s="3" t="s">
        <v>1583</v>
      </c>
      <c r="AG794" s="3" t="s">
        <v>1583</v>
      </c>
      <c r="AH794" s="3" t="s">
        <v>1583</v>
      </c>
      <c r="AI794" s="3" t="s">
        <v>1583</v>
      </c>
    </row>
  </sheetData>
  <autoFilter ref="A2:AI794" xr:uid="{00000000-0001-0000-0100-000000000000}"/>
  <sortState xmlns:xlrd2="http://schemas.microsoft.com/office/spreadsheetml/2017/richdata2" ref="A3:AI793">
    <sortCondition ref="J3:J793"/>
    <sortCondition ref="K3:K793"/>
    <sortCondition ref="L3:L793"/>
  </sortState>
  <phoneticPr fontId="7"/>
  <conditionalFormatting sqref="J3:M793">
    <cfRule type="expression" dxfId="2" priority="1">
      <formula>$J3="01_指標"</formula>
    </cfRule>
    <cfRule type="expression" dxfId="1" priority="2">
      <formula>$J3="02_マスタ"</formula>
    </cfRule>
    <cfRule type="expression" dxfId="0" priority="3">
      <formula>$J3="03_その他"</formula>
    </cfRule>
  </conditionalFormatting>
  <dataValidations count="1">
    <dataValidation type="list" allowBlank="1" showInputMessage="1" showErrorMessage="1" sqref="L793" xr:uid="{9AF85980-910F-49AC-93AA-C426D729E56E}">
      <formula1>"'99_マスタ'!$E$5:$E$18"</formula1>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77329A2-3ACC-49B4-AAA9-52A94407A979}">
          <x14:formula1>
            <xm:f>'99_マスタ'!$B$5:$B$7</xm:f>
          </x14:formula1>
          <xm:sqref>J3:J793</xm:sqref>
        </x14:dataValidation>
        <x14:dataValidation type="list" allowBlank="1" showInputMessage="1" showErrorMessage="1" xr:uid="{4D5DEB0B-222E-4F25-A633-E2744B6ECBCE}">
          <x14:formula1>
            <xm:f>'99_マスタ'!$D$5:$D$18</xm:f>
          </x14:formula1>
          <xm:sqref>L3:L792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29"/>
  <sheetViews>
    <sheetView showGridLines="0" workbookViewId="0"/>
  </sheetViews>
  <sheetFormatPr defaultColWidth="8.5703125" defaultRowHeight="15"/>
  <cols>
    <col min="1" max="1" width="3" style="1" customWidth="1"/>
    <col min="2" max="2" width="10.78515625" style="1" customWidth="1"/>
    <col min="3" max="4" width="18" style="1" customWidth="1"/>
    <col min="5" max="8" width="8.5703125" style="1" customWidth="1"/>
    <col min="9" max="16384" width="8.5703125" style="1"/>
  </cols>
  <sheetData>
    <row r="2" spans="2:4" ht="24" customHeight="1">
      <c r="B2" s="201" t="s">
        <v>1581</v>
      </c>
      <c r="C2" s="201"/>
      <c r="D2" s="201"/>
    </row>
    <row r="4" spans="2:4" ht="25.5" customHeight="1">
      <c r="B4" s="5" t="s">
        <v>2107</v>
      </c>
      <c r="C4" s="5" t="s">
        <v>3332</v>
      </c>
      <c r="D4" s="5" t="s">
        <v>3333</v>
      </c>
    </row>
    <row r="5" spans="2:4" ht="28.5" customHeight="1">
      <c r="B5" s="145" t="s">
        <v>2101</v>
      </c>
      <c r="C5" s="146" t="s">
        <v>2096</v>
      </c>
      <c r="D5" s="146" t="s">
        <v>2297</v>
      </c>
    </row>
    <row r="6" spans="2:4" ht="28.5" customHeight="1">
      <c r="B6" s="145" t="s">
        <v>2103</v>
      </c>
      <c r="C6" s="146" t="s">
        <v>2096</v>
      </c>
      <c r="D6" s="146" t="s">
        <v>2298</v>
      </c>
    </row>
    <row r="7" spans="2:4">
      <c r="B7" s="145" t="s">
        <v>2104</v>
      </c>
      <c r="C7" s="146" t="s">
        <v>2096</v>
      </c>
      <c r="D7" s="146" t="s">
        <v>2300</v>
      </c>
    </row>
    <row r="8" spans="2:4">
      <c r="C8" s="146" t="s">
        <v>2096</v>
      </c>
      <c r="D8" s="146" t="s">
        <v>2299</v>
      </c>
    </row>
    <row r="9" spans="2:4">
      <c r="C9" s="146" t="s">
        <v>2096</v>
      </c>
      <c r="D9" s="146" t="s">
        <v>2301</v>
      </c>
    </row>
    <row r="10" spans="2:4">
      <c r="C10" s="147" t="s">
        <v>3062</v>
      </c>
      <c r="D10" s="147" t="s">
        <v>2302</v>
      </c>
    </row>
    <row r="11" spans="2:4">
      <c r="C11" s="146" t="s">
        <v>3062</v>
      </c>
      <c r="D11" s="146" t="s">
        <v>2303</v>
      </c>
    </row>
    <row r="12" spans="2:4">
      <c r="C12" s="146" t="s">
        <v>3062</v>
      </c>
      <c r="D12" s="146" t="s">
        <v>2304</v>
      </c>
    </row>
    <row r="13" spans="2:4">
      <c r="C13" s="146" t="s">
        <v>3062</v>
      </c>
      <c r="D13" s="146" t="s">
        <v>2305</v>
      </c>
    </row>
    <row r="14" spans="2:4">
      <c r="C14" s="146" t="s">
        <v>2098</v>
      </c>
      <c r="D14" s="146" t="s">
        <v>2306</v>
      </c>
    </row>
    <row r="15" spans="2:4">
      <c r="C15" s="146" t="s">
        <v>2098</v>
      </c>
      <c r="D15" s="146" t="s">
        <v>2307</v>
      </c>
    </row>
    <row r="16" spans="2:4">
      <c r="C16" s="146" t="s">
        <v>2098</v>
      </c>
      <c r="D16" s="146" t="s">
        <v>2308</v>
      </c>
    </row>
    <row r="17" spans="3:4">
      <c r="C17" s="146" t="s">
        <v>2098</v>
      </c>
      <c r="D17" s="146" t="s">
        <v>2309</v>
      </c>
    </row>
    <row r="18" spans="3:4">
      <c r="C18" s="146" t="s">
        <v>2098</v>
      </c>
      <c r="D18" s="146" t="s">
        <v>2310</v>
      </c>
    </row>
    <row r="19" spans="3:4">
      <c r="C19" s="21"/>
      <c r="D19" s="21"/>
    </row>
    <row r="20" spans="3:4">
      <c r="C20" s="21"/>
      <c r="D20" s="21"/>
    </row>
    <row r="21" spans="3:4">
      <c r="C21" s="4"/>
      <c r="D21" s="4"/>
    </row>
    <row r="22" spans="3:4">
      <c r="C22" s="4"/>
      <c r="D22" s="4"/>
    </row>
    <row r="23" spans="3:4">
      <c r="C23" s="21"/>
      <c r="D23" s="21"/>
    </row>
    <row r="24" spans="3:4">
      <c r="C24" s="4"/>
      <c r="D24" s="4"/>
    </row>
    <row r="25" spans="3:4">
      <c r="C25" s="4"/>
      <c r="D25" s="4"/>
    </row>
    <row r="26" spans="3:4">
      <c r="C26" s="4"/>
      <c r="D26" s="4"/>
    </row>
    <row r="27" spans="3:4">
      <c r="C27" s="4"/>
      <c r="D27" s="4"/>
    </row>
    <row r="28" spans="3:4">
      <c r="C28" s="4"/>
      <c r="D28" s="4"/>
    </row>
    <row r="29" spans="3:4">
      <c r="C29" s="4"/>
      <c r="D29" s="4"/>
    </row>
  </sheetData>
  <mergeCells count="1">
    <mergeCell ref="B2:D2"/>
  </mergeCells>
  <phoneticPr fontId="7"/>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★指標_用語辞書</vt:lpstr>
      <vt:lpstr>マスタ_用語辞書</vt:lpstr>
      <vt:lpstr>PL構成項目のマスタ</vt:lpstr>
      <vt:lpstr>★ロッテ用語_用語辞書</vt:lpstr>
      <vt:lpstr>99_区分マスタ</vt:lpstr>
      <vt:lpstr>出典</vt:lpstr>
      <vt:lpstr>&gt;0604</vt:lpstr>
      <vt:lpstr>依頼内容</vt:lpstr>
      <vt:lpstr>0604FB_用語辞書</vt:lpstr>
      <vt:lpstr>99_マスタ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2026-06-11T23:51:51Z</dcterms:created>
  <dcterms:modified xsi:type="dcterms:W3CDTF">2026-07-01T07:58:49Z</dcterms:modified>
  <dc:language/>
</cp:coreProperties>
</file>